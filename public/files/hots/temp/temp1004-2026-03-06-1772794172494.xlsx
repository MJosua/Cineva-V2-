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13_ncr:1_{7E17BC5F-4FE5-4DFE-B9AB-A5F8FE2D534E}" xr6:coauthVersionLast="47" xr6:coauthVersionMax="47" xr10:uidLastSave="{00000000-0000-0000-0000-000000000000}"/>
  <bookViews>
    <workbookView xWindow="-98" yWindow="-98" windowWidth="21795" windowHeight="12975" firstSheet="1" activeTab="3" xr2:uid="{96B7868A-900B-4AB1-ACD8-F11DD4E0A1A4}"/>
  </bookViews>
  <sheets>
    <sheet name="Input Output" sheetId="5" state="hidden" r:id="rId1"/>
    <sheet name="Sheet1" sheetId="7" r:id="rId2"/>
    <sheet name="2 AA" sheetId="9" state="hidden" r:id="rId3"/>
    <sheet name="Format ke IT" sheetId="8" r:id="rId4"/>
    <sheet name="Flow" sheetId="1" r:id="rId5"/>
    <sheet name="PS" sheetId="6" r:id="rId6"/>
    <sheet name="KS Country" sheetId="2" r:id="rId7"/>
    <sheet name="Daftar CA" sheetId="3" r:id="rId8"/>
    <sheet name="EB" sheetId="4" r:id="rId9"/>
  </sheets>
  <externalReferences>
    <externalReference r:id="rId10"/>
    <externalReference r:id="rId11"/>
  </externalReferences>
  <definedNames>
    <definedName name="_xlnm.Print_Area" localSheetId="2">'2 AA'!$A$8:$U$256</definedName>
    <definedName name="_xlnm.Print_Area" localSheetId="1">Sheet1!$A$8:$U$256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7" i="8" l="1"/>
  <c r="AH77" i="8"/>
  <c r="AI77" i="8" s="1"/>
  <c r="AM76" i="8"/>
  <c r="AK76" i="8"/>
  <c r="AD76" i="8"/>
  <c r="AE76" i="8" s="1"/>
  <c r="AH76" i="8" s="1"/>
  <c r="AI76" i="8" s="1"/>
  <c r="AB76" i="8"/>
  <c r="AM75" i="8"/>
  <c r="AK75" i="8"/>
  <c r="AD75" i="8"/>
  <c r="AE75" i="8" s="1"/>
  <c r="AH75" i="8" s="1"/>
  <c r="AI75" i="8" s="1"/>
  <c r="AB75" i="8"/>
  <c r="AK59" i="8"/>
  <c r="AH59" i="8"/>
  <c r="AI59" i="8" s="1"/>
  <c r="AM58" i="8"/>
  <c r="AK58" i="8"/>
  <c r="AD58" i="8"/>
  <c r="AE58" i="8" s="1"/>
  <c r="AH58" i="8" s="1"/>
  <c r="AI58" i="8" s="1"/>
  <c r="AB58" i="8"/>
  <c r="AM57" i="8"/>
  <c r="AK57" i="8"/>
  <c r="AE57" i="8"/>
  <c r="AH57" i="8" s="1"/>
  <c r="AI57" i="8" s="1"/>
  <c r="AD57" i="8"/>
  <c r="AB57" i="8"/>
  <c r="Z75" i="8"/>
  <c r="X75" i="8"/>
  <c r="AB67" i="8"/>
  <c r="AB66" i="8"/>
  <c r="AD66" i="8"/>
  <c r="X57" i="8"/>
  <c r="Z67" i="8"/>
  <c r="X67" i="8"/>
  <c r="Z66" i="8"/>
  <c r="X66" i="8"/>
  <c r="Z58" i="8"/>
  <c r="X58" i="8"/>
  <c r="Z57" i="8"/>
  <c r="T58" i="8"/>
  <c r="T57" i="8"/>
  <c r="N67" i="8"/>
  <c r="P67" i="8" s="1"/>
  <c r="O67" i="8" s="1"/>
  <c r="N66" i="8"/>
  <c r="P66" i="8" s="1"/>
  <c r="O66" i="8" s="1"/>
  <c r="N76" i="8"/>
  <c r="P76" i="8" s="1"/>
  <c r="O76" i="8" s="1"/>
  <c r="N75" i="8"/>
  <c r="P75" i="8" s="1"/>
  <c r="O75" i="8" s="1"/>
  <c r="Z76" i="8"/>
  <c r="X76" i="8"/>
  <c r="AM67" i="8" l="1"/>
  <c r="AM66" i="8"/>
  <c r="AK67" i="8"/>
  <c r="AK66" i="8"/>
  <c r="AD67" i="8" l="1"/>
  <c r="R23" i="7"/>
  <c r="N58" i="8"/>
  <c r="P58" i="8" s="1"/>
  <c r="O58" i="8" s="1"/>
  <c r="N57" i="8"/>
  <c r="P57" i="8" s="1"/>
  <c r="O57" i="8" l="1"/>
  <c r="AE66" i="8"/>
  <c r="AH66" i="8" s="1"/>
  <c r="AI66" i="8" s="1"/>
  <c r="AE67" i="8"/>
  <c r="AH67" i="8" s="1"/>
  <c r="AI67" i="8" s="1"/>
  <c r="AK68" i="8"/>
  <c r="K237" i="9"/>
  <c r="G237" i="9"/>
  <c r="H237" i="9" s="1"/>
  <c r="F237" i="9"/>
  <c r="E237" i="9"/>
  <c r="D237" i="9"/>
  <c r="C237" i="9"/>
  <c r="M228" i="9"/>
  <c r="N228" i="9" s="1"/>
  <c r="K228" i="9"/>
  <c r="J228" i="9"/>
  <c r="I228" i="9"/>
  <c r="H228" i="9"/>
  <c r="G228" i="9"/>
  <c r="F228" i="9"/>
  <c r="E228" i="9"/>
  <c r="D228" i="9"/>
  <c r="C228" i="9"/>
  <c r="M202" i="9"/>
  <c r="N202" i="9" s="1"/>
  <c r="L202" i="9"/>
  <c r="K202" i="9"/>
  <c r="J202" i="9"/>
  <c r="G202" i="9"/>
  <c r="H202" i="9" s="1"/>
  <c r="F202" i="9"/>
  <c r="E202" i="9"/>
  <c r="D202" i="9"/>
  <c r="C202" i="9"/>
  <c r="A195" i="9"/>
  <c r="M193" i="9"/>
  <c r="N193" i="9" s="1"/>
  <c r="O193" i="9" s="1"/>
  <c r="L193" i="9"/>
  <c r="K193" i="9"/>
  <c r="J193" i="9"/>
  <c r="I193" i="9"/>
  <c r="H193" i="9"/>
  <c r="G193" i="9"/>
  <c r="F193" i="9"/>
  <c r="E193" i="9"/>
  <c r="D193" i="9"/>
  <c r="C193" i="9"/>
  <c r="K153" i="9"/>
  <c r="G153" i="9"/>
  <c r="H153" i="9" s="1"/>
  <c r="F153" i="9"/>
  <c r="E153" i="9"/>
  <c r="D153" i="9"/>
  <c r="C153" i="9"/>
  <c r="M141" i="9"/>
  <c r="N141" i="9" s="1"/>
  <c r="K141" i="9"/>
  <c r="J141" i="9"/>
  <c r="I141" i="9"/>
  <c r="H141" i="9"/>
  <c r="G141" i="9"/>
  <c r="F141" i="9"/>
  <c r="E141" i="9"/>
  <c r="D141" i="9"/>
  <c r="C141" i="9"/>
  <c r="A25" i="9"/>
  <c r="AH68" i="8"/>
  <c r="O202" i="9" l="1"/>
  <c r="Q202" i="9" s="1"/>
  <c r="R202" i="9" s="1"/>
  <c r="P202" i="9"/>
  <c r="D61" i="8"/>
  <c r="F237" i="7" l="1"/>
  <c r="E237" i="7"/>
  <c r="D237" i="7"/>
  <c r="C237" i="7"/>
  <c r="M228" i="7"/>
  <c r="N228" i="7" s="1"/>
  <c r="G228" i="7"/>
  <c r="F228" i="7"/>
  <c r="E228" i="7"/>
  <c r="D228" i="7"/>
  <c r="C228" i="7"/>
  <c r="K202" i="7"/>
  <c r="J202" i="7"/>
  <c r="F202" i="7"/>
  <c r="E202" i="7"/>
  <c r="D202" i="7"/>
  <c r="C202" i="7"/>
  <c r="A195" i="7"/>
  <c r="G193" i="7"/>
  <c r="F193" i="7"/>
  <c r="E193" i="7"/>
  <c r="D193" i="7"/>
  <c r="C193" i="7"/>
  <c r="F153" i="7"/>
  <c r="E153" i="7"/>
  <c r="D153" i="7"/>
  <c r="C153" i="7"/>
  <c r="M141" i="7"/>
  <c r="N141" i="7" s="1"/>
  <c r="G141" i="7"/>
  <c r="F141" i="7"/>
  <c r="E141" i="7"/>
  <c r="D141" i="7"/>
  <c r="C141" i="7"/>
  <c r="A25" i="7" l="1"/>
  <c r="AI68" i="8" l="1"/>
  <c r="H141" i="7"/>
  <c r="G153" i="7"/>
  <c r="H153" i="7" s="1"/>
  <c r="G202" i="7"/>
  <c r="H202" i="7" s="1"/>
  <c r="K153" i="7"/>
  <c r="L202" i="7"/>
  <c r="M202" i="7"/>
  <c r="N202" i="7" s="1"/>
  <c r="H193" i="7"/>
  <c r="H228" i="7"/>
  <c r="I228" i="7"/>
  <c r="J228" i="7"/>
  <c r="K228" i="7"/>
  <c r="L193" i="7"/>
  <c r="M193" i="7"/>
  <c r="N193" i="7" s="1"/>
  <c r="O193" i="7" s="1"/>
  <c r="J141" i="7"/>
  <c r="K141" i="7"/>
  <c r="I193" i="7"/>
  <c r="I141" i="7"/>
  <c r="K193" i="7"/>
  <c r="G237" i="7"/>
  <c r="H237" i="7" s="1"/>
  <c r="J193" i="7"/>
  <c r="K237" i="7"/>
  <c r="P202" i="7" l="1"/>
  <c r="O202" i="7"/>
  <c r="Q202" i="7" s="1"/>
  <c r="R202" i="7" s="1"/>
  <c r="QQ138" i="6" l="1"/>
  <c r="QO138" i="6"/>
  <c r="QO143" i="6" s="1"/>
  <c r="QM138" i="6"/>
  <c r="QK138" i="6"/>
  <c r="QK143" i="6" s="1"/>
  <c r="QI138" i="6"/>
  <c r="QG138" i="6"/>
  <c r="QG143" i="6" s="1"/>
  <c r="QC138" i="6"/>
  <c r="QA138" i="6"/>
  <c r="QA143" i="6" s="1"/>
  <c r="PY138" i="6"/>
  <c r="PW138" i="6"/>
  <c r="PU138" i="6"/>
  <c r="PS138" i="6"/>
  <c r="PS139" i="6" s="1"/>
  <c r="OT138" i="6"/>
  <c r="OT143" i="6" s="1"/>
  <c r="OR138" i="6"/>
  <c r="OR143" i="6" s="1"/>
  <c r="OP138" i="6"/>
  <c r="OP139" i="6" s="1"/>
  <c r="ON138" i="6"/>
  <c r="ON139" i="6" s="1"/>
  <c r="ON146" i="6" s="1"/>
  <c r="OL138" i="6"/>
  <c r="OJ138" i="6"/>
  <c r="OH138" i="6"/>
  <c r="OF138" i="6"/>
  <c r="OD138" i="6"/>
  <c r="OD139" i="6" s="1"/>
  <c r="OB138" i="6"/>
  <c r="OB139" i="6" s="1"/>
  <c r="NZ138" i="6"/>
  <c r="NZ143" i="6" s="1"/>
  <c r="NX138" i="6"/>
  <c r="NV138" i="6"/>
  <c r="NT138" i="6"/>
  <c r="NR138" i="6"/>
  <c r="NR143" i="6" s="1"/>
  <c r="NP138" i="6"/>
  <c r="NP139" i="6" s="1"/>
  <c r="NN138" i="6"/>
  <c r="NN139" i="6" s="1"/>
  <c r="NL138" i="6"/>
  <c r="NJ138" i="6"/>
  <c r="NH138" i="6"/>
  <c r="NF138" i="6"/>
  <c r="NF139" i="6" s="1"/>
  <c r="NF146" i="6" s="1"/>
  <c r="ND138" i="6"/>
  <c r="ND139" i="6" s="1"/>
  <c r="ND146" i="6" s="1"/>
  <c r="MG138" i="6"/>
  <c r="MG139" i="6" s="1"/>
  <c r="MG146" i="6" s="1"/>
  <c r="LQ138" i="6"/>
  <c r="LO138" i="6"/>
  <c r="LM138" i="6"/>
  <c r="LM143" i="6" s="1"/>
  <c r="LK138" i="6"/>
  <c r="LI138" i="6"/>
  <c r="LG138" i="6"/>
  <c r="LG143" i="6" s="1"/>
  <c r="LE138" i="6"/>
  <c r="LE139" i="6" s="1"/>
  <c r="LC138" i="6"/>
  <c r="LC143" i="6" s="1"/>
  <c r="LA138" i="6"/>
  <c r="LA143" i="6" s="1"/>
  <c r="KY138" i="6"/>
  <c r="KW138" i="6"/>
  <c r="KW143" i="6" s="1"/>
  <c r="KU138" i="6"/>
  <c r="KU143" i="6" s="1"/>
  <c r="KS138" i="6"/>
  <c r="KS143" i="6" s="1"/>
  <c r="KQ138" i="6"/>
  <c r="KO138" i="6"/>
  <c r="KO143" i="6" s="1"/>
  <c r="KM138" i="6"/>
  <c r="KK138" i="6"/>
  <c r="KK139" i="6" s="1"/>
  <c r="KI138" i="6"/>
  <c r="KG138" i="6"/>
  <c r="KG139" i="6" s="1"/>
  <c r="KE138" i="6"/>
  <c r="KE143" i="6" s="1"/>
  <c r="KC138" i="6"/>
  <c r="KA138" i="6"/>
  <c r="IY138" i="6"/>
  <c r="IY139" i="6" s="1"/>
  <c r="IW138" i="6"/>
  <c r="IW139" i="6" s="1"/>
  <c r="IU138" i="6"/>
  <c r="IU139" i="6" s="1"/>
  <c r="IS138" i="6"/>
  <c r="IS139" i="6" s="1"/>
  <c r="IQ138" i="6"/>
  <c r="IQ143" i="6" s="1"/>
  <c r="IO138" i="6"/>
  <c r="IO143" i="6" s="1"/>
  <c r="IM138" i="6"/>
  <c r="IM139" i="6" s="1"/>
  <c r="IM146" i="6" s="1"/>
  <c r="IK138" i="6"/>
  <c r="II138" i="6"/>
  <c r="II139" i="6" s="1"/>
  <c r="IG138" i="6"/>
  <c r="IG139" i="6" s="1"/>
  <c r="IE138" i="6"/>
  <c r="IE143" i="6" s="1"/>
  <c r="IC138" i="6"/>
  <c r="IC143" i="6" s="1"/>
  <c r="IA138" i="6"/>
  <c r="HY138" i="6"/>
  <c r="HW138" i="6"/>
  <c r="HW139" i="6" s="1"/>
  <c r="HU138" i="6"/>
  <c r="HS138" i="6"/>
  <c r="HS139" i="6" s="1"/>
  <c r="HQ138" i="6"/>
  <c r="HQ143" i="6" s="1"/>
  <c r="HO138" i="6"/>
  <c r="HM138" i="6"/>
  <c r="HM143" i="6" s="1"/>
  <c r="HK138" i="6"/>
  <c r="HK143" i="6" s="1"/>
  <c r="HI138" i="6"/>
  <c r="HI139" i="6" s="1"/>
  <c r="HI146" i="6" s="1"/>
  <c r="HG138" i="6"/>
  <c r="HG139" i="6" s="1"/>
  <c r="HE138" i="6"/>
  <c r="HE143" i="6" s="1"/>
  <c r="HC138" i="6"/>
  <c r="HC139" i="6" s="1"/>
  <c r="GW138" i="6"/>
  <c r="GW143" i="6" s="1"/>
  <c r="GU138" i="6"/>
  <c r="GU143" i="6" s="1"/>
  <c r="GS138" i="6"/>
  <c r="GQ138" i="6"/>
  <c r="GQ143" i="6" s="1"/>
  <c r="EZ138" i="6"/>
  <c r="EZ143" i="6" s="1"/>
  <c r="EX138" i="6"/>
  <c r="EX139" i="6" s="1"/>
  <c r="EV138" i="6"/>
  <c r="EV143" i="6" s="1"/>
  <c r="ET138" i="6"/>
  <c r="ER138" i="6"/>
  <c r="ER139" i="6" s="1"/>
  <c r="EP138" i="6"/>
  <c r="EN138" i="6"/>
  <c r="EN143" i="6" s="1"/>
  <c r="EL138" i="6"/>
  <c r="EL139" i="6" s="1"/>
  <c r="EJ138" i="6"/>
  <c r="EH138" i="6"/>
  <c r="EF138" i="6"/>
  <c r="ED138" i="6"/>
  <c r="ED139" i="6" s="1"/>
  <c r="EB138" i="6"/>
  <c r="EB139" i="6" s="1"/>
  <c r="DZ138" i="6"/>
  <c r="DZ139" i="6" s="1"/>
  <c r="DX138" i="6"/>
  <c r="DX143" i="6" s="1"/>
  <c r="DV138" i="6"/>
  <c r="DT138" i="6"/>
  <c r="DR138" i="6"/>
  <c r="DP138" i="6"/>
  <c r="DP143" i="6" s="1"/>
  <c r="DN138" i="6"/>
  <c r="DN139" i="6" s="1"/>
  <c r="DL138" i="6"/>
  <c r="DL143" i="6" s="1"/>
  <c r="DJ138" i="6"/>
  <c r="DJ139" i="6" s="1"/>
  <c r="CS138" i="6"/>
  <c r="CS139" i="6" s="1"/>
  <c r="CS146" i="6" s="1"/>
  <c r="CQ138" i="6"/>
  <c r="CE138" i="6"/>
  <c r="CE143" i="6" s="1"/>
  <c r="CA138" i="6"/>
  <c r="CA143" i="6" s="1"/>
  <c r="BY138" i="6"/>
  <c r="BY143" i="6" s="1"/>
  <c r="BW138" i="6"/>
  <c r="BW143" i="6" s="1"/>
  <c r="BU138" i="6"/>
  <c r="BU143" i="6" s="1"/>
  <c r="BS138" i="6"/>
  <c r="BS139" i="6" s="1"/>
  <c r="BS146" i="6" s="1"/>
  <c r="BQ138" i="6"/>
  <c r="BO138" i="6"/>
  <c r="BO143" i="6" s="1"/>
  <c r="BM138" i="6"/>
  <c r="BK138" i="6"/>
  <c r="BI138" i="6"/>
  <c r="BI143" i="6" s="1"/>
  <c r="BG138" i="6"/>
  <c r="BE138" i="6"/>
  <c r="BC138" i="6"/>
  <c r="BC139" i="6" s="1"/>
  <c r="BA138" i="6"/>
  <c r="BA143" i="6" s="1"/>
  <c r="AY138" i="6"/>
  <c r="AW138" i="6"/>
  <c r="AW143" i="6" s="1"/>
  <c r="AU138" i="6"/>
  <c r="AS138" i="6"/>
  <c r="AQ138" i="6"/>
  <c r="AO138" i="6"/>
  <c r="AO143" i="6" s="1"/>
  <c r="AM138" i="6"/>
  <c r="AM143" i="6" s="1"/>
  <c r="AK138" i="6"/>
  <c r="AK143" i="6" s="1"/>
  <c r="PP137" i="6"/>
  <c r="PP138" i="6" s="1"/>
  <c r="PN137" i="6"/>
  <c r="PN138" i="6" s="1"/>
  <c r="PL137" i="6"/>
  <c r="PL138" i="6" s="1"/>
  <c r="PJ137" i="6"/>
  <c r="PJ138" i="6" s="1"/>
  <c r="OX137" i="6"/>
  <c r="OX138" i="6" s="1"/>
  <c r="OV137" i="6"/>
  <c r="OV138" i="6" s="1"/>
  <c r="LU137" i="6"/>
  <c r="LU138" i="6" s="1"/>
  <c r="LS137" i="6"/>
  <c r="FB137" i="6"/>
  <c r="CC137" i="6"/>
  <c r="QO132" i="6"/>
  <c r="QK132" i="6"/>
  <c r="QG132" i="6"/>
  <c r="QA132" i="6"/>
  <c r="PW132" i="6"/>
  <c r="PS132" i="6"/>
  <c r="PP132" i="6"/>
  <c r="PN132" i="6"/>
  <c r="PL132" i="6"/>
  <c r="PJ132" i="6"/>
  <c r="PH132" i="6"/>
  <c r="PF132" i="6"/>
  <c r="PD132" i="6"/>
  <c r="PB132" i="6"/>
  <c r="OZ132" i="6"/>
  <c r="OX132" i="6"/>
  <c r="OV132" i="6"/>
  <c r="OT132" i="6"/>
  <c r="OR132" i="6"/>
  <c r="OP132" i="6"/>
  <c r="ON132" i="6"/>
  <c r="OL132" i="6"/>
  <c r="OJ132" i="6"/>
  <c r="OH132" i="6"/>
  <c r="OF132" i="6"/>
  <c r="OD132" i="6"/>
  <c r="OB132" i="6"/>
  <c r="NZ132" i="6"/>
  <c r="NX132" i="6"/>
  <c r="NV132" i="6"/>
  <c r="NT132" i="6"/>
  <c r="NR132" i="6"/>
  <c r="NP132" i="6"/>
  <c r="NN132" i="6"/>
  <c r="NJ132" i="6"/>
  <c r="NH132" i="6"/>
  <c r="NF132" i="6"/>
  <c r="ND132" i="6"/>
  <c r="NB132" i="6"/>
  <c r="MZ132" i="6"/>
  <c r="MX132" i="6"/>
  <c r="MV132" i="6"/>
  <c r="MT132" i="6"/>
  <c r="MR132" i="6"/>
  <c r="MP132" i="6"/>
  <c r="MG132" i="6"/>
  <c r="ME132" i="6"/>
  <c r="MC132" i="6"/>
  <c r="MA132" i="6"/>
  <c r="LY132" i="6"/>
  <c r="LW132" i="6"/>
  <c r="LU132" i="6"/>
  <c r="LS132" i="6"/>
  <c r="LQ132" i="6"/>
  <c r="LO132" i="6"/>
  <c r="LM132" i="6"/>
  <c r="LK132" i="6"/>
  <c r="LI132" i="6"/>
  <c r="LG132" i="6"/>
  <c r="LE132" i="6"/>
  <c r="LC132" i="6"/>
  <c r="LA132" i="6"/>
  <c r="KY132" i="6"/>
  <c r="KW132" i="6"/>
  <c r="KU132" i="6"/>
  <c r="KS132" i="6"/>
  <c r="KQ132" i="6"/>
  <c r="KO132" i="6"/>
  <c r="KM132" i="6"/>
  <c r="KK132" i="6"/>
  <c r="KG132" i="6"/>
  <c r="KE132" i="6"/>
  <c r="KC132" i="6"/>
  <c r="KA132" i="6"/>
  <c r="JY132" i="6"/>
  <c r="JW132" i="6"/>
  <c r="JU132" i="6"/>
  <c r="JS132" i="6"/>
  <c r="JQ132" i="6"/>
  <c r="JO132" i="6"/>
  <c r="JM132" i="6"/>
  <c r="JD132" i="6"/>
  <c r="JB132" i="6"/>
  <c r="IY132" i="6"/>
  <c r="IW132" i="6"/>
  <c r="IU132" i="6"/>
  <c r="IS132" i="6"/>
  <c r="IQ132" i="6"/>
  <c r="IO132" i="6"/>
  <c r="IM132" i="6"/>
  <c r="IK132" i="6"/>
  <c r="II132" i="6"/>
  <c r="IG132" i="6"/>
  <c r="IE132" i="6"/>
  <c r="IC132" i="6"/>
  <c r="IA132" i="6"/>
  <c r="HY132" i="6"/>
  <c r="HW132" i="6"/>
  <c r="HU132" i="6"/>
  <c r="HS132" i="6"/>
  <c r="HQ132" i="6"/>
  <c r="HO132" i="6"/>
  <c r="HM132" i="6"/>
  <c r="HK132" i="6"/>
  <c r="HI132" i="6"/>
  <c r="HG132" i="6"/>
  <c r="HE132" i="6"/>
  <c r="HC132" i="6"/>
  <c r="HA132" i="6"/>
  <c r="GW132" i="6"/>
  <c r="GU132" i="6"/>
  <c r="GS132" i="6"/>
  <c r="GQ132" i="6"/>
  <c r="GO132" i="6"/>
  <c r="GM132" i="6"/>
  <c r="GK132" i="6"/>
  <c r="GI132" i="6"/>
  <c r="GG132" i="6"/>
  <c r="GE132" i="6"/>
  <c r="GC132" i="6"/>
  <c r="GA132" i="6"/>
  <c r="FY132" i="6"/>
  <c r="FP132" i="6"/>
  <c r="FN132" i="6"/>
  <c r="FL132" i="6"/>
  <c r="FJ132" i="6"/>
  <c r="FH132" i="6"/>
  <c r="FF132" i="6"/>
  <c r="FD132" i="6"/>
  <c r="FB132" i="6"/>
  <c r="EZ132" i="6"/>
  <c r="EX132" i="6"/>
  <c r="EV132" i="6"/>
  <c r="ET132" i="6"/>
  <c r="ER132" i="6"/>
  <c r="EP132" i="6"/>
  <c r="EN132" i="6"/>
  <c r="EL132" i="6"/>
  <c r="EJ132" i="6"/>
  <c r="EH132" i="6"/>
  <c r="EF132" i="6"/>
  <c r="ED132" i="6"/>
  <c r="EB132" i="6"/>
  <c r="DZ132" i="6"/>
  <c r="DX132" i="6"/>
  <c r="DV132" i="6"/>
  <c r="DT132" i="6"/>
  <c r="DP132" i="6"/>
  <c r="DN132" i="6"/>
  <c r="DL132" i="6"/>
  <c r="DJ132" i="6"/>
  <c r="DH132" i="6"/>
  <c r="DF132" i="6"/>
  <c r="DD132" i="6"/>
  <c r="DB132" i="6"/>
  <c r="CZ132" i="6"/>
  <c r="CX132" i="6"/>
  <c r="CS132" i="6"/>
  <c r="CQ132" i="6"/>
  <c r="CO132" i="6"/>
  <c r="CM132" i="6"/>
  <c r="CK132" i="6"/>
  <c r="CI132" i="6"/>
  <c r="CG132" i="6"/>
  <c r="CE132" i="6"/>
  <c r="CC132" i="6"/>
  <c r="CA132" i="6"/>
  <c r="BY132" i="6"/>
  <c r="BW132" i="6"/>
  <c r="BU132" i="6"/>
  <c r="BS132" i="6"/>
  <c r="BQ132" i="6"/>
  <c r="BO132" i="6"/>
  <c r="BM132" i="6"/>
  <c r="BK132" i="6"/>
  <c r="BI132" i="6"/>
  <c r="BG132" i="6"/>
  <c r="BE132" i="6"/>
  <c r="BC132" i="6"/>
  <c r="BA132" i="6"/>
  <c r="AY132" i="6"/>
  <c r="AW132" i="6"/>
  <c r="AU132" i="6"/>
  <c r="AQ132" i="6"/>
  <c r="AO132" i="6"/>
  <c r="AM132" i="6"/>
  <c r="AK132" i="6"/>
  <c r="AI132" i="6"/>
  <c r="AG132" i="6"/>
  <c r="AE132" i="6"/>
  <c r="AC132" i="6"/>
  <c r="AA132" i="6"/>
  <c r="Y132" i="6"/>
  <c r="W132" i="6"/>
  <c r="U132" i="6"/>
  <c r="S132" i="6"/>
  <c r="MT124" i="6"/>
  <c r="MT125" i="6" s="1"/>
  <c r="MR124" i="6"/>
  <c r="MR125" i="6" s="1"/>
  <c r="JO124" i="6"/>
  <c r="JO125" i="6" s="1"/>
  <c r="JO128" i="6" s="1"/>
  <c r="GG124" i="6"/>
  <c r="GG125" i="6" s="1"/>
  <c r="GG128" i="6" s="1"/>
  <c r="GC124" i="6"/>
  <c r="GC125" i="6" s="1"/>
  <c r="GC128" i="6" s="1"/>
  <c r="GA124" i="6"/>
  <c r="GA125" i="6" s="1"/>
  <c r="GA128" i="6" s="1"/>
  <c r="AA124" i="6"/>
  <c r="AA125" i="6" s="1"/>
  <c r="AA128" i="6" s="1"/>
  <c r="OT123" i="6"/>
  <c r="OD123" i="6"/>
  <c r="OB123" i="6"/>
  <c r="NZ123" i="6"/>
  <c r="NX123" i="6"/>
  <c r="NV123" i="6"/>
  <c r="NT123" i="6"/>
  <c r="NR123" i="6"/>
  <c r="NP123" i="6"/>
  <c r="NN123" i="6"/>
  <c r="NL123" i="6"/>
  <c r="NJ123" i="6"/>
  <c r="NH123" i="6"/>
  <c r="NF123" i="6"/>
  <c r="ND123" i="6"/>
  <c r="NB123" i="6"/>
  <c r="MZ123" i="6"/>
  <c r="MX123" i="6"/>
  <c r="LQ123" i="6"/>
  <c r="LA123" i="6"/>
  <c r="KY123" i="6"/>
  <c r="KW123" i="6"/>
  <c r="KU123" i="6"/>
  <c r="KS123" i="6"/>
  <c r="KQ123" i="6"/>
  <c r="KO123" i="6"/>
  <c r="KM123" i="6"/>
  <c r="KK123" i="6"/>
  <c r="KI123" i="6"/>
  <c r="KG123" i="6"/>
  <c r="KE123" i="6"/>
  <c r="KC123" i="6"/>
  <c r="KA123" i="6"/>
  <c r="JY123" i="6"/>
  <c r="JW123" i="6"/>
  <c r="JU123" i="6"/>
  <c r="IG123" i="6"/>
  <c r="HQ123" i="6"/>
  <c r="HI123" i="6"/>
  <c r="HS123" i="6" s="1"/>
  <c r="HG123" i="6"/>
  <c r="HE123" i="6"/>
  <c r="HC123" i="6"/>
  <c r="HA123" i="6"/>
  <c r="GY123" i="6"/>
  <c r="GW123" i="6"/>
  <c r="GU123" i="6"/>
  <c r="GS123" i="6"/>
  <c r="GQ123" i="6"/>
  <c r="GO123" i="6"/>
  <c r="GM123" i="6"/>
  <c r="GK123" i="6"/>
  <c r="FP123" i="6"/>
  <c r="IY123" i="6" s="1"/>
  <c r="FN123" i="6"/>
  <c r="FL123" i="6"/>
  <c r="FJ123" i="6"/>
  <c r="IS123" i="6" s="1"/>
  <c r="FH123" i="6"/>
  <c r="CI123" i="6" s="1"/>
  <c r="FF123" i="6"/>
  <c r="LW123" i="6" s="1"/>
  <c r="FD123" i="6"/>
  <c r="OX123" i="6" s="1"/>
  <c r="FB123" i="6"/>
  <c r="IK123" i="6" s="1"/>
  <c r="EX123" i="6"/>
  <c r="EV123" i="6"/>
  <c r="LM123" i="6" s="1"/>
  <c r="ET123" i="6"/>
  <c r="ER123" i="6"/>
  <c r="LI123" i="6" s="1"/>
  <c r="EP123" i="6"/>
  <c r="BQ123" i="6" s="1"/>
  <c r="EN123" i="6"/>
  <c r="BO123" i="6" s="1"/>
  <c r="CA123" i="6"/>
  <c r="BK123" i="6"/>
  <c r="BI123" i="6"/>
  <c r="BG123" i="6"/>
  <c r="BE123" i="6"/>
  <c r="BC123" i="6"/>
  <c r="BA123" i="6"/>
  <c r="AY123" i="6"/>
  <c r="AW123" i="6"/>
  <c r="AU123" i="6"/>
  <c r="AS123" i="6"/>
  <c r="AQ123" i="6"/>
  <c r="AO123" i="6"/>
  <c r="AM123" i="6"/>
  <c r="AK123" i="6"/>
  <c r="AI123" i="6"/>
  <c r="AG123" i="6"/>
  <c r="AE123" i="6"/>
  <c r="QO122" i="6"/>
  <c r="QO124" i="6" s="1"/>
  <c r="QO125" i="6" s="1"/>
  <c r="QK122" i="6"/>
  <c r="QK124" i="6" s="1"/>
  <c r="QK125" i="6" s="1"/>
  <c r="QG122" i="6"/>
  <c r="QG124" i="6" s="1"/>
  <c r="QG125" i="6" s="1"/>
  <c r="QA122" i="6"/>
  <c r="QA124" i="6" s="1"/>
  <c r="QA125" i="6" s="1"/>
  <c r="PW122" i="6"/>
  <c r="PW124" i="6" s="1"/>
  <c r="PW125" i="6" s="1"/>
  <c r="PS122" i="6"/>
  <c r="PS124" i="6" s="1"/>
  <c r="PS125" i="6" s="1"/>
  <c r="PP122" i="6"/>
  <c r="PP124" i="6" s="1"/>
  <c r="PP125" i="6" s="1"/>
  <c r="PN122" i="6"/>
  <c r="PN124" i="6" s="1"/>
  <c r="PN125" i="6" s="1"/>
  <c r="PL122" i="6"/>
  <c r="PL124" i="6" s="1"/>
  <c r="PL125" i="6" s="1"/>
  <c r="PJ122" i="6"/>
  <c r="PJ124" i="6" s="1"/>
  <c r="PJ125" i="6" s="1"/>
  <c r="PH122" i="6"/>
  <c r="PH124" i="6" s="1"/>
  <c r="PH125" i="6" s="1"/>
  <c r="PF122" i="6"/>
  <c r="PD122" i="6"/>
  <c r="PB122" i="6"/>
  <c r="OZ122" i="6"/>
  <c r="OX122" i="6"/>
  <c r="OV122" i="6"/>
  <c r="OT122" i="6"/>
  <c r="OT124" i="6" s="1"/>
  <c r="OT125" i="6" s="1"/>
  <c r="OR122" i="6"/>
  <c r="OP122" i="6"/>
  <c r="ON122" i="6"/>
  <c r="OL122" i="6"/>
  <c r="OJ122" i="6"/>
  <c r="OH122" i="6"/>
  <c r="OF122" i="6"/>
  <c r="OD122" i="6"/>
  <c r="OB122" i="6"/>
  <c r="NZ122" i="6"/>
  <c r="NX122" i="6"/>
  <c r="NX124" i="6" s="1"/>
  <c r="NX125" i="6" s="1"/>
  <c r="NV122" i="6"/>
  <c r="NV124" i="6" s="1"/>
  <c r="NV125" i="6" s="1"/>
  <c r="NT122" i="6"/>
  <c r="NT124" i="6" s="1"/>
  <c r="NT125" i="6" s="1"/>
  <c r="NR122" i="6"/>
  <c r="NP122" i="6"/>
  <c r="NN122" i="6"/>
  <c r="NJ122" i="6"/>
  <c r="NJ124" i="6" s="1"/>
  <c r="NJ125" i="6" s="1"/>
  <c r="NH122" i="6"/>
  <c r="NH124" i="6" s="1"/>
  <c r="NH125" i="6" s="1"/>
  <c r="NF122" i="6"/>
  <c r="ND122" i="6"/>
  <c r="ND124" i="6" s="1"/>
  <c r="ND125" i="6" s="1"/>
  <c r="ND151" i="6" s="1"/>
  <c r="NB122" i="6"/>
  <c r="MZ122" i="6"/>
  <c r="MZ124" i="6" s="1"/>
  <c r="MZ125" i="6" s="1"/>
  <c r="MX122" i="6"/>
  <c r="MV122" i="6"/>
  <c r="MV124" i="6" s="1"/>
  <c r="MV125" i="6" s="1"/>
  <c r="MP122" i="6"/>
  <c r="MP124" i="6" s="1"/>
  <c r="MP125" i="6" s="1"/>
  <c r="MN122" i="6"/>
  <c r="MN124" i="6" s="1"/>
  <c r="MN125" i="6" s="1"/>
  <c r="ML122" i="6"/>
  <c r="MJ122" i="6"/>
  <c r="MJ123" i="6" s="1"/>
  <c r="MG122" i="6"/>
  <c r="MG124" i="6" s="1"/>
  <c r="MG125" i="6" s="1"/>
  <c r="ME122" i="6"/>
  <c r="ME124" i="6" s="1"/>
  <c r="ME125" i="6" s="1"/>
  <c r="MC122" i="6"/>
  <c r="MA122" i="6"/>
  <c r="LY122" i="6"/>
  <c r="LW122" i="6"/>
  <c r="LU122" i="6"/>
  <c r="LS122" i="6"/>
  <c r="LQ122" i="6"/>
  <c r="LO122" i="6"/>
  <c r="LM122" i="6"/>
  <c r="LM124" i="6" s="1"/>
  <c r="LM125" i="6" s="1"/>
  <c r="LK122" i="6"/>
  <c r="LI122" i="6"/>
  <c r="LG122" i="6"/>
  <c r="LE122" i="6"/>
  <c r="LC122" i="6"/>
  <c r="LA122" i="6"/>
  <c r="LA124" i="6" s="1"/>
  <c r="LA125" i="6" s="1"/>
  <c r="KY122" i="6"/>
  <c r="KY124" i="6" s="1"/>
  <c r="KY125" i="6" s="1"/>
  <c r="KW122" i="6"/>
  <c r="KW124" i="6" s="1"/>
  <c r="KW125" i="6" s="1"/>
  <c r="KU122" i="6"/>
  <c r="KS122" i="6"/>
  <c r="KQ122" i="6"/>
  <c r="KQ124" i="6" s="1"/>
  <c r="KQ125" i="6" s="1"/>
  <c r="KO122" i="6"/>
  <c r="KM122" i="6"/>
  <c r="KK122" i="6"/>
  <c r="KK124" i="6" s="1"/>
  <c r="KK125" i="6" s="1"/>
  <c r="KG122" i="6"/>
  <c r="KG124" i="6" s="1"/>
  <c r="KG125" i="6" s="1"/>
  <c r="KE122" i="6"/>
  <c r="KE124" i="6" s="1"/>
  <c r="KE125" i="6" s="1"/>
  <c r="KC122" i="6"/>
  <c r="KC124" i="6" s="1"/>
  <c r="KC125" i="6" s="1"/>
  <c r="KA122" i="6"/>
  <c r="KA124" i="6" s="1"/>
  <c r="KA125" i="6" s="1"/>
  <c r="JY122" i="6"/>
  <c r="JY124" i="6" s="1"/>
  <c r="JY125" i="6" s="1"/>
  <c r="JW122" i="6"/>
  <c r="JW124" i="6" s="1"/>
  <c r="JW125" i="6" s="1"/>
  <c r="JU122" i="6"/>
  <c r="JU124" i="6" s="1"/>
  <c r="JU125" i="6" s="1"/>
  <c r="JS122" i="6"/>
  <c r="JS124" i="6" s="1"/>
  <c r="JS125" i="6" s="1"/>
  <c r="JQ122" i="6"/>
  <c r="JQ124" i="6" s="1"/>
  <c r="JQ125" i="6" s="1"/>
  <c r="JQ128" i="6" s="1"/>
  <c r="JM122" i="6"/>
  <c r="JM124" i="6" s="1"/>
  <c r="JM125" i="6" s="1"/>
  <c r="JM128" i="6" s="1"/>
  <c r="JM129" i="6" s="1"/>
  <c r="JK122" i="6"/>
  <c r="JK124" i="6" s="1"/>
  <c r="JK125" i="6" s="1"/>
  <c r="JI122" i="6"/>
  <c r="JI123" i="6" s="1"/>
  <c r="JI124" i="6" s="1"/>
  <c r="JI125" i="6" s="1"/>
  <c r="JI128" i="6" s="1"/>
  <c r="JI129" i="6" s="1"/>
  <c r="JG122" i="6"/>
  <c r="JG123" i="6" s="1"/>
  <c r="JG124" i="6" s="1"/>
  <c r="JG125" i="6" s="1"/>
  <c r="JG128" i="6" s="1"/>
  <c r="JG129" i="6" s="1"/>
  <c r="JD122" i="6"/>
  <c r="JD124" i="6" s="1"/>
  <c r="JD125" i="6" s="1"/>
  <c r="JB122" i="6"/>
  <c r="JB124" i="6" s="1"/>
  <c r="JB125" i="6" s="1"/>
  <c r="IY122" i="6"/>
  <c r="IW122" i="6"/>
  <c r="IW124" i="6" s="1"/>
  <c r="IW125" i="6" s="1"/>
  <c r="IW151" i="6" s="1"/>
  <c r="IU122" i="6"/>
  <c r="IS122" i="6"/>
  <c r="IS124" i="6" s="1"/>
  <c r="IS125" i="6" s="1"/>
  <c r="IS151" i="6" s="1"/>
  <c r="IQ122" i="6"/>
  <c r="IO122" i="6"/>
  <c r="IM122" i="6"/>
  <c r="IK122" i="6"/>
  <c r="IK124" i="6" s="1"/>
  <c r="IK125" i="6" s="1"/>
  <c r="II122" i="6"/>
  <c r="IG122" i="6"/>
  <c r="IE122" i="6"/>
  <c r="IC122" i="6"/>
  <c r="IA122" i="6"/>
  <c r="HY122" i="6"/>
  <c r="HW122" i="6"/>
  <c r="HU122" i="6"/>
  <c r="HS122" i="6"/>
  <c r="HQ122" i="6"/>
  <c r="HQ124" i="6" s="1"/>
  <c r="HQ125" i="6" s="1"/>
  <c r="HQ151" i="6" s="1"/>
  <c r="HO122" i="6"/>
  <c r="HO124" i="6" s="1"/>
  <c r="HO125" i="6" s="1"/>
  <c r="HM122" i="6"/>
  <c r="HM124" i="6" s="1"/>
  <c r="HM125" i="6" s="1"/>
  <c r="HK122" i="6"/>
  <c r="HK124" i="6" s="1"/>
  <c r="HK125" i="6" s="1"/>
  <c r="HI122" i="6"/>
  <c r="HI124" i="6" s="1"/>
  <c r="HI125" i="6" s="1"/>
  <c r="HG122" i="6"/>
  <c r="HG124" i="6" s="1"/>
  <c r="HG125" i="6" s="1"/>
  <c r="HE122" i="6"/>
  <c r="HE124" i="6" s="1"/>
  <c r="HE125" i="6" s="1"/>
  <c r="HE151" i="6" s="1"/>
  <c r="HC122" i="6"/>
  <c r="HC124" i="6" s="1"/>
  <c r="HC125" i="6" s="1"/>
  <c r="HA122" i="6"/>
  <c r="GW122" i="6"/>
  <c r="GU122" i="6"/>
  <c r="GU124" i="6" s="1"/>
  <c r="GU125" i="6" s="1"/>
  <c r="GS122" i="6"/>
  <c r="GQ122" i="6"/>
  <c r="GQ124" i="6" s="1"/>
  <c r="GQ125" i="6" s="1"/>
  <c r="GO122" i="6"/>
  <c r="GM122" i="6"/>
  <c r="GK122" i="6"/>
  <c r="GK124" i="6" s="1"/>
  <c r="GK125" i="6" s="1"/>
  <c r="GI122" i="6"/>
  <c r="GI124" i="6" s="1"/>
  <c r="GI125" i="6" s="1"/>
  <c r="GE122" i="6"/>
  <c r="GE124" i="6" s="1"/>
  <c r="GE125" i="6" s="1"/>
  <c r="GE128" i="6" s="1"/>
  <c r="GE129" i="6" s="1"/>
  <c r="FY122" i="6"/>
  <c r="FY124" i="6" s="1"/>
  <c r="FY125" i="6" s="1"/>
  <c r="FY128" i="6" s="1"/>
  <c r="FW122" i="6"/>
  <c r="FW124" i="6" s="1"/>
  <c r="FW125" i="6" s="1"/>
  <c r="FU122" i="6"/>
  <c r="FU123" i="6" s="1"/>
  <c r="FU124" i="6" s="1"/>
  <c r="FU125" i="6" s="1"/>
  <c r="FU128" i="6" s="1"/>
  <c r="FU129" i="6" s="1"/>
  <c r="FS122" i="6"/>
  <c r="FS123" i="6" s="1"/>
  <c r="FP122" i="6"/>
  <c r="FP124" i="6" s="1"/>
  <c r="FP125" i="6" s="1"/>
  <c r="FN122" i="6"/>
  <c r="FN124" i="6" s="1"/>
  <c r="FN125" i="6" s="1"/>
  <c r="FL122" i="6"/>
  <c r="FL124" i="6" s="1"/>
  <c r="FL125" i="6" s="1"/>
  <c r="FJ122" i="6"/>
  <c r="FJ124" i="6" s="1"/>
  <c r="FJ125" i="6" s="1"/>
  <c r="FH122" i="6"/>
  <c r="FH124" i="6" s="1"/>
  <c r="FH125" i="6" s="1"/>
  <c r="FF122" i="6"/>
  <c r="FF124" i="6" s="1"/>
  <c r="FF125" i="6" s="1"/>
  <c r="FD122" i="6"/>
  <c r="FD124" i="6" s="1"/>
  <c r="FD125" i="6" s="1"/>
  <c r="FB122" i="6"/>
  <c r="FB124" i="6" s="1"/>
  <c r="FB125" i="6" s="1"/>
  <c r="EZ122" i="6"/>
  <c r="EZ124" i="6" s="1"/>
  <c r="EZ125" i="6" s="1"/>
  <c r="EX122" i="6"/>
  <c r="EV122" i="6"/>
  <c r="EV124" i="6" s="1"/>
  <c r="EV125" i="6" s="1"/>
  <c r="ET122" i="6"/>
  <c r="ET124" i="6" s="1"/>
  <c r="ET125" i="6" s="1"/>
  <c r="ER122" i="6"/>
  <c r="ER124" i="6" s="1"/>
  <c r="ER125" i="6" s="1"/>
  <c r="EP122" i="6"/>
  <c r="EP124" i="6" s="1"/>
  <c r="EP125" i="6" s="1"/>
  <c r="EN122" i="6"/>
  <c r="EL122" i="6"/>
  <c r="EL124" i="6" s="1"/>
  <c r="EL125" i="6" s="1"/>
  <c r="EJ122" i="6"/>
  <c r="EJ124" i="6" s="1"/>
  <c r="EJ125" i="6" s="1"/>
  <c r="EH122" i="6"/>
  <c r="EH124" i="6" s="1"/>
  <c r="EH125" i="6" s="1"/>
  <c r="EF122" i="6"/>
  <c r="EF124" i="6" s="1"/>
  <c r="EF125" i="6" s="1"/>
  <c r="ED122" i="6"/>
  <c r="ED124" i="6" s="1"/>
  <c r="ED125" i="6" s="1"/>
  <c r="EB122" i="6"/>
  <c r="EB124" i="6" s="1"/>
  <c r="EB125" i="6" s="1"/>
  <c r="DZ122" i="6"/>
  <c r="DZ124" i="6" s="1"/>
  <c r="DZ125" i="6" s="1"/>
  <c r="DX122" i="6"/>
  <c r="DX124" i="6" s="1"/>
  <c r="DX125" i="6" s="1"/>
  <c r="DV122" i="6"/>
  <c r="DV124" i="6" s="1"/>
  <c r="DV125" i="6" s="1"/>
  <c r="DV151" i="6" s="1"/>
  <c r="DT122" i="6"/>
  <c r="DT124" i="6" s="1"/>
  <c r="DT125" i="6" s="1"/>
  <c r="DT151" i="6" s="1"/>
  <c r="DP122" i="6"/>
  <c r="DP124" i="6" s="1"/>
  <c r="DP125" i="6" s="1"/>
  <c r="DN122" i="6"/>
  <c r="DN124" i="6" s="1"/>
  <c r="DN125" i="6" s="1"/>
  <c r="DL122" i="6"/>
  <c r="DL124" i="6" s="1"/>
  <c r="DL125" i="6" s="1"/>
  <c r="DL151" i="6" s="1"/>
  <c r="DJ122" i="6"/>
  <c r="DJ124" i="6" s="1"/>
  <c r="DJ125" i="6" s="1"/>
  <c r="DH122" i="6"/>
  <c r="DH124" i="6" s="1"/>
  <c r="DH125" i="6" s="1"/>
  <c r="DF122" i="6"/>
  <c r="DF124" i="6" s="1"/>
  <c r="DF125" i="6" s="1"/>
  <c r="DD122" i="6"/>
  <c r="DD124" i="6" s="1"/>
  <c r="DD125" i="6" s="1"/>
  <c r="DB122" i="6"/>
  <c r="DB124" i="6" s="1"/>
  <c r="DB125" i="6" s="1"/>
  <c r="CZ122" i="6"/>
  <c r="CZ124" i="6" s="1"/>
  <c r="CZ125" i="6" s="1"/>
  <c r="CX122" i="6"/>
  <c r="CX124" i="6" s="1"/>
  <c r="CX125" i="6" s="1"/>
  <c r="CV122" i="6"/>
  <c r="CV124" i="6" s="1"/>
  <c r="CV125" i="6" s="1"/>
  <c r="CS122" i="6"/>
  <c r="CS124" i="6" s="1"/>
  <c r="CS125" i="6" s="1"/>
  <c r="CQ122" i="6"/>
  <c r="CQ124" i="6" s="1"/>
  <c r="CQ125" i="6" s="1"/>
  <c r="CQ151" i="6" s="1"/>
  <c r="CO122" i="6"/>
  <c r="CO124" i="6" s="1"/>
  <c r="CO125" i="6" s="1"/>
  <c r="CM122" i="6"/>
  <c r="CK122" i="6"/>
  <c r="CI122" i="6"/>
  <c r="CI124" i="6" s="1"/>
  <c r="CI125" i="6" s="1"/>
  <c r="CG122" i="6"/>
  <c r="CE122" i="6"/>
  <c r="CC122" i="6"/>
  <c r="CA122" i="6"/>
  <c r="BY122" i="6"/>
  <c r="BW122" i="6"/>
  <c r="BU122" i="6"/>
  <c r="BS122" i="6"/>
  <c r="BQ122" i="6"/>
  <c r="BO122" i="6"/>
  <c r="BM122" i="6"/>
  <c r="BK122" i="6"/>
  <c r="BK124" i="6" s="1"/>
  <c r="BK125" i="6" s="1"/>
  <c r="BI122" i="6"/>
  <c r="BI124" i="6" s="1"/>
  <c r="BI125" i="6" s="1"/>
  <c r="BI151" i="6" s="1"/>
  <c r="BG122" i="6"/>
  <c r="BG124" i="6" s="1"/>
  <c r="BG125" i="6" s="1"/>
  <c r="BG151" i="6" s="1"/>
  <c r="BE122" i="6"/>
  <c r="BE124" i="6" s="1"/>
  <c r="BE125" i="6" s="1"/>
  <c r="BC122" i="6"/>
  <c r="BA122" i="6"/>
  <c r="AY122" i="6"/>
  <c r="AW122" i="6"/>
  <c r="AW124" i="6" s="1"/>
  <c r="AW125" i="6" s="1"/>
  <c r="AU122" i="6"/>
  <c r="AU124" i="6" s="1"/>
  <c r="AU125" i="6" s="1"/>
  <c r="AQ122" i="6"/>
  <c r="AQ124" i="6" s="1"/>
  <c r="AQ125" i="6" s="1"/>
  <c r="AO122" i="6"/>
  <c r="AO124" i="6" s="1"/>
  <c r="AO125" i="6" s="1"/>
  <c r="AM122" i="6"/>
  <c r="AM124" i="6" s="1"/>
  <c r="AM125" i="6" s="1"/>
  <c r="AK122" i="6"/>
  <c r="AI122" i="6"/>
  <c r="AI124" i="6" s="1"/>
  <c r="AI125" i="6" s="1"/>
  <c r="AG122" i="6"/>
  <c r="AE122" i="6"/>
  <c r="AE124" i="6" s="1"/>
  <c r="AE125" i="6" s="1"/>
  <c r="AC122" i="6"/>
  <c r="AC124" i="6" s="1"/>
  <c r="AC125" i="6" s="1"/>
  <c r="Y122" i="6"/>
  <c r="Y124" i="6" s="1"/>
  <c r="Y125" i="6" s="1"/>
  <c r="Y128" i="6" s="1"/>
  <c r="W122" i="6"/>
  <c r="W124" i="6" s="1"/>
  <c r="W125" i="6" s="1"/>
  <c r="W128" i="6" s="1"/>
  <c r="U122" i="6"/>
  <c r="U124" i="6" s="1"/>
  <c r="U125" i="6" s="1"/>
  <c r="U128" i="6" s="1"/>
  <c r="S122" i="6"/>
  <c r="S124" i="6" s="1"/>
  <c r="S125" i="6" s="1"/>
  <c r="S128" i="6" s="1"/>
  <c r="Q122" i="6"/>
  <c r="Q124" i="6" s="1"/>
  <c r="Q125" i="6" s="1"/>
  <c r="O122" i="6"/>
  <c r="M122" i="6"/>
  <c r="K122" i="6"/>
  <c r="I122" i="6"/>
  <c r="I123" i="6" s="1"/>
  <c r="G122" i="6"/>
  <c r="PH96" i="6"/>
  <c r="PH84" i="6" s="1"/>
  <c r="PD96" i="6"/>
  <c r="PD84" i="6" s="1"/>
  <c r="PB96" i="6"/>
  <c r="PB84" i="6" s="1"/>
  <c r="OZ96" i="6"/>
  <c r="OZ84" i="6" s="1"/>
  <c r="OX96" i="6"/>
  <c r="OV96" i="6"/>
  <c r="OV85" i="6" s="1"/>
  <c r="OT96" i="6"/>
  <c r="OT84" i="6" s="1"/>
  <c r="OR96" i="6"/>
  <c r="OR84" i="6" s="1"/>
  <c r="OP96" i="6"/>
  <c r="OP84" i="6" s="1"/>
  <c r="ON96" i="6"/>
  <c r="OL96" i="6"/>
  <c r="OL84" i="6" s="1"/>
  <c r="OJ96" i="6"/>
  <c r="OJ85" i="6" s="1"/>
  <c r="OJ109" i="6" s="1"/>
  <c r="OJ110" i="6" s="1"/>
  <c r="OH96" i="6"/>
  <c r="OH84" i="6" s="1"/>
  <c r="OD96" i="6"/>
  <c r="OB96" i="6"/>
  <c r="NZ96" i="6"/>
  <c r="NX96" i="6"/>
  <c r="NV96" i="6"/>
  <c r="NT96" i="6"/>
  <c r="NT85" i="6" s="1"/>
  <c r="NR96" i="6"/>
  <c r="NR85" i="6" s="1"/>
  <c r="NQ85" i="6" s="1"/>
  <c r="NP96" i="6"/>
  <c r="NN96" i="6"/>
  <c r="NL96" i="6"/>
  <c r="NJ96" i="6"/>
  <c r="NH96" i="6"/>
  <c r="NF96" i="6"/>
  <c r="ND96" i="6"/>
  <c r="ND84" i="6" s="1"/>
  <c r="NB96" i="6"/>
  <c r="NB84" i="6" s="1"/>
  <c r="MZ96" i="6"/>
  <c r="MZ84" i="6" s="1"/>
  <c r="MX96" i="6"/>
  <c r="MX84" i="6" s="1"/>
  <c r="ME96" i="6"/>
  <c r="ME85" i="6" s="1"/>
  <c r="MA96" i="6"/>
  <c r="MA85" i="6" s="1"/>
  <c r="LY96" i="6"/>
  <c r="LW96" i="6"/>
  <c r="LU96" i="6"/>
  <c r="LS96" i="6"/>
  <c r="LQ96" i="6"/>
  <c r="LQ84" i="6" s="1"/>
  <c r="LO96" i="6"/>
  <c r="LO84" i="6" s="1"/>
  <c r="LM96" i="6"/>
  <c r="LK96" i="6"/>
  <c r="LK85" i="6" s="1"/>
  <c r="LI96" i="6"/>
  <c r="LG96" i="6"/>
  <c r="LG84" i="6" s="1"/>
  <c r="LE96" i="6"/>
  <c r="LA96" i="6"/>
  <c r="KY96" i="6"/>
  <c r="KY84" i="6" s="1"/>
  <c r="KW96" i="6"/>
  <c r="KW84" i="6" s="1"/>
  <c r="KU96" i="6"/>
  <c r="KU84" i="6" s="1"/>
  <c r="KS96" i="6"/>
  <c r="KQ96" i="6"/>
  <c r="KQ84" i="6" s="1"/>
  <c r="KO96" i="6"/>
  <c r="KO84" i="6" s="1"/>
  <c r="KM96" i="6"/>
  <c r="KK96" i="6"/>
  <c r="KK85" i="6" s="1"/>
  <c r="KJ85" i="6" s="1"/>
  <c r="KI96" i="6"/>
  <c r="KI84" i="6" s="1"/>
  <c r="KG96" i="6"/>
  <c r="KE96" i="6"/>
  <c r="KC96" i="6"/>
  <c r="KA96" i="6"/>
  <c r="KA85" i="6" s="1"/>
  <c r="JY96" i="6"/>
  <c r="JW96" i="6"/>
  <c r="JU96" i="6"/>
  <c r="IW96" i="6"/>
  <c r="IW84" i="6" s="1"/>
  <c r="IQ96" i="6"/>
  <c r="IO96" i="6"/>
  <c r="IO84" i="6" s="1"/>
  <c r="IM96" i="6"/>
  <c r="IK96" i="6"/>
  <c r="IK85" i="6" s="1"/>
  <c r="II96" i="6"/>
  <c r="IG96" i="6"/>
  <c r="IE96" i="6"/>
  <c r="IE84" i="6" s="1"/>
  <c r="IC96" i="6"/>
  <c r="IC85" i="6" s="1"/>
  <c r="IA96" i="6"/>
  <c r="IA85" i="6" s="1"/>
  <c r="HZ85" i="6" s="1"/>
  <c r="HY96" i="6"/>
  <c r="HY85" i="6" s="1"/>
  <c r="HW96" i="6"/>
  <c r="HW84" i="6" s="1"/>
  <c r="HU96" i="6"/>
  <c r="HU85" i="6" s="1"/>
  <c r="HQ96" i="6"/>
  <c r="HO96" i="6"/>
  <c r="HM96" i="6"/>
  <c r="HK96" i="6"/>
  <c r="HI96" i="6"/>
  <c r="HG96" i="6"/>
  <c r="HE96" i="6"/>
  <c r="HE84" i="6" s="1"/>
  <c r="HC96" i="6"/>
  <c r="HC85" i="6" s="1"/>
  <c r="HA96" i="6"/>
  <c r="GY96" i="6"/>
  <c r="GW96" i="6"/>
  <c r="GU96" i="6"/>
  <c r="GS96" i="6"/>
  <c r="GS84" i="6" s="1"/>
  <c r="GQ96" i="6"/>
  <c r="GO96" i="6"/>
  <c r="GO84" i="6" s="1"/>
  <c r="GM96" i="6"/>
  <c r="GM84" i="6" s="1"/>
  <c r="GK96" i="6"/>
  <c r="GK84" i="6" s="1"/>
  <c r="FL96" i="6"/>
  <c r="IS96" i="6" s="1"/>
  <c r="EL96" i="6"/>
  <c r="EL84" i="6" s="1"/>
  <c r="CO96" i="6"/>
  <c r="CO84" i="6" s="1"/>
  <c r="CK96" i="6"/>
  <c r="CI96" i="6"/>
  <c r="CG96" i="6"/>
  <c r="CE96" i="6"/>
  <c r="CC96" i="6"/>
  <c r="CC84" i="6" s="1"/>
  <c r="CA96" i="6"/>
  <c r="CA84" i="6" s="1"/>
  <c r="BY96" i="6"/>
  <c r="BW96" i="6"/>
  <c r="BW85" i="6" s="1"/>
  <c r="BU96" i="6"/>
  <c r="BU85" i="6" s="1"/>
  <c r="BU88" i="6" s="1"/>
  <c r="BU89" i="6" s="1"/>
  <c r="BS96" i="6"/>
  <c r="BS85" i="6" s="1"/>
  <c r="BQ96" i="6"/>
  <c r="BQ85" i="6" s="1"/>
  <c r="BQ99" i="6" s="1"/>
  <c r="BO96" i="6"/>
  <c r="BK96" i="6"/>
  <c r="BI96" i="6"/>
  <c r="BG96" i="6"/>
  <c r="BE96" i="6"/>
  <c r="BC96" i="6"/>
  <c r="BA96" i="6"/>
  <c r="BA84" i="6" s="1"/>
  <c r="AY96" i="6"/>
  <c r="AW96" i="6"/>
  <c r="AW85" i="6" s="1"/>
  <c r="AV85" i="6" s="1"/>
  <c r="AU96" i="6"/>
  <c r="AS96" i="6"/>
  <c r="AQ96" i="6"/>
  <c r="AO96" i="6"/>
  <c r="AO84" i="6" s="1"/>
  <c r="AM96" i="6"/>
  <c r="AM84" i="6" s="1"/>
  <c r="AK96" i="6"/>
  <c r="AI96" i="6"/>
  <c r="AG96" i="6"/>
  <c r="AG84" i="6" s="1"/>
  <c r="AE96" i="6"/>
  <c r="AE85" i="6" s="1"/>
  <c r="QO91" i="6"/>
  <c r="QK91" i="6"/>
  <c r="QG91" i="6"/>
  <c r="QA91" i="6"/>
  <c r="PW91" i="6"/>
  <c r="PS91" i="6"/>
  <c r="PP91" i="6"/>
  <c r="PN91" i="6"/>
  <c r="PL91" i="6"/>
  <c r="PJ91" i="6"/>
  <c r="PH91" i="6"/>
  <c r="PF91" i="6"/>
  <c r="PD91" i="6"/>
  <c r="PB91" i="6"/>
  <c r="OZ91" i="6"/>
  <c r="OX91" i="6"/>
  <c r="OV91" i="6"/>
  <c r="OT91" i="6"/>
  <c r="OR91" i="6"/>
  <c r="OP91" i="6"/>
  <c r="ON91" i="6"/>
  <c r="OL91" i="6"/>
  <c r="OJ91" i="6"/>
  <c r="OH91" i="6"/>
  <c r="OF91" i="6"/>
  <c r="OD91" i="6"/>
  <c r="OB91" i="6"/>
  <c r="NZ91" i="6"/>
  <c r="NX91" i="6"/>
  <c r="NV91" i="6"/>
  <c r="NT91" i="6"/>
  <c r="NR91" i="6"/>
  <c r="NP91" i="6"/>
  <c r="NN91" i="6"/>
  <c r="NL91" i="6"/>
  <c r="NJ91" i="6"/>
  <c r="NH91" i="6"/>
  <c r="NF91" i="6"/>
  <c r="ND91" i="6"/>
  <c r="NB91" i="6"/>
  <c r="MZ91" i="6"/>
  <c r="MX91" i="6"/>
  <c r="MV91" i="6"/>
  <c r="MT91" i="6"/>
  <c r="MR91" i="6"/>
  <c r="MP91" i="6"/>
  <c r="MN91" i="6"/>
  <c r="ML91" i="6"/>
  <c r="MJ91" i="6"/>
  <c r="MG91" i="6"/>
  <c r="ME91" i="6"/>
  <c r="MC91" i="6"/>
  <c r="MA91" i="6"/>
  <c r="LY91" i="6"/>
  <c r="LW91" i="6"/>
  <c r="LU91" i="6"/>
  <c r="LS91" i="6"/>
  <c r="LQ91" i="6"/>
  <c r="LO91" i="6"/>
  <c r="LM91" i="6"/>
  <c r="LK91" i="6"/>
  <c r="LI91" i="6"/>
  <c r="LG91" i="6"/>
  <c r="LE91" i="6"/>
  <c r="LC91" i="6"/>
  <c r="LA91" i="6"/>
  <c r="KY91" i="6"/>
  <c r="KW91" i="6"/>
  <c r="KU91" i="6"/>
  <c r="KS91" i="6"/>
  <c r="KQ91" i="6"/>
  <c r="KO91" i="6"/>
  <c r="KM91" i="6"/>
  <c r="KK91" i="6"/>
  <c r="KI91" i="6"/>
  <c r="KG91" i="6"/>
  <c r="KE91" i="6"/>
  <c r="KC91" i="6"/>
  <c r="KA91" i="6"/>
  <c r="JY91" i="6"/>
  <c r="JW91" i="6"/>
  <c r="JU91" i="6"/>
  <c r="JS91" i="6"/>
  <c r="JQ91" i="6"/>
  <c r="JO91" i="6"/>
  <c r="JM91" i="6"/>
  <c r="JK91" i="6"/>
  <c r="JI91" i="6"/>
  <c r="JG91" i="6"/>
  <c r="JD91" i="6"/>
  <c r="JB91" i="6"/>
  <c r="IY91" i="6"/>
  <c r="IW91" i="6"/>
  <c r="IU91" i="6"/>
  <c r="IS91" i="6"/>
  <c r="IQ91" i="6"/>
  <c r="IO91" i="6"/>
  <c r="IM91" i="6"/>
  <c r="IK91" i="6"/>
  <c r="II91" i="6"/>
  <c r="IG91" i="6"/>
  <c r="IE91" i="6"/>
  <c r="IC91" i="6"/>
  <c r="IA91" i="6"/>
  <c r="HY91" i="6"/>
  <c r="HW91" i="6"/>
  <c r="HU91" i="6"/>
  <c r="HS91" i="6"/>
  <c r="HQ91" i="6"/>
  <c r="HO91" i="6"/>
  <c r="HM91" i="6"/>
  <c r="HK91" i="6"/>
  <c r="HI91" i="6"/>
  <c r="HG91" i="6"/>
  <c r="HE91" i="6"/>
  <c r="HC91" i="6"/>
  <c r="HA91" i="6"/>
  <c r="GY91" i="6"/>
  <c r="GW91" i="6"/>
  <c r="GU91" i="6"/>
  <c r="GS91" i="6"/>
  <c r="GQ91" i="6"/>
  <c r="GO91" i="6"/>
  <c r="GM91" i="6"/>
  <c r="GK91" i="6"/>
  <c r="GI91" i="6"/>
  <c r="GG91" i="6"/>
  <c r="GE91" i="6"/>
  <c r="GC91" i="6"/>
  <c r="GA91" i="6"/>
  <c r="FY91" i="6"/>
  <c r="FW91" i="6"/>
  <c r="FU91" i="6"/>
  <c r="FS91" i="6"/>
  <c r="FP91" i="6"/>
  <c r="FN91" i="6"/>
  <c r="FL91" i="6"/>
  <c r="FJ91" i="6"/>
  <c r="FH91" i="6"/>
  <c r="FF91" i="6"/>
  <c r="FD91" i="6"/>
  <c r="FB91" i="6"/>
  <c r="EZ91" i="6"/>
  <c r="EX91" i="6"/>
  <c r="EV91" i="6"/>
  <c r="ET91" i="6"/>
  <c r="ER91" i="6"/>
  <c r="EP91" i="6"/>
  <c r="EN91" i="6"/>
  <c r="EL91" i="6"/>
  <c r="EJ91" i="6"/>
  <c r="EH91" i="6"/>
  <c r="EF91" i="6"/>
  <c r="ED91" i="6"/>
  <c r="EB91" i="6"/>
  <c r="DZ91" i="6"/>
  <c r="DX91" i="6"/>
  <c r="DV91" i="6"/>
  <c r="DT91" i="6"/>
  <c r="DR91" i="6"/>
  <c r="DP91" i="6"/>
  <c r="DN91" i="6"/>
  <c r="DL91" i="6"/>
  <c r="DJ91" i="6"/>
  <c r="DH91" i="6"/>
  <c r="DF91" i="6"/>
  <c r="DD91" i="6"/>
  <c r="DB91" i="6"/>
  <c r="CZ91" i="6"/>
  <c r="CX91" i="6"/>
  <c r="CV91" i="6"/>
  <c r="CS91" i="6"/>
  <c r="CQ91" i="6"/>
  <c r="CO91" i="6"/>
  <c r="CM91" i="6"/>
  <c r="CK91" i="6"/>
  <c r="CI91" i="6"/>
  <c r="CG91" i="6"/>
  <c r="CE91" i="6"/>
  <c r="CC91" i="6"/>
  <c r="CA91" i="6"/>
  <c r="BY91" i="6"/>
  <c r="BW91" i="6"/>
  <c r="BU91" i="6"/>
  <c r="BS91" i="6"/>
  <c r="BQ91" i="6"/>
  <c r="BO91" i="6"/>
  <c r="BM91" i="6"/>
  <c r="BK91" i="6"/>
  <c r="BI91" i="6"/>
  <c r="BG91" i="6"/>
  <c r="BE91" i="6"/>
  <c r="BC91" i="6"/>
  <c r="BA91" i="6"/>
  <c r="AY91" i="6"/>
  <c r="AW91" i="6"/>
  <c r="AU91" i="6"/>
  <c r="AS91" i="6"/>
  <c r="AQ91" i="6"/>
  <c r="AO91" i="6"/>
  <c r="AM91" i="6"/>
  <c r="AK91" i="6"/>
  <c r="AI91" i="6"/>
  <c r="AG91" i="6"/>
  <c r="AE91" i="6"/>
  <c r="AC91" i="6"/>
  <c r="AA91" i="6"/>
  <c r="Y91" i="6"/>
  <c r="W91" i="6"/>
  <c r="U91" i="6"/>
  <c r="S91" i="6"/>
  <c r="Q91" i="6"/>
  <c r="O91" i="6"/>
  <c r="M91" i="6"/>
  <c r="K91" i="6"/>
  <c r="I91" i="6"/>
  <c r="G91" i="6"/>
  <c r="PL86" i="6"/>
  <c r="PL85" i="6" s="1"/>
  <c r="PL99" i="6" s="1"/>
  <c r="PJ86" i="6"/>
  <c r="PJ85" i="6" s="1"/>
  <c r="PF86" i="6"/>
  <c r="OF86" i="6"/>
  <c r="MT86" i="6"/>
  <c r="MP86" i="6"/>
  <c r="MR86" i="6" s="1"/>
  <c r="MR85" i="6" s="1"/>
  <c r="MC86" i="6"/>
  <c r="LC86" i="6"/>
  <c r="JQ86" i="6"/>
  <c r="JQ85" i="6" s="1"/>
  <c r="JM86" i="6"/>
  <c r="JM85" i="6" s="1"/>
  <c r="JM88" i="6" s="1"/>
  <c r="JM89" i="6" s="1"/>
  <c r="IU86" i="6"/>
  <c r="HS86" i="6"/>
  <c r="GG86" i="6"/>
  <c r="FY86" i="6"/>
  <c r="GA86" i="6" s="1"/>
  <c r="FL86" i="6"/>
  <c r="EL86" i="6"/>
  <c r="CZ86" i="6"/>
  <c r="CX86" i="6"/>
  <c r="CM86" i="6"/>
  <c r="BM86" i="6"/>
  <c r="AA86" i="6"/>
  <c r="AA85" i="6" s="1"/>
  <c r="Y86" i="6"/>
  <c r="W86" i="6"/>
  <c r="U86" i="6"/>
  <c r="S86" i="6"/>
  <c r="S85" i="6" s="1"/>
  <c r="QQ85" i="6"/>
  <c r="QO85" i="6"/>
  <c r="QN85" i="6" s="1"/>
  <c r="QM85" i="6"/>
  <c r="QK85" i="6"/>
  <c r="QK88" i="6" s="1"/>
  <c r="QK89" i="6" s="1"/>
  <c r="QI85" i="6"/>
  <c r="QI140" i="6" s="1"/>
  <c r="QI147" i="6" s="1"/>
  <c r="QG85" i="6"/>
  <c r="QG88" i="6" s="1"/>
  <c r="QG89" i="6" s="1"/>
  <c r="QC85" i="6"/>
  <c r="QA85" i="6"/>
  <c r="PY85" i="6"/>
  <c r="PW85" i="6"/>
  <c r="PW99" i="6" s="1"/>
  <c r="PU85" i="6"/>
  <c r="PS85" i="6"/>
  <c r="PR85" i="6" s="1"/>
  <c r="PP85" i="6"/>
  <c r="PN85" i="6"/>
  <c r="PH85" i="6"/>
  <c r="PH109" i="6" s="1"/>
  <c r="PD85" i="6"/>
  <c r="PD99" i="6" s="1"/>
  <c r="PB85" i="6"/>
  <c r="PB83" i="6" s="1"/>
  <c r="OZ85" i="6"/>
  <c r="OZ88" i="6" s="1"/>
  <c r="OZ89" i="6" s="1"/>
  <c r="OT85" i="6"/>
  <c r="OT88" i="6" s="1"/>
  <c r="OT89" i="6" s="1"/>
  <c r="OR85" i="6"/>
  <c r="OR88" i="6" s="1"/>
  <c r="OR89" i="6" s="1"/>
  <c r="OP85" i="6"/>
  <c r="OO85" i="6" s="1"/>
  <c r="OL85" i="6"/>
  <c r="OK85" i="6" s="1"/>
  <c r="OD85" i="6"/>
  <c r="OD99" i="6" s="1"/>
  <c r="OB85" i="6"/>
  <c r="OA85" i="6" s="1"/>
  <c r="NZ85" i="6"/>
  <c r="NZ88" i="6" s="1"/>
  <c r="NZ89" i="6" s="1"/>
  <c r="NX85" i="6"/>
  <c r="NP85" i="6"/>
  <c r="NN85" i="6"/>
  <c r="NM85" i="6" s="1"/>
  <c r="NL85" i="6"/>
  <c r="NL109" i="6" s="1"/>
  <c r="ND85" i="6"/>
  <c r="ND140" i="6" s="1"/>
  <c r="NB85" i="6"/>
  <c r="NB109" i="6" s="1"/>
  <c r="MZ85" i="6"/>
  <c r="MZ88" i="6" s="1"/>
  <c r="MZ89" i="6" s="1"/>
  <c r="MX85" i="6"/>
  <c r="MV85" i="6"/>
  <c r="MV109" i="6" s="1"/>
  <c r="MT85" i="6"/>
  <c r="MT88" i="6" s="1"/>
  <c r="MT89" i="6" s="1"/>
  <c r="MN85" i="6"/>
  <c r="MN99" i="6" s="1"/>
  <c r="ML85" i="6"/>
  <c r="ML88" i="6" s="1"/>
  <c r="ML89" i="6" s="1"/>
  <c r="MJ85" i="6"/>
  <c r="MG85" i="6"/>
  <c r="MG88" i="6" s="1"/>
  <c r="MG89" i="6" s="1"/>
  <c r="LW85" i="6"/>
  <c r="LV85" i="6" s="1"/>
  <c r="LU85" i="6"/>
  <c r="LT85" i="6" s="1"/>
  <c r="LS85" i="6"/>
  <c r="LR85" i="6" s="1"/>
  <c r="LM85" i="6"/>
  <c r="LM109" i="6" s="1"/>
  <c r="LL85" i="6"/>
  <c r="LI85" i="6"/>
  <c r="LI109" i="6" s="1"/>
  <c r="LG85" i="6"/>
  <c r="LG88" i="6" s="1"/>
  <c r="LG89" i="6" s="1"/>
  <c r="KY85" i="6"/>
  <c r="KY109" i="6" s="1"/>
  <c r="KW85" i="6"/>
  <c r="KV85" i="6" s="1"/>
  <c r="KU85" i="6"/>
  <c r="KU88" i="6" s="1"/>
  <c r="KU89" i="6" s="1"/>
  <c r="KQ85" i="6"/>
  <c r="KO85" i="6"/>
  <c r="KM85" i="6"/>
  <c r="KL85" i="6" s="1"/>
  <c r="KG85" i="6"/>
  <c r="KE85" i="6"/>
  <c r="KE88" i="6" s="1"/>
  <c r="KE89" i="6" s="1"/>
  <c r="JY85" i="6"/>
  <c r="JW85" i="6"/>
  <c r="JU85" i="6"/>
  <c r="JS85" i="6"/>
  <c r="JS109" i="6" s="1"/>
  <c r="JK85" i="6"/>
  <c r="JI85" i="6"/>
  <c r="JI109" i="6" s="1"/>
  <c r="JG85" i="6"/>
  <c r="JG109" i="6" s="1"/>
  <c r="JD85" i="6"/>
  <c r="JB85" i="6"/>
  <c r="JB109" i="6" s="1"/>
  <c r="IY85" i="6"/>
  <c r="IW85" i="6"/>
  <c r="IV85" i="6" s="1"/>
  <c r="IO85" i="6"/>
  <c r="IN85" i="6" s="1"/>
  <c r="IM85" i="6"/>
  <c r="IM109" i="6" s="1"/>
  <c r="IG85" i="6"/>
  <c r="IF85" i="6" s="1"/>
  <c r="IE85" i="6"/>
  <c r="HO85" i="6"/>
  <c r="HN85" i="6" s="1"/>
  <c r="HM85" i="6"/>
  <c r="HM88" i="6" s="1"/>
  <c r="HM89" i="6" s="1"/>
  <c r="HK85" i="6"/>
  <c r="HI85" i="6"/>
  <c r="HI109" i="6" s="1"/>
  <c r="HI110" i="6" s="1"/>
  <c r="HH85" i="6"/>
  <c r="HE85" i="6"/>
  <c r="HD85" i="6" s="1"/>
  <c r="HA85" i="6"/>
  <c r="HA88" i="6" s="1"/>
  <c r="HA89" i="6" s="1"/>
  <c r="GY85" i="6"/>
  <c r="GY109" i="6" s="1"/>
  <c r="GI85" i="6"/>
  <c r="GI99" i="6" s="1"/>
  <c r="GG85" i="6"/>
  <c r="FY85" i="6"/>
  <c r="FY109" i="6" s="1"/>
  <c r="FY110" i="6" s="1"/>
  <c r="FW85" i="6"/>
  <c r="FW109" i="6" s="1"/>
  <c r="FU85" i="6"/>
  <c r="FU109" i="6" s="1"/>
  <c r="FS85" i="6"/>
  <c r="CS85" i="6"/>
  <c r="CS88" i="6" s="1"/>
  <c r="CS89" i="6" s="1"/>
  <c r="CQ85" i="6"/>
  <c r="CQ109" i="6" s="1"/>
  <c r="CO85" i="6"/>
  <c r="CK85" i="6"/>
  <c r="CK109" i="6" s="1"/>
  <c r="CI85" i="6"/>
  <c r="CI99" i="6" s="1"/>
  <c r="CG85" i="6"/>
  <c r="CE85" i="6"/>
  <c r="CE109" i="6" s="1"/>
  <c r="CC85" i="6"/>
  <c r="CC88" i="6" s="1"/>
  <c r="CC89" i="6" s="1"/>
  <c r="CA85" i="6"/>
  <c r="AU85" i="6"/>
  <c r="AT85" i="6" s="1"/>
  <c r="AS85" i="6"/>
  <c r="AQ85" i="6"/>
  <c r="AQ88" i="6" s="1"/>
  <c r="AQ89" i="6" s="1"/>
  <c r="AO85" i="6"/>
  <c r="AO83" i="6" s="1"/>
  <c r="AM85" i="6"/>
  <c r="AI85" i="6"/>
  <c r="AG85" i="6"/>
  <c r="AG88" i="6" s="1"/>
  <c r="AG89" i="6" s="1"/>
  <c r="AC85" i="6"/>
  <c r="AC88" i="6" s="1"/>
  <c r="AC89" i="6" s="1"/>
  <c r="Y85" i="6"/>
  <c r="Y88" i="6" s="1"/>
  <c r="Y89" i="6" s="1"/>
  <c r="W85" i="6"/>
  <c r="W88" i="6" s="1"/>
  <c r="W89" i="6" s="1"/>
  <c r="U85" i="6"/>
  <c r="U88" i="6" s="1"/>
  <c r="U89" i="6" s="1"/>
  <c r="Q85" i="6"/>
  <c r="Q88" i="6" s="1"/>
  <c r="Q89" i="6" s="1"/>
  <c r="O85" i="6"/>
  <c r="O99" i="6" s="1"/>
  <c r="O100" i="6" s="1"/>
  <c r="M85" i="6"/>
  <c r="M99" i="6" s="1"/>
  <c r="K85" i="6"/>
  <c r="K99" i="6" s="1"/>
  <c r="I85" i="6"/>
  <c r="G85" i="6"/>
  <c r="G109" i="6" s="1"/>
  <c r="QQ84" i="6"/>
  <c r="QO84" i="6"/>
  <c r="QM84" i="6"/>
  <c r="QK84" i="6"/>
  <c r="QI84" i="6"/>
  <c r="QI83" i="6" s="1"/>
  <c r="QG84" i="6"/>
  <c r="QC84" i="6"/>
  <c r="QC83" i="6" s="1"/>
  <c r="QA84" i="6"/>
  <c r="PY84" i="6"/>
  <c r="PW84" i="6"/>
  <c r="PU84" i="6"/>
  <c r="PU83" i="6" s="1"/>
  <c r="PS84" i="6"/>
  <c r="PS83" i="6" s="1"/>
  <c r="PP84" i="6"/>
  <c r="PP83" i="6" s="1"/>
  <c r="PN84" i="6"/>
  <c r="PL84" i="6"/>
  <c r="PJ84" i="6"/>
  <c r="OV84" i="6"/>
  <c r="OV83" i="6" s="1"/>
  <c r="OJ84" i="6"/>
  <c r="OD84" i="6"/>
  <c r="OB84" i="6"/>
  <c r="NZ84" i="6"/>
  <c r="NX84" i="6"/>
  <c r="NR84" i="6"/>
  <c r="NP84" i="6"/>
  <c r="NP83" i="6" s="1"/>
  <c r="NN84" i="6"/>
  <c r="NN83" i="6" s="1"/>
  <c r="NL84" i="6"/>
  <c r="NL83" i="6" s="1"/>
  <c r="MV84" i="6"/>
  <c r="MT84" i="6"/>
  <c r="MR84" i="6"/>
  <c r="MR83" i="6" s="1"/>
  <c r="MP84" i="6"/>
  <c r="MN84" i="6"/>
  <c r="ML84" i="6"/>
  <c r="MJ84" i="6"/>
  <c r="MJ83" i="6" s="1"/>
  <c r="MG84" i="6"/>
  <c r="LW84" i="6"/>
  <c r="LU84" i="6"/>
  <c r="LS84" i="6"/>
  <c r="LM84" i="6"/>
  <c r="LK84" i="6"/>
  <c r="LI84" i="6"/>
  <c r="LI83" i="6" s="1"/>
  <c r="KM84" i="6"/>
  <c r="KM83" i="6" s="1"/>
  <c r="KK84" i="6"/>
  <c r="KG84" i="6"/>
  <c r="KG83" i="6" s="1"/>
  <c r="KE84" i="6"/>
  <c r="KE83" i="6" s="1"/>
  <c r="JY84" i="6"/>
  <c r="JW84" i="6"/>
  <c r="JW83" i="6" s="1"/>
  <c r="JU84" i="6"/>
  <c r="JU83" i="6" s="1"/>
  <c r="JS84" i="6"/>
  <c r="JQ84" i="6"/>
  <c r="JO84" i="6"/>
  <c r="JM84" i="6"/>
  <c r="JM83" i="6" s="1"/>
  <c r="JM99" i="6" s="1"/>
  <c r="JK84" i="6"/>
  <c r="JI84" i="6"/>
  <c r="JG84" i="6"/>
  <c r="JD84" i="6"/>
  <c r="JB84" i="6"/>
  <c r="IY84" i="6"/>
  <c r="IM84" i="6"/>
  <c r="IM83" i="6" s="1"/>
  <c r="IK84" i="6"/>
  <c r="IK83" i="6" s="1"/>
  <c r="IG84" i="6"/>
  <c r="IG83" i="6" s="1"/>
  <c r="IC84" i="6"/>
  <c r="IC83" i="6" s="1"/>
  <c r="IA84" i="6"/>
  <c r="IA83" i="6" s="1"/>
  <c r="HY84" i="6"/>
  <c r="HU84" i="6"/>
  <c r="HO84" i="6"/>
  <c r="HO83" i="6" s="1"/>
  <c r="HM84" i="6"/>
  <c r="HM83" i="6" s="1"/>
  <c r="HK84" i="6"/>
  <c r="HK83" i="6" s="1"/>
  <c r="HI84" i="6"/>
  <c r="HI83" i="6" s="1"/>
  <c r="HC84" i="6"/>
  <c r="HC83" i="6" s="1"/>
  <c r="HA84" i="6"/>
  <c r="GY84" i="6"/>
  <c r="GY83" i="6" s="1"/>
  <c r="GI84" i="6"/>
  <c r="GG84" i="6"/>
  <c r="GG83" i="6" s="1"/>
  <c r="GE84" i="6"/>
  <c r="GC84" i="6"/>
  <c r="GA84" i="6"/>
  <c r="FY84" i="6"/>
  <c r="FY83" i="6" s="1"/>
  <c r="FY99" i="6" s="1"/>
  <c r="FW84" i="6"/>
  <c r="FW83" i="6" s="1"/>
  <c r="FU84" i="6"/>
  <c r="FS84" i="6"/>
  <c r="FP84" i="6"/>
  <c r="FN84" i="6"/>
  <c r="FL84" i="6"/>
  <c r="FJ84" i="6"/>
  <c r="FH84" i="6"/>
  <c r="FF84" i="6"/>
  <c r="FD84" i="6"/>
  <c r="FB84" i="6"/>
  <c r="EZ84" i="6"/>
  <c r="EX84" i="6"/>
  <c r="EV84" i="6"/>
  <c r="ET84" i="6"/>
  <c r="ER84" i="6"/>
  <c r="EP84" i="6"/>
  <c r="EN84" i="6"/>
  <c r="EJ84" i="6"/>
  <c r="EH84" i="6"/>
  <c r="EF84" i="6"/>
  <c r="ED84" i="6"/>
  <c r="EB84" i="6"/>
  <c r="DZ84" i="6"/>
  <c r="DX84" i="6"/>
  <c r="DV84" i="6"/>
  <c r="DT84" i="6"/>
  <c r="DR84" i="6"/>
  <c r="DP84" i="6"/>
  <c r="DN84" i="6"/>
  <c r="DL84" i="6"/>
  <c r="DJ84" i="6"/>
  <c r="DH84" i="6"/>
  <c r="DF84" i="6"/>
  <c r="DD84" i="6"/>
  <c r="DB84" i="6"/>
  <c r="CZ84" i="6"/>
  <c r="CX84" i="6"/>
  <c r="CV84" i="6"/>
  <c r="CS84" i="6"/>
  <c r="CS83" i="6" s="1"/>
  <c r="CQ84" i="6"/>
  <c r="CK84" i="6"/>
  <c r="CI84" i="6"/>
  <c r="CI83" i="6" s="1"/>
  <c r="CG84" i="6"/>
  <c r="CE84" i="6"/>
  <c r="BW84" i="6"/>
  <c r="BU84" i="6"/>
  <c r="BS84" i="6"/>
  <c r="BS83" i="6" s="1"/>
  <c r="BQ84" i="6"/>
  <c r="BQ83" i="6" s="1"/>
  <c r="AW84" i="6"/>
  <c r="AU84" i="6"/>
  <c r="AS84" i="6"/>
  <c r="AS83" i="6" s="1"/>
  <c r="AQ84" i="6"/>
  <c r="AI84" i="6"/>
  <c r="AI83" i="6" s="1"/>
  <c r="AC84" i="6"/>
  <c r="AA84" i="6"/>
  <c r="Y84" i="6"/>
  <c r="W84" i="6"/>
  <c r="U84" i="6"/>
  <c r="S84" i="6"/>
  <c r="S83" i="6" s="1"/>
  <c r="S99" i="6" s="1"/>
  <c r="Q84" i="6"/>
  <c r="Q83" i="6" s="1"/>
  <c r="O84" i="6"/>
  <c r="O101" i="6" s="1"/>
  <c r="M84" i="6"/>
  <c r="M83" i="6" s="1"/>
  <c r="K84" i="6"/>
  <c r="I84" i="6"/>
  <c r="G84" i="6"/>
  <c r="G83" i="6" s="1"/>
  <c r="QG83" i="6"/>
  <c r="QA83" i="6"/>
  <c r="PY83" i="6"/>
  <c r="PW83" i="6"/>
  <c r="PN83" i="6"/>
  <c r="OJ83" i="6"/>
  <c r="OB83" i="6"/>
  <c r="NZ83" i="6"/>
  <c r="MT83" i="6"/>
  <c r="MG83" i="6"/>
  <c r="LM83" i="6"/>
  <c r="LG83" i="6"/>
  <c r="KY83" i="6"/>
  <c r="KU83" i="6"/>
  <c r="KK83" i="6"/>
  <c r="JS83" i="6"/>
  <c r="JG83" i="6"/>
  <c r="FU83" i="6"/>
  <c r="FS83" i="6"/>
  <c r="CQ83" i="6"/>
  <c r="CG83" i="6"/>
  <c r="CE83" i="6"/>
  <c r="W83" i="6"/>
  <c r="W99" i="6" s="1"/>
  <c r="U83" i="6"/>
  <c r="U99" i="6" s="1"/>
  <c r="I83" i="6"/>
  <c r="PN79" i="6"/>
  <c r="JB79" i="6"/>
  <c r="QI78" i="6"/>
  <c r="QG78" i="6"/>
  <c r="QG79" i="6" s="1"/>
  <c r="PU78" i="6"/>
  <c r="PS78" i="6"/>
  <c r="PS79" i="6" s="1"/>
  <c r="PP78" i="6"/>
  <c r="PP79" i="6" s="1"/>
  <c r="PM78" i="6"/>
  <c r="NJ78" i="6"/>
  <c r="NN78" i="6" s="1"/>
  <c r="NH78" i="6"/>
  <c r="NL78" i="6" s="1"/>
  <c r="NF78" i="6"/>
  <c r="ND78" i="6"/>
  <c r="NB78" i="6"/>
  <c r="MZ78" i="6"/>
  <c r="MX78" i="6"/>
  <c r="MV78" i="6"/>
  <c r="MN78" i="6"/>
  <c r="MG78" i="6"/>
  <c r="MG79" i="6" s="1"/>
  <c r="KG78" i="6"/>
  <c r="KI78" i="6" s="1"/>
  <c r="KE78" i="6"/>
  <c r="KU78" i="6" s="1"/>
  <c r="KU79" i="6" s="1"/>
  <c r="KC78" i="6"/>
  <c r="KS78" i="6" s="1"/>
  <c r="KS79" i="6" s="1"/>
  <c r="KA78" i="6"/>
  <c r="KQ78" i="6" s="1"/>
  <c r="KQ79" i="6" s="1"/>
  <c r="JY78" i="6"/>
  <c r="KO78" i="6" s="1"/>
  <c r="KO79" i="6" s="1"/>
  <c r="JW78" i="6"/>
  <c r="KM78" i="6" s="1"/>
  <c r="KM79" i="6" s="1"/>
  <c r="JU78" i="6"/>
  <c r="KK78" i="6" s="1"/>
  <c r="KK79" i="6" s="1"/>
  <c r="JS78" i="6"/>
  <c r="JK78" i="6"/>
  <c r="JD78" i="6"/>
  <c r="HQ78" i="6"/>
  <c r="HO78" i="6"/>
  <c r="HM78" i="6"/>
  <c r="HK78" i="6"/>
  <c r="HI78" i="6"/>
  <c r="HG78" i="6"/>
  <c r="HE78" i="6"/>
  <c r="HC78" i="6"/>
  <c r="GW78" i="6"/>
  <c r="GY78" i="6" s="1"/>
  <c r="GU78" i="6"/>
  <c r="GS78" i="6"/>
  <c r="GQ78" i="6"/>
  <c r="GO78" i="6"/>
  <c r="GM78" i="6"/>
  <c r="GK78" i="6"/>
  <c r="HA78" i="6" s="1"/>
  <c r="HA79" i="6" s="1"/>
  <c r="GI78" i="6"/>
  <c r="FW78" i="6"/>
  <c r="FN78" i="6"/>
  <c r="FN79" i="6" s="1"/>
  <c r="FL78" i="6"/>
  <c r="FL79" i="6" s="1"/>
  <c r="FJ78" i="6"/>
  <c r="FJ79" i="6" s="1"/>
  <c r="FH78" i="6"/>
  <c r="FH79" i="6" s="1"/>
  <c r="FF78" i="6"/>
  <c r="FF79" i="6" s="1"/>
  <c r="FD78" i="6"/>
  <c r="FD79" i="6" s="1"/>
  <c r="FB78" i="6"/>
  <c r="FB79" i="6" s="1"/>
  <c r="EZ78" i="6"/>
  <c r="EZ79" i="6" s="1"/>
  <c r="EX78" i="6"/>
  <c r="EX79" i="6" s="1"/>
  <c r="EV78" i="6"/>
  <c r="EV79" i="6" s="1"/>
  <c r="ET78" i="6"/>
  <c r="ET79" i="6" s="1"/>
  <c r="ER78" i="6"/>
  <c r="ER79" i="6" s="1"/>
  <c r="EP78" i="6"/>
  <c r="EP79" i="6" s="1"/>
  <c r="EN78" i="6"/>
  <c r="EN79" i="6" s="1"/>
  <c r="EL78" i="6"/>
  <c r="EL79" i="6" s="1"/>
  <c r="DP78" i="6"/>
  <c r="DT78" i="6" s="1"/>
  <c r="DT79" i="6" s="1"/>
  <c r="DN78" i="6"/>
  <c r="DL78" i="6"/>
  <c r="DJ78" i="6"/>
  <c r="DH78" i="6"/>
  <c r="DF78" i="6"/>
  <c r="DD78" i="6"/>
  <c r="DB78" i="6"/>
  <c r="CV78" i="6"/>
  <c r="AI78" i="6"/>
  <c r="AG78" i="6"/>
  <c r="AE78" i="6"/>
  <c r="AC78" i="6"/>
  <c r="Q78" i="6"/>
  <c r="QQ77" i="6"/>
  <c r="QQ78" i="6" s="1"/>
  <c r="QO77" i="6"/>
  <c r="QO78" i="6" s="1"/>
  <c r="QO79" i="6" s="1"/>
  <c r="QM77" i="6"/>
  <c r="QM78" i="6" s="1"/>
  <c r="QK77" i="6"/>
  <c r="QK78" i="6" s="1"/>
  <c r="QK79" i="6" s="1"/>
  <c r="QC77" i="6"/>
  <c r="QC78" i="6" s="1"/>
  <c r="QA77" i="6"/>
  <c r="QA78" i="6" s="1"/>
  <c r="QA79" i="6" s="1"/>
  <c r="PY77" i="6"/>
  <c r="PY78" i="6" s="1"/>
  <c r="PW77" i="6"/>
  <c r="PW78" i="6" s="1"/>
  <c r="PW79" i="6" s="1"/>
  <c r="PO77" i="6"/>
  <c r="PM77" i="6"/>
  <c r="PL77" i="6"/>
  <c r="PL78" i="6" s="1"/>
  <c r="PL79" i="6" s="1"/>
  <c r="PJ77" i="6"/>
  <c r="PJ78" i="6" s="1"/>
  <c r="PJ79" i="6" s="1"/>
  <c r="MF77" i="6"/>
  <c r="IU77" i="6"/>
  <c r="IT77" i="6" s="1"/>
  <c r="IS77" i="6"/>
  <c r="IS78" i="6" s="1"/>
  <c r="IS79" i="6" s="1"/>
  <c r="IQ77" i="6"/>
  <c r="IQ78" i="6" s="1"/>
  <c r="IQ79" i="6" s="1"/>
  <c r="IO77" i="6"/>
  <c r="IN77" i="6" s="1"/>
  <c r="IM77" i="6"/>
  <c r="IL77" i="6" s="1"/>
  <c r="IK77" i="6"/>
  <c r="IJ77" i="6" s="1"/>
  <c r="II77" i="6"/>
  <c r="IH77" i="6" s="1"/>
  <c r="IG77" i="6"/>
  <c r="IE77" i="6"/>
  <c r="IE78" i="6" s="1"/>
  <c r="IE79" i="6" s="1"/>
  <c r="IC77" i="6"/>
  <c r="IC78" i="6" s="1"/>
  <c r="IC79" i="6" s="1"/>
  <c r="IA77" i="6"/>
  <c r="IA78" i="6" s="1"/>
  <c r="IA79" i="6" s="1"/>
  <c r="HY77" i="6"/>
  <c r="HY78" i="6" s="1"/>
  <c r="HY79" i="6" s="1"/>
  <c r="HW77" i="6"/>
  <c r="HV77" i="6" s="1"/>
  <c r="HU77" i="6"/>
  <c r="HS77" i="6"/>
  <c r="HS78" i="6" s="1"/>
  <c r="HS79" i="6" s="1"/>
  <c r="PW73" i="6"/>
  <c r="QO70" i="6"/>
  <c r="QK70" i="6"/>
  <c r="QK71" i="6" s="1"/>
  <c r="QG70" i="6"/>
  <c r="QG92" i="6" s="1"/>
  <c r="QA70" i="6"/>
  <c r="PW70" i="6"/>
  <c r="PW71" i="6" s="1"/>
  <c r="PS70" i="6"/>
  <c r="PS92" i="6" s="1"/>
  <c r="PP70" i="6"/>
  <c r="PP80" i="6" s="1"/>
  <c r="PN70" i="6"/>
  <c r="PL70" i="6"/>
  <c r="PJ70" i="6"/>
  <c r="PJ80" i="6" s="1"/>
  <c r="PH70" i="6"/>
  <c r="PF70" i="6"/>
  <c r="PF71" i="6" s="1"/>
  <c r="PD70" i="6"/>
  <c r="PD71" i="6" s="1"/>
  <c r="PB70" i="6"/>
  <c r="OZ70" i="6"/>
  <c r="OX70" i="6"/>
  <c r="OV70" i="6"/>
  <c r="OV92" i="6" s="1"/>
  <c r="OT70" i="6"/>
  <c r="OT71" i="6" s="1"/>
  <c r="OR70" i="6"/>
  <c r="OR92" i="6" s="1"/>
  <c r="OP70" i="6"/>
  <c r="ON70" i="6"/>
  <c r="OL70" i="6"/>
  <c r="OJ70" i="6"/>
  <c r="OH70" i="6"/>
  <c r="OH71" i="6" s="1"/>
  <c r="OF70" i="6"/>
  <c r="OF71" i="6" s="1"/>
  <c r="OD70" i="6"/>
  <c r="OD92" i="6" s="1"/>
  <c r="OB70" i="6"/>
  <c r="OB92" i="6" s="1"/>
  <c r="NZ70" i="6"/>
  <c r="NX70" i="6"/>
  <c r="NV70" i="6"/>
  <c r="NT70" i="6"/>
  <c r="NT92" i="6" s="1"/>
  <c r="NR70" i="6"/>
  <c r="NP70" i="6"/>
  <c r="NN70" i="6"/>
  <c r="NJ70" i="6"/>
  <c r="NH70" i="6"/>
  <c r="NF70" i="6"/>
  <c r="NF71" i="6" s="1"/>
  <c r="ND70" i="6"/>
  <c r="ND92" i="6" s="1"/>
  <c r="NB70" i="6"/>
  <c r="NB92" i="6" s="1"/>
  <c r="MZ70" i="6"/>
  <c r="MX70" i="6"/>
  <c r="MV70" i="6"/>
  <c r="MT70" i="6"/>
  <c r="MR70" i="6"/>
  <c r="MR71" i="6" s="1"/>
  <c r="MP70" i="6"/>
  <c r="MP71" i="6" s="1"/>
  <c r="MN70" i="6"/>
  <c r="MN80" i="6" s="1"/>
  <c r="ML70" i="6"/>
  <c r="ML92" i="6" s="1"/>
  <c r="MJ70" i="6"/>
  <c r="MG70" i="6"/>
  <c r="MG92" i="6" s="1"/>
  <c r="ME70" i="6"/>
  <c r="ME92" i="6" s="1"/>
  <c r="MC70" i="6"/>
  <c r="MC71" i="6" s="1"/>
  <c r="MA70" i="6"/>
  <c r="LY70" i="6"/>
  <c r="LW70" i="6"/>
  <c r="LU70" i="6"/>
  <c r="LS70" i="6"/>
  <c r="LQ70" i="6"/>
  <c r="LQ71" i="6" s="1"/>
  <c r="LO70" i="6"/>
  <c r="LO71" i="6" s="1"/>
  <c r="LM70" i="6"/>
  <c r="LM92" i="6" s="1"/>
  <c r="LK70" i="6"/>
  <c r="LI70" i="6"/>
  <c r="LG70" i="6"/>
  <c r="LE70" i="6"/>
  <c r="LE71" i="6" s="1"/>
  <c r="LC70" i="6"/>
  <c r="LC71" i="6" s="1"/>
  <c r="LA70" i="6"/>
  <c r="LA71" i="6" s="1"/>
  <c r="KY70" i="6"/>
  <c r="KY71" i="6" s="1"/>
  <c r="KW70" i="6"/>
  <c r="KU70" i="6"/>
  <c r="KS70" i="6"/>
  <c r="KQ70" i="6"/>
  <c r="KQ92" i="6" s="1"/>
  <c r="KO70" i="6"/>
  <c r="KM70" i="6"/>
  <c r="KK70" i="6"/>
  <c r="KG70" i="6"/>
  <c r="KG92" i="6" s="1"/>
  <c r="KE70" i="6"/>
  <c r="KC70" i="6"/>
  <c r="KC71" i="6" s="1"/>
  <c r="KA70" i="6"/>
  <c r="KA71" i="6" s="1"/>
  <c r="JY70" i="6"/>
  <c r="JY92" i="6" s="1"/>
  <c r="JW70" i="6"/>
  <c r="JU70" i="6"/>
  <c r="JS70" i="6"/>
  <c r="JQ70" i="6"/>
  <c r="JO70" i="6"/>
  <c r="JO71" i="6" s="1"/>
  <c r="JM70" i="6"/>
  <c r="JM71" i="6" s="1"/>
  <c r="JK70" i="6"/>
  <c r="JK80" i="6" s="1"/>
  <c r="JI70" i="6"/>
  <c r="JG70" i="6"/>
  <c r="JD70" i="6"/>
  <c r="JD92" i="6" s="1"/>
  <c r="JB70" i="6"/>
  <c r="IY70" i="6"/>
  <c r="IY92" i="6" s="1"/>
  <c r="IW70" i="6"/>
  <c r="IU70" i="6"/>
  <c r="IS70" i="6"/>
  <c r="IQ70" i="6"/>
  <c r="IO70" i="6"/>
  <c r="IM70" i="6"/>
  <c r="IM71" i="6" s="1"/>
  <c r="IK70" i="6"/>
  <c r="IK71" i="6" s="1"/>
  <c r="II70" i="6"/>
  <c r="II71" i="6" s="1"/>
  <c r="IG70" i="6"/>
  <c r="IE70" i="6"/>
  <c r="IC70" i="6"/>
  <c r="IA70" i="6"/>
  <c r="IA71" i="6" s="1"/>
  <c r="HY70" i="6"/>
  <c r="HW70" i="6"/>
  <c r="HU70" i="6"/>
  <c r="HS70" i="6"/>
  <c r="HQ70" i="6"/>
  <c r="HO70" i="6"/>
  <c r="HO92" i="6" s="1"/>
  <c r="HM70" i="6"/>
  <c r="HK70" i="6"/>
  <c r="HK92" i="6" s="1"/>
  <c r="HI70" i="6"/>
  <c r="HG70" i="6"/>
  <c r="HE70" i="6"/>
  <c r="HC70" i="6"/>
  <c r="HC92" i="6" s="1"/>
  <c r="HA70" i="6"/>
  <c r="GW70" i="6"/>
  <c r="GW71" i="6" s="1"/>
  <c r="GU70" i="6"/>
  <c r="GU71" i="6" s="1"/>
  <c r="GS70" i="6"/>
  <c r="GQ70" i="6"/>
  <c r="GQ80" i="6" s="1"/>
  <c r="GO70" i="6"/>
  <c r="GM70" i="6"/>
  <c r="GM71" i="6" s="1"/>
  <c r="GK70" i="6"/>
  <c r="GI70" i="6"/>
  <c r="GG70" i="6"/>
  <c r="GG92" i="6" s="1"/>
  <c r="GE70" i="6"/>
  <c r="GC70" i="6"/>
  <c r="GA70" i="6"/>
  <c r="FY70" i="6"/>
  <c r="FW70" i="6"/>
  <c r="FW71" i="6" s="1"/>
  <c r="FU70" i="6"/>
  <c r="FU71" i="6" s="1"/>
  <c r="FS70" i="6"/>
  <c r="FS92" i="6" s="1"/>
  <c r="FP70" i="6"/>
  <c r="FN70" i="6"/>
  <c r="FL70" i="6"/>
  <c r="FJ70" i="6"/>
  <c r="FJ71" i="6" s="1"/>
  <c r="FH70" i="6"/>
  <c r="FH71" i="6" s="1"/>
  <c r="FF70" i="6"/>
  <c r="FF71" i="6" s="1"/>
  <c r="FD70" i="6"/>
  <c r="FB70" i="6"/>
  <c r="EZ70" i="6"/>
  <c r="EX70" i="6"/>
  <c r="EX71" i="6" s="1"/>
  <c r="EV70" i="6"/>
  <c r="EV71" i="6" s="1"/>
  <c r="ET70" i="6"/>
  <c r="ET71" i="6" s="1"/>
  <c r="ER70" i="6"/>
  <c r="EP70" i="6"/>
  <c r="EN70" i="6"/>
  <c r="EL70" i="6"/>
  <c r="EL80" i="6" s="1"/>
  <c r="EJ70" i="6"/>
  <c r="EH70" i="6"/>
  <c r="EH71" i="6" s="1"/>
  <c r="EF70" i="6"/>
  <c r="ED70" i="6"/>
  <c r="EB70" i="6"/>
  <c r="DZ70" i="6"/>
  <c r="DX70" i="6"/>
  <c r="DV70" i="6"/>
  <c r="DV71" i="6" s="1"/>
  <c r="DT70" i="6"/>
  <c r="DT71" i="6" s="1"/>
  <c r="DP70" i="6"/>
  <c r="DN70" i="6"/>
  <c r="DN80" i="6" s="1"/>
  <c r="DL70" i="6"/>
  <c r="DL80" i="6" s="1"/>
  <c r="DJ70" i="6"/>
  <c r="DJ71" i="6" s="1"/>
  <c r="DH70" i="6"/>
  <c r="DH71" i="6" s="1"/>
  <c r="DF70" i="6"/>
  <c r="DF71" i="6" s="1"/>
  <c r="DD70" i="6"/>
  <c r="DB70" i="6"/>
  <c r="DB80" i="6" s="1"/>
  <c r="CZ70" i="6"/>
  <c r="CX70" i="6"/>
  <c r="CV70" i="6"/>
  <c r="CS70" i="6"/>
  <c r="CS92" i="6" s="1"/>
  <c r="CQ70" i="6"/>
  <c r="CO70" i="6"/>
  <c r="CM70" i="6"/>
  <c r="CK70" i="6"/>
  <c r="CI70" i="6"/>
  <c r="CG70" i="6"/>
  <c r="CE70" i="6"/>
  <c r="CE92" i="6" s="1"/>
  <c r="CC70" i="6"/>
  <c r="CA70" i="6"/>
  <c r="BY70" i="6"/>
  <c r="BW70" i="6"/>
  <c r="BU70" i="6"/>
  <c r="BS70" i="6"/>
  <c r="BQ70" i="6"/>
  <c r="BO70" i="6"/>
  <c r="BO71" i="6" s="1"/>
  <c r="BM70" i="6"/>
  <c r="BK70" i="6"/>
  <c r="BI70" i="6"/>
  <c r="BG70" i="6"/>
  <c r="BE70" i="6"/>
  <c r="BE71" i="6" s="1"/>
  <c r="BC70" i="6"/>
  <c r="BA70" i="6"/>
  <c r="AY70" i="6"/>
  <c r="AW70" i="6"/>
  <c r="AU70" i="6"/>
  <c r="AQ70" i="6"/>
  <c r="AO70" i="6"/>
  <c r="AO92" i="6" s="1"/>
  <c r="AM70" i="6"/>
  <c r="AK70" i="6"/>
  <c r="AI70" i="6"/>
  <c r="AG70" i="6"/>
  <c r="AG92" i="6" s="1"/>
  <c r="AE70" i="6"/>
  <c r="AC70" i="6"/>
  <c r="AA70" i="6"/>
  <c r="Y70" i="6"/>
  <c r="W70" i="6"/>
  <c r="U70" i="6"/>
  <c r="S70" i="6"/>
  <c r="Q70" i="6"/>
  <c r="Q92" i="6" s="1"/>
  <c r="O70" i="6"/>
  <c r="O71" i="6" s="1"/>
  <c r="M70" i="6"/>
  <c r="K70" i="6"/>
  <c r="I70" i="6"/>
  <c r="G70" i="6"/>
  <c r="QQ69" i="6"/>
  <c r="QM69" i="6"/>
  <c r="QI69" i="6"/>
  <c r="QC69" i="6"/>
  <c r="PY69" i="6"/>
  <c r="PU69" i="6"/>
  <c r="NL69" i="6"/>
  <c r="NL70" i="6" s="1"/>
  <c r="KI69" i="6"/>
  <c r="KI70" i="6" s="1"/>
  <c r="GY69" i="6"/>
  <c r="GY70" i="6" s="1"/>
  <c r="GY71" i="6" s="1"/>
  <c r="DR69" i="6"/>
  <c r="DR78" i="6" s="1"/>
  <c r="DV78" i="6" s="1"/>
  <c r="AS69" i="6"/>
  <c r="QQ67" i="6"/>
  <c r="QO67" i="6"/>
  <c r="QM67" i="6"/>
  <c r="QK67" i="6"/>
  <c r="QI67" i="6"/>
  <c r="QG67" i="6"/>
  <c r="QG61" i="6" s="1"/>
  <c r="QG59" i="6" s="1"/>
  <c r="QC67" i="6"/>
  <c r="QA67" i="6"/>
  <c r="QA61" i="6" s="1"/>
  <c r="QA59" i="6" s="1"/>
  <c r="PY67" i="6"/>
  <c r="PW67" i="6"/>
  <c r="PU67" i="6"/>
  <c r="PS67" i="6"/>
  <c r="PP67" i="6"/>
  <c r="PN67" i="6"/>
  <c r="PL67" i="6"/>
  <c r="PJ67" i="6"/>
  <c r="PJ61" i="6" s="1"/>
  <c r="PJ59" i="6" s="1"/>
  <c r="PH67" i="6"/>
  <c r="PF67" i="6"/>
  <c r="PD67" i="6"/>
  <c r="PB67" i="6"/>
  <c r="OZ67" i="6"/>
  <c r="OZ61" i="6" s="1"/>
  <c r="OZ59" i="6" s="1"/>
  <c r="OX67" i="6"/>
  <c r="OV67" i="6"/>
  <c r="OV61" i="6" s="1"/>
  <c r="OV59" i="6" s="1"/>
  <c r="OT67" i="6"/>
  <c r="OR67" i="6"/>
  <c r="OP67" i="6"/>
  <c r="ON67" i="6"/>
  <c r="ON61" i="6" s="1"/>
  <c r="ON59" i="6" s="1"/>
  <c r="OL67" i="6"/>
  <c r="OJ67" i="6"/>
  <c r="OJ61" i="6" s="1"/>
  <c r="OJ59" i="6" s="1"/>
  <c r="OH67" i="6"/>
  <c r="OF67" i="6"/>
  <c r="OD67" i="6"/>
  <c r="OD61" i="6" s="1"/>
  <c r="OD59" i="6" s="1"/>
  <c r="OB67" i="6"/>
  <c r="OB61" i="6" s="1"/>
  <c r="OB59" i="6" s="1"/>
  <c r="NZ67" i="6"/>
  <c r="NX67" i="6"/>
  <c r="NX61" i="6" s="1"/>
  <c r="NX59" i="6" s="1"/>
  <c r="NV67" i="6"/>
  <c r="NV61" i="6" s="1"/>
  <c r="NV59" i="6" s="1"/>
  <c r="NT67" i="6"/>
  <c r="NR67" i="6"/>
  <c r="NP67" i="6"/>
  <c r="NN67" i="6"/>
  <c r="NL67" i="6"/>
  <c r="NJ67" i="6"/>
  <c r="NH67" i="6"/>
  <c r="NH61" i="6" s="1"/>
  <c r="NH59" i="6" s="1"/>
  <c r="NF67" i="6"/>
  <c r="NF61" i="6" s="1"/>
  <c r="NF59" i="6" s="1"/>
  <c r="ND67" i="6"/>
  <c r="ND61" i="6" s="1"/>
  <c r="ND59" i="6" s="1"/>
  <c r="NB67" i="6"/>
  <c r="MZ67" i="6"/>
  <c r="MZ61" i="6" s="1"/>
  <c r="MZ59" i="6" s="1"/>
  <c r="MX67" i="6"/>
  <c r="MV67" i="6"/>
  <c r="MV61" i="6" s="1"/>
  <c r="MV59" i="6" s="1"/>
  <c r="MT67" i="6"/>
  <c r="MR67" i="6"/>
  <c r="MP67" i="6"/>
  <c r="MP61" i="6" s="1"/>
  <c r="MP59" i="6" s="1"/>
  <c r="MN67" i="6"/>
  <c r="ML67" i="6"/>
  <c r="ML61" i="6" s="1"/>
  <c r="ML59" i="6" s="1"/>
  <c r="MJ67" i="6"/>
  <c r="MJ61" i="6" s="1"/>
  <c r="MJ59" i="6" s="1"/>
  <c r="MG67" i="6"/>
  <c r="MG61" i="6" s="1"/>
  <c r="MG59" i="6" s="1"/>
  <c r="ME67" i="6"/>
  <c r="MC67" i="6"/>
  <c r="MA67" i="6"/>
  <c r="LY67" i="6"/>
  <c r="LW67" i="6"/>
  <c r="LW61" i="6" s="1"/>
  <c r="LW59" i="6" s="1"/>
  <c r="LU67" i="6"/>
  <c r="LS67" i="6"/>
  <c r="LS61" i="6" s="1"/>
  <c r="LS59" i="6" s="1"/>
  <c r="LQ67" i="6"/>
  <c r="LQ61" i="6" s="1"/>
  <c r="LQ59" i="6" s="1"/>
  <c r="LO67" i="6"/>
  <c r="LO61" i="6" s="1"/>
  <c r="LO59" i="6" s="1"/>
  <c r="LM67" i="6"/>
  <c r="LM61" i="6" s="1"/>
  <c r="LM59" i="6" s="1"/>
  <c r="LK67" i="6"/>
  <c r="LK61" i="6" s="1"/>
  <c r="LK59" i="6" s="1"/>
  <c r="LI67" i="6"/>
  <c r="LG67" i="6"/>
  <c r="LE67" i="6"/>
  <c r="LC67" i="6"/>
  <c r="LA67" i="6"/>
  <c r="LA61" i="6" s="1"/>
  <c r="LA59" i="6" s="1"/>
  <c r="KY67" i="6"/>
  <c r="KW67" i="6"/>
  <c r="KU67" i="6"/>
  <c r="KS67" i="6"/>
  <c r="KQ67" i="6"/>
  <c r="KO67" i="6"/>
  <c r="KM67" i="6"/>
  <c r="KK67" i="6"/>
  <c r="KG67" i="6"/>
  <c r="KE67" i="6"/>
  <c r="KE61" i="6" s="1"/>
  <c r="KE59" i="6" s="1"/>
  <c r="KC67" i="6"/>
  <c r="KC61" i="6" s="1"/>
  <c r="KC59" i="6" s="1"/>
  <c r="KA67" i="6"/>
  <c r="KA61" i="6" s="1"/>
  <c r="KA59" i="6" s="1"/>
  <c r="JY67" i="6"/>
  <c r="JY61" i="6" s="1"/>
  <c r="JY59" i="6" s="1"/>
  <c r="JW67" i="6"/>
  <c r="JW61" i="6" s="1"/>
  <c r="JW59" i="6" s="1"/>
  <c r="JU67" i="6"/>
  <c r="JU61" i="6" s="1"/>
  <c r="JU59" i="6" s="1"/>
  <c r="JS67" i="6"/>
  <c r="JS61" i="6" s="1"/>
  <c r="JS59" i="6" s="1"/>
  <c r="JQ67" i="6"/>
  <c r="JO67" i="6"/>
  <c r="JM67" i="6"/>
  <c r="JK67" i="6"/>
  <c r="JI67" i="6"/>
  <c r="JG67" i="6"/>
  <c r="JD67" i="6"/>
  <c r="JD61" i="6" s="1"/>
  <c r="JD59" i="6" s="1"/>
  <c r="JB67" i="6"/>
  <c r="IY67" i="6"/>
  <c r="IW67" i="6"/>
  <c r="IU67" i="6"/>
  <c r="IS67" i="6"/>
  <c r="IS61" i="6" s="1"/>
  <c r="IS59" i="6" s="1"/>
  <c r="IQ67" i="6"/>
  <c r="IO67" i="6"/>
  <c r="IM67" i="6"/>
  <c r="IK67" i="6"/>
  <c r="IK61" i="6" s="1"/>
  <c r="IK59" i="6" s="1"/>
  <c r="II67" i="6"/>
  <c r="II61" i="6" s="1"/>
  <c r="II59" i="6" s="1"/>
  <c r="IG67" i="6"/>
  <c r="IG61" i="6" s="1"/>
  <c r="IG59" i="6" s="1"/>
  <c r="IE67" i="6"/>
  <c r="IE61" i="6" s="1"/>
  <c r="IE59" i="6" s="1"/>
  <c r="IC67" i="6"/>
  <c r="IC61" i="6" s="1"/>
  <c r="IC59" i="6" s="1"/>
  <c r="IA67" i="6"/>
  <c r="IA61" i="6" s="1"/>
  <c r="IA59" i="6" s="1"/>
  <c r="HY67" i="6"/>
  <c r="HY61" i="6" s="1"/>
  <c r="HY59" i="6" s="1"/>
  <c r="HW67" i="6"/>
  <c r="HW61" i="6" s="1"/>
  <c r="HW59" i="6" s="1"/>
  <c r="HU67" i="6"/>
  <c r="HS67" i="6"/>
  <c r="HS61" i="6" s="1"/>
  <c r="HS59" i="6" s="1"/>
  <c r="HQ67" i="6"/>
  <c r="HO67" i="6"/>
  <c r="HO61" i="6" s="1"/>
  <c r="HO59" i="6" s="1"/>
  <c r="HM67" i="6"/>
  <c r="HK67" i="6"/>
  <c r="HI67" i="6"/>
  <c r="HG67" i="6"/>
  <c r="HE67" i="6"/>
  <c r="HE61" i="6" s="1"/>
  <c r="HE59" i="6" s="1"/>
  <c r="HC67" i="6"/>
  <c r="HA67" i="6"/>
  <c r="GW67" i="6"/>
  <c r="GW61" i="6" s="1"/>
  <c r="GW59" i="6" s="1"/>
  <c r="GU67" i="6"/>
  <c r="GS67" i="6"/>
  <c r="GQ67" i="6"/>
  <c r="GQ61" i="6" s="1"/>
  <c r="GQ59" i="6" s="1"/>
  <c r="GO67" i="6"/>
  <c r="GM67" i="6"/>
  <c r="GM61" i="6" s="1"/>
  <c r="GM59" i="6" s="1"/>
  <c r="GK67" i="6"/>
  <c r="GK61" i="6" s="1"/>
  <c r="GK59" i="6" s="1"/>
  <c r="GI67" i="6"/>
  <c r="GI61" i="6" s="1"/>
  <c r="GI59" i="6" s="1"/>
  <c r="GG67" i="6"/>
  <c r="GG61" i="6" s="1"/>
  <c r="GE67" i="6"/>
  <c r="GE61" i="6" s="1"/>
  <c r="GE59" i="6" s="1"/>
  <c r="GC67" i="6"/>
  <c r="GC61" i="6" s="1"/>
  <c r="GA67" i="6"/>
  <c r="GA61" i="6" s="1"/>
  <c r="GA59" i="6" s="1"/>
  <c r="FY67" i="6"/>
  <c r="FY61" i="6" s="1"/>
  <c r="FY59" i="6" s="1"/>
  <c r="FW67" i="6"/>
  <c r="FU67" i="6"/>
  <c r="FS67" i="6"/>
  <c r="FP67" i="6"/>
  <c r="FP61" i="6" s="1"/>
  <c r="FP59" i="6" s="1"/>
  <c r="FN67" i="6"/>
  <c r="FN61" i="6" s="1"/>
  <c r="FN59" i="6" s="1"/>
  <c r="FL67" i="6"/>
  <c r="FJ67" i="6"/>
  <c r="FH67" i="6"/>
  <c r="FH61" i="6" s="1"/>
  <c r="FH59" i="6" s="1"/>
  <c r="FF67" i="6"/>
  <c r="FD67" i="6"/>
  <c r="FB67" i="6"/>
  <c r="FB61" i="6" s="1"/>
  <c r="FB59" i="6" s="1"/>
  <c r="EZ67" i="6"/>
  <c r="EX67" i="6"/>
  <c r="EX61" i="6" s="1"/>
  <c r="EX59" i="6" s="1"/>
  <c r="EV67" i="6"/>
  <c r="ET67" i="6"/>
  <c r="ER67" i="6"/>
  <c r="ER61" i="6" s="1"/>
  <c r="ER59" i="6" s="1"/>
  <c r="EP67" i="6"/>
  <c r="EN67" i="6"/>
  <c r="EN61" i="6" s="1"/>
  <c r="EN59" i="6" s="1"/>
  <c r="EL67" i="6"/>
  <c r="EL61" i="6" s="1"/>
  <c r="EL59" i="6" s="1"/>
  <c r="EJ67" i="6"/>
  <c r="EJ61" i="6" s="1"/>
  <c r="EJ59" i="6" s="1"/>
  <c r="EH67" i="6"/>
  <c r="EF67" i="6"/>
  <c r="ED67" i="6"/>
  <c r="EB67" i="6"/>
  <c r="EB61" i="6" s="1"/>
  <c r="EB59" i="6" s="1"/>
  <c r="DZ67" i="6"/>
  <c r="DZ61" i="6" s="1"/>
  <c r="DZ59" i="6" s="1"/>
  <c r="DX67" i="6"/>
  <c r="DV67" i="6"/>
  <c r="DV61" i="6" s="1"/>
  <c r="DV59" i="6" s="1"/>
  <c r="DT67" i="6"/>
  <c r="DT61" i="6" s="1"/>
  <c r="DT59" i="6" s="1"/>
  <c r="DP67" i="6"/>
  <c r="DP61" i="6" s="1"/>
  <c r="DP59" i="6" s="1"/>
  <c r="DN67" i="6"/>
  <c r="DL67" i="6"/>
  <c r="DL61" i="6" s="1"/>
  <c r="DL59" i="6" s="1"/>
  <c r="DJ67" i="6"/>
  <c r="DH67" i="6"/>
  <c r="DH61" i="6" s="1"/>
  <c r="DH59" i="6" s="1"/>
  <c r="DF67" i="6"/>
  <c r="DD67" i="6"/>
  <c r="DB67" i="6"/>
  <c r="CZ67" i="6"/>
  <c r="CX67" i="6"/>
  <c r="CX61" i="6" s="1"/>
  <c r="CX59" i="6" s="1"/>
  <c r="CV67" i="6"/>
  <c r="CS67" i="6"/>
  <c r="CS61" i="6" s="1"/>
  <c r="CS59" i="6" s="1"/>
  <c r="CQ67" i="6"/>
  <c r="CO67" i="6"/>
  <c r="CM67" i="6"/>
  <c r="CM61" i="6" s="1"/>
  <c r="CM59" i="6" s="1"/>
  <c r="CK67" i="6"/>
  <c r="CK61" i="6" s="1"/>
  <c r="CK59" i="6" s="1"/>
  <c r="CI67" i="6"/>
  <c r="CI61" i="6" s="1"/>
  <c r="CI59" i="6" s="1"/>
  <c r="CG67" i="6"/>
  <c r="CE67" i="6"/>
  <c r="CE61" i="6" s="1"/>
  <c r="CE59" i="6" s="1"/>
  <c r="CC67" i="6"/>
  <c r="CC61" i="6" s="1"/>
  <c r="CC59" i="6" s="1"/>
  <c r="CA67" i="6"/>
  <c r="CA61" i="6" s="1"/>
  <c r="BY67" i="6"/>
  <c r="BY61" i="6" s="1"/>
  <c r="BY59" i="6" s="1"/>
  <c r="BW67" i="6"/>
  <c r="BW61" i="6" s="1"/>
  <c r="BW59" i="6" s="1"/>
  <c r="BU67" i="6"/>
  <c r="BS67" i="6"/>
  <c r="BS61" i="6" s="1"/>
  <c r="BS59" i="6" s="1"/>
  <c r="BQ67" i="6"/>
  <c r="BO67" i="6"/>
  <c r="BM67" i="6"/>
  <c r="BK67" i="6"/>
  <c r="BI67" i="6"/>
  <c r="BI61" i="6" s="1"/>
  <c r="BI59" i="6" s="1"/>
  <c r="BG67" i="6"/>
  <c r="BG61" i="6" s="1"/>
  <c r="BG59" i="6" s="1"/>
  <c r="BE67" i="6"/>
  <c r="BE61" i="6" s="1"/>
  <c r="BE59" i="6" s="1"/>
  <c r="BC67" i="6"/>
  <c r="BA67" i="6"/>
  <c r="AY67" i="6"/>
  <c r="AY61" i="6" s="1"/>
  <c r="AY59" i="6" s="1"/>
  <c r="AW67" i="6"/>
  <c r="AW61" i="6" s="1"/>
  <c r="AW59" i="6" s="1"/>
  <c r="AU67" i="6"/>
  <c r="AU61" i="6" s="1"/>
  <c r="AU59" i="6" s="1"/>
  <c r="AS67" i="6"/>
  <c r="AQ67" i="6"/>
  <c r="AQ61" i="6" s="1"/>
  <c r="AQ59" i="6" s="1"/>
  <c r="AO67" i="6"/>
  <c r="AM67" i="6"/>
  <c r="AK67" i="6"/>
  <c r="AK61" i="6" s="1"/>
  <c r="AK59" i="6" s="1"/>
  <c r="AI67" i="6"/>
  <c r="AI61" i="6" s="1"/>
  <c r="AI59" i="6" s="1"/>
  <c r="AG67" i="6"/>
  <c r="AG61" i="6" s="1"/>
  <c r="AG59" i="6" s="1"/>
  <c r="AE67" i="6"/>
  <c r="AE61" i="6" s="1"/>
  <c r="AE59" i="6" s="1"/>
  <c r="AC67" i="6"/>
  <c r="AC61" i="6" s="1"/>
  <c r="AC59" i="6" s="1"/>
  <c r="AA67" i="6"/>
  <c r="AA61" i="6" s="1"/>
  <c r="Y67" i="6"/>
  <c r="Y61" i="6" s="1"/>
  <c r="Y59" i="6" s="1"/>
  <c r="W67" i="6"/>
  <c r="W61" i="6" s="1"/>
  <c r="W59" i="6" s="1"/>
  <c r="U67" i="6"/>
  <c r="S67" i="6"/>
  <c r="S61" i="6" s="1"/>
  <c r="S59" i="6" s="1"/>
  <c r="Q67" i="6"/>
  <c r="Q61" i="6" s="1"/>
  <c r="Q59" i="6" s="1"/>
  <c r="O67" i="6"/>
  <c r="M67" i="6"/>
  <c r="K67" i="6"/>
  <c r="K61" i="6" s="1"/>
  <c r="K59" i="6" s="1"/>
  <c r="I67" i="6"/>
  <c r="I61" i="6" s="1"/>
  <c r="I59" i="6" s="1"/>
  <c r="G67" i="6"/>
  <c r="KI65" i="6"/>
  <c r="KI67" i="6" s="1"/>
  <c r="KI61" i="6" s="1"/>
  <c r="KI59" i="6" s="1"/>
  <c r="GY65" i="6"/>
  <c r="GY67" i="6" s="1"/>
  <c r="GY61" i="6" s="1"/>
  <c r="GY59" i="6" s="1"/>
  <c r="DR65" i="6"/>
  <c r="DR67" i="6" s="1"/>
  <c r="DR61" i="6" s="1"/>
  <c r="DR59" i="6" s="1"/>
  <c r="QO61" i="6"/>
  <c r="QO59" i="6" s="1"/>
  <c r="QK61" i="6"/>
  <c r="QK59" i="6" s="1"/>
  <c r="PW61" i="6"/>
  <c r="PW59" i="6" s="1"/>
  <c r="PS61" i="6"/>
  <c r="PS59" i="6" s="1"/>
  <c r="PP61" i="6"/>
  <c r="PP59" i="6" s="1"/>
  <c r="PN61" i="6"/>
  <c r="PN59" i="6" s="1"/>
  <c r="PL61" i="6"/>
  <c r="PL59" i="6" s="1"/>
  <c r="PH61" i="6"/>
  <c r="PF61" i="6"/>
  <c r="PD61" i="6"/>
  <c r="PB61" i="6"/>
  <c r="OX61" i="6"/>
  <c r="OX59" i="6" s="1"/>
  <c r="OT61" i="6"/>
  <c r="OT59" i="6" s="1"/>
  <c r="OR61" i="6"/>
  <c r="OP61" i="6"/>
  <c r="OP59" i="6" s="1"/>
  <c r="OL61" i="6"/>
  <c r="OL59" i="6" s="1"/>
  <c r="OH61" i="6"/>
  <c r="OH59" i="6" s="1"/>
  <c r="OF61" i="6"/>
  <c r="OF59" i="6" s="1"/>
  <c r="NZ61" i="6"/>
  <c r="NZ59" i="6" s="1"/>
  <c r="NT61" i="6"/>
  <c r="NT59" i="6" s="1"/>
  <c r="NR61" i="6"/>
  <c r="NR59" i="6" s="1"/>
  <c r="NP61" i="6"/>
  <c r="NP59" i="6" s="1"/>
  <c r="NN61" i="6"/>
  <c r="NJ61" i="6"/>
  <c r="NJ59" i="6" s="1"/>
  <c r="NB61" i="6"/>
  <c r="NB59" i="6" s="1"/>
  <c r="MX61" i="6"/>
  <c r="MX59" i="6" s="1"/>
  <c r="MT61" i="6"/>
  <c r="MT59" i="6" s="1"/>
  <c r="MR61" i="6"/>
  <c r="MR59" i="6" s="1"/>
  <c r="MN61" i="6"/>
  <c r="MN59" i="6" s="1"/>
  <c r="ME61" i="6"/>
  <c r="MC61" i="6"/>
  <c r="MC59" i="6" s="1"/>
  <c r="MA61" i="6"/>
  <c r="MA59" i="6" s="1"/>
  <c r="LY61" i="6"/>
  <c r="LU61" i="6"/>
  <c r="LU59" i="6" s="1"/>
  <c r="LI61" i="6"/>
  <c r="LI59" i="6" s="1"/>
  <c r="LG61" i="6"/>
  <c r="LG59" i="6" s="1"/>
  <c r="LE61" i="6"/>
  <c r="LE59" i="6" s="1"/>
  <c r="LC61" i="6"/>
  <c r="LC59" i="6" s="1"/>
  <c r="KY61" i="6"/>
  <c r="KW61" i="6"/>
  <c r="KW59" i="6" s="1"/>
  <c r="KU61" i="6"/>
  <c r="KU59" i="6" s="1"/>
  <c r="KS61" i="6"/>
  <c r="KS59" i="6" s="1"/>
  <c r="KQ61" i="6"/>
  <c r="KO61" i="6"/>
  <c r="KO59" i="6" s="1"/>
  <c r="KM61" i="6"/>
  <c r="KK61" i="6"/>
  <c r="KK59" i="6" s="1"/>
  <c r="KG61" i="6"/>
  <c r="KG59" i="6" s="1"/>
  <c r="JQ61" i="6"/>
  <c r="JQ59" i="6" s="1"/>
  <c r="JO61" i="6"/>
  <c r="JO59" i="6" s="1"/>
  <c r="JM61" i="6"/>
  <c r="JM59" i="6" s="1"/>
  <c r="JK61" i="6"/>
  <c r="JI61" i="6"/>
  <c r="JI59" i="6" s="1"/>
  <c r="JG61" i="6"/>
  <c r="JB61" i="6"/>
  <c r="JB59" i="6" s="1"/>
  <c r="IY61" i="6"/>
  <c r="IW61" i="6"/>
  <c r="IW59" i="6" s="1"/>
  <c r="IU61" i="6"/>
  <c r="IU59" i="6" s="1"/>
  <c r="IQ61" i="6"/>
  <c r="IQ59" i="6" s="1"/>
  <c r="IO61" i="6"/>
  <c r="IO59" i="6" s="1"/>
  <c r="IM61" i="6"/>
  <c r="IM59" i="6" s="1"/>
  <c r="HU61" i="6"/>
  <c r="HU59" i="6" s="1"/>
  <c r="HQ61" i="6"/>
  <c r="HQ59" i="6" s="1"/>
  <c r="HM61" i="6"/>
  <c r="HM59" i="6" s="1"/>
  <c r="HK61" i="6"/>
  <c r="HK59" i="6" s="1"/>
  <c r="HI61" i="6"/>
  <c r="HI59" i="6" s="1"/>
  <c r="HG61" i="6"/>
  <c r="HG59" i="6" s="1"/>
  <c r="HC61" i="6"/>
  <c r="HC59" i="6" s="1"/>
  <c r="HA61" i="6"/>
  <c r="HA59" i="6" s="1"/>
  <c r="GU61" i="6"/>
  <c r="GU59" i="6" s="1"/>
  <c r="GS61" i="6"/>
  <c r="GS59" i="6" s="1"/>
  <c r="GO61" i="6"/>
  <c r="GO59" i="6" s="1"/>
  <c r="FW61" i="6"/>
  <c r="FW59" i="6" s="1"/>
  <c r="FU61" i="6"/>
  <c r="FS61" i="6"/>
  <c r="FS59" i="6" s="1"/>
  <c r="FL61" i="6"/>
  <c r="FL59" i="6" s="1"/>
  <c r="FJ61" i="6"/>
  <c r="FJ59" i="6" s="1"/>
  <c r="FF61" i="6"/>
  <c r="FF59" i="6" s="1"/>
  <c r="FD61" i="6"/>
  <c r="EZ61" i="6"/>
  <c r="EZ59" i="6" s="1"/>
  <c r="EV61" i="6"/>
  <c r="EV59" i="6" s="1"/>
  <c r="ET61" i="6"/>
  <c r="ET59" i="6" s="1"/>
  <c r="EP61" i="6"/>
  <c r="EP59" i="6" s="1"/>
  <c r="EH61" i="6"/>
  <c r="EH59" i="6" s="1"/>
  <c r="EF61" i="6"/>
  <c r="EF59" i="6" s="1"/>
  <c r="ED61" i="6"/>
  <c r="ED59" i="6" s="1"/>
  <c r="DX61" i="6"/>
  <c r="DX59" i="6" s="1"/>
  <c r="DN61" i="6"/>
  <c r="DN59" i="6" s="1"/>
  <c r="DJ61" i="6"/>
  <c r="DJ59" i="6" s="1"/>
  <c r="DF61" i="6"/>
  <c r="DF59" i="6" s="1"/>
  <c r="DD61" i="6"/>
  <c r="DD59" i="6" s="1"/>
  <c r="DB61" i="6"/>
  <c r="DB59" i="6" s="1"/>
  <c r="CZ61" i="6"/>
  <c r="CZ59" i="6" s="1"/>
  <c r="CV61" i="6"/>
  <c r="CV59" i="6" s="1"/>
  <c r="CQ61" i="6"/>
  <c r="CO61" i="6"/>
  <c r="CG61" i="6"/>
  <c r="CG59" i="6" s="1"/>
  <c r="BU61" i="6"/>
  <c r="BU59" i="6" s="1"/>
  <c r="BQ61" i="6"/>
  <c r="BQ59" i="6" s="1"/>
  <c r="BO61" i="6"/>
  <c r="BO59" i="6" s="1"/>
  <c r="BM61" i="6"/>
  <c r="BM59" i="6" s="1"/>
  <c r="BK61" i="6"/>
  <c r="BK59" i="6" s="1"/>
  <c r="BC61" i="6"/>
  <c r="BC59" i="6" s="1"/>
  <c r="BA61" i="6"/>
  <c r="BA59" i="6" s="1"/>
  <c r="AS61" i="6"/>
  <c r="AS59" i="6" s="1"/>
  <c r="AO61" i="6"/>
  <c r="AO59" i="6" s="1"/>
  <c r="AM61" i="6"/>
  <c r="AM59" i="6" s="1"/>
  <c r="U61" i="6"/>
  <c r="U59" i="6" s="1"/>
  <c r="O61" i="6"/>
  <c r="M61" i="6"/>
  <c r="G61" i="6"/>
  <c r="G59" i="6" s="1"/>
  <c r="QQ60" i="6"/>
  <c r="QM60" i="6"/>
  <c r="QI60" i="6"/>
  <c r="QC60" i="6"/>
  <c r="PY60" i="6"/>
  <c r="PU60" i="6"/>
  <c r="PH59" i="6"/>
  <c r="PF59" i="6"/>
  <c r="PD59" i="6"/>
  <c r="PB59" i="6"/>
  <c r="OR59" i="6"/>
  <c r="NN59" i="6"/>
  <c r="ME59" i="6"/>
  <c r="LY59" i="6"/>
  <c r="KY59" i="6"/>
  <c r="KQ59" i="6"/>
  <c r="KM59" i="6"/>
  <c r="JK59" i="6"/>
  <c r="JG59" i="6"/>
  <c r="IY59" i="6"/>
  <c r="GG59" i="6"/>
  <c r="GC59" i="6"/>
  <c r="FU59" i="6"/>
  <c r="FD59" i="6"/>
  <c r="CQ59" i="6"/>
  <c r="CO59" i="6"/>
  <c r="CA59" i="6"/>
  <c r="AA59" i="6"/>
  <c r="O59" i="6"/>
  <c r="M59" i="6"/>
  <c r="QO58" i="6"/>
  <c r="QK58" i="6"/>
  <c r="QG58" i="6"/>
  <c r="QA58" i="6"/>
  <c r="PW58" i="6"/>
  <c r="PS58" i="6"/>
  <c r="PP58" i="6"/>
  <c r="PN58" i="6"/>
  <c r="PL58" i="6"/>
  <c r="PJ58" i="6"/>
  <c r="PH58" i="6"/>
  <c r="PF58" i="6"/>
  <c r="PD58" i="6"/>
  <c r="PB58" i="6"/>
  <c r="OZ58" i="6"/>
  <c r="OX58" i="6"/>
  <c r="OV58" i="6"/>
  <c r="OT58" i="6"/>
  <c r="OR58" i="6"/>
  <c r="OP58" i="6"/>
  <c r="ON58" i="6"/>
  <c r="OL58" i="6"/>
  <c r="OJ58" i="6"/>
  <c r="OH58" i="6"/>
  <c r="OF58" i="6"/>
  <c r="OD58" i="6"/>
  <c r="OB58" i="6"/>
  <c r="NZ58" i="6"/>
  <c r="NX58" i="6"/>
  <c r="NV58" i="6"/>
  <c r="NT58" i="6"/>
  <c r="NR58" i="6"/>
  <c r="NP58" i="6"/>
  <c r="NN58" i="6"/>
  <c r="NL58" i="6"/>
  <c r="NJ58" i="6"/>
  <c r="NH58" i="6"/>
  <c r="NF58" i="6"/>
  <c r="ND58" i="6"/>
  <c r="NB58" i="6"/>
  <c r="MZ58" i="6"/>
  <c r="MX58" i="6"/>
  <c r="MV58" i="6"/>
  <c r="MT58" i="6"/>
  <c r="MR58" i="6"/>
  <c r="MP58" i="6"/>
  <c r="MN58" i="6"/>
  <c r="ML58" i="6"/>
  <c r="MJ58" i="6"/>
  <c r="MG58" i="6"/>
  <c r="ME58" i="6"/>
  <c r="MC58" i="6"/>
  <c r="MA58" i="6"/>
  <c r="LY58" i="6"/>
  <c r="LW58" i="6"/>
  <c r="LU58" i="6"/>
  <c r="LS58" i="6"/>
  <c r="LQ58" i="6"/>
  <c r="LO58" i="6"/>
  <c r="LM58" i="6"/>
  <c r="LK58" i="6"/>
  <c r="LI58" i="6"/>
  <c r="LG58" i="6"/>
  <c r="LE58" i="6"/>
  <c r="LC58" i="6"/>
  <c r="LA58" i="6"/>
  <c r="KY58" i="6"/>
  <c r="KW58" i="6"/>
  <c r="KU58" i="6"/>
  <c r="KS58" i="6"/>
  <c r="KQ58" i="6"/>
  <c r="KO58" i="6"/>
  <c r="KM58" i="6"/>
  <c r="KK58" i="6"/>
  <c r="KI58" i="6"/>
  <c r="KG58" i="6"/>
  <c r="KE58" i="6"/>
  <c r="KC58" i="6"/>
  <c r="KA58" i="6"/>
  <c r="JY58" i="6"/>
  <c r="JW58" i="6"/>
  <c r="JU58" i="6"/>
  <c r="JS58" i="6"/>
  <c r="JQ58" i="6"/>
  <c r="JO58" i="6"/>
  <c r="JM58" i="6"/>
  <c r="JK58" i="6"/>
  <c r="JI58" i="6"/>
  <c r="JG58" i="6"/>
  <c r="JD58" i="6"/>
  <c r="JB58" i="6"/>
  <c r="IY58" i="6"/>
  <c r="IW58" i="6"/>
  <c r="IU58" i="6"/>
  <c r="IS58" i="6"/>
  <c r="IQ58" i="6"/>
  <c r="IO58" i="6"/>
  <c r="IM58" i="6"/>
  <c r="IK58" i="6"/>
  <c r="II58" i="6"/>
  <c r="IG58" i="6"/>
  <c r="IE58" i="6"/>
  <c r="IC58" i="6"/>
  <c r="IA58" i="6"/>
  <c r="HY58" i="6"/>
  <c r="HW58" i="6"/>
  <c r="HU58" i="6"/>
  <c r="HS58" i="6"/>
  <c r="HQ58" i="6"/>
  <c r="HO58" i="6"/>
  <c r="HM58" i="6"/>
  <c r="HK58" i="6"/>
  <c r="HI58" i="6"/>
  <c r="HG58" i="6"/>
  <c r="HE58" i="6"/>
  <c r="HC58" i="6"/>
  <c r="HA58" i="6"/>
  <c r="GY58" i="6"/>
  <c r="GW58" i="6"/>
  <c r="GU58" i="6"/>
  <c r="GS58" i="6"/>
  <c r="GQ58" i="6"/>
  <c r="GO58" i="6"/>
  <c r="GM58" i="6"/>
  <c r="GK58" i="6"/>
  <c r="GI58" i="6"/>
  <c r="GG58" i="6"/>
  <c r="GE58" i="6"/>
  <c r="GC58" i="6"/>
  <c r="GA58" i="6"/>
  <c r="FY58" i="6"/>
  <c r="FW58" i="6"/>
  <c r="FU58" i="6"/>
  <c r="FS58" i="6"/>
  <c r="FP58" i="6"/>
  <c r="FN58" i="6"/>
  <c r="FL58" i="6"/>
  <c r="FJ58" i="6"/>
  <c r="FH58" i="6"/>
  <c r="FF58" i="6"/>
  <c r="FD58" i="6"/>
  <c r="FB58" i="6"/>
  <c r="EZ58" i="6"/>
  <c r="EX58" i="6"/>
  <c r="EV58" i="6"/>
  <c r="ET58" i="6"/>
  <c r="ER58" i="6"/>
  <c r="EP58" i="6"/>
  <c r="EN58" i="6"/>
  <c r="EL58" i="6"/>
  <c r="EJ58" i="6"/>
  <c r="EH58" i="6"/>
  <c r="EF58" i="6"/>
  <c r="ED58" i="6"/>
  <c r="EB58" i="6"/>
  <c r="DZ58" i="6"/>
  <c r="DX58" i="6"/>
  <c r="DV58" i="6"/>
  <c r="DT58" i="6"/>
  <c r="DR58" i="6"/>
  <c r="DP58" i="6"/>
  <c r="DN58" i="6"/>
  <c r="DL58" i="6"/>
  <c r="DJ58" i="6"/>
  <c r="DH58" i="6"/>
  <c r="DF58" i="6"/>
  <c r="DD58" i="6"/>
  <c r="DB58" i="6"/>
  <c r="CZ58" i="6"/>
  <c r="CX58" i="6"/>
  <c r="CV58" i="6"/>
  <c r="CS58" i="6"/>
  <c r="CQ58" i="6"/>
  <c r="CO58" i="6"/>
  <c r="CM58" i="6"/>
  <c r="CK58" i="6"/>
  <c r="CI58" i="6"/>
  <c r="CG58" i="6"/>
  <c r="CE58" i="6"/>
  <c r="CC58" i="6"/>
  <c r="CA58" i="6"/>
  <c r="BY58" i="6"/>
  <c r="BW58" i="6"/>
  <c r="BU58" i="6"/>
  <c r="BS58" i="6"/>
  <c r="BQ58" i="6"/>
  <c r="BO58" i="6"/>
  <c r="BM58" i="6"/>
  <c r="BK58" i="6"/>
  <c r="BI58" i="6"/>
  <c r="BG58" i="6"/>
  <c r="BE58" i="6"/>
  <c r="BC58" i="6"/>
  <c r="BA58" i="6"/>
  <c r="AY58" i="6"/>
  <c r="AW58" i="6"/>
  <c r="AU58" i="6"/>
  <c r="AS58" i="6"/>
  <c r="AQ58" i="6"/>
  <c r="AO58" i="6"/>
  <c r="AM58" i="6"/>
  <c r="AK58" i="6"/>
  <c r="AI58" i="6"/>
  <c r="AG58" i="6"/>
  <c r="AE58" i="6"/>
  <c r="AC58" i="6"/>
  <c r="AA58" i="6"/>
  <c r="Y58" i="6"/>
  <c r="W58" i="6"/>
  <c r="U58" i="6"/>
  <c r="S58" i="6"/>
  <c r="Q58" i="6"/>
  <c r="O58" i="6"/>
  <c r="M58" i="6"/>
  <c r="K58" i="6"/>
  <c r="I58" i="6"/>
  <c r="G58" i="6"/>
  <c r="QQ57" i="6"/>
  <c r="QQ91" i="6" s="1"/>
  <c r="QM57" i="6"/>
  <c r="QM58" i="6" s="1"/>
  <c r="QI57" i="6"/>
  <c r="QI91" i="6" s="1"/>
  <c r="QC57" i="6"/>
  <c r="PY57" i="6"/>
  <c r="PY91" i="6" s="1"/>
  <c r="PU57" i="6"/>
  <c r="PU91" i="6" s="1"/>
  <c r="QI56" i="6"/>
  <c r="QG56" i="6"/>
  <c r="QG55" i="6" s="1"/>
  <c r="PU56" i="6"/>
  <c r="PS56" i="6"/>
  <c r="PS55" i="6" s="1"/>
  <c r="PS64" i="6" s="1"/>
  <c r="PH56" i="6"/>
  <c r="PH55" i="6" s="1"/>
  <c r="PH64" i="6" s="1"/>
  <c r="PF56" i="6"/>
  <c r="PF55" i="6" s="1"/>
  <c r="PF39" i="6" s="1"/>
  <c r="PE39" i="6" s="1"/>
  <c r="PD56" i="6"/>
  <c r="PD55" i="6" s="1"/>
  <c r="PB56" i="6"/>
  <c r="PB55" i="6" s="1"/>
  <c r="OZ56" i="6"/>
  <c r="OZ55" i="6" s="1"/>
  <c r="OX56" i="6"/>
  <c r="OX55" i="6" s="1"/>
  <c r="OV56" i="6"/>
  <c r="OT56" i="6"/>
  <c r="OR56" i="6"/>
  <c r="OR55" i="6" s="1"/>
  <c r="OR39" i="6" s="1"/>
  <c r="OP56" i="6"/>
  <c r="OP55" i="6" s="1"/>
  <c r="OP39" i="6" s="1"/>
  <c r="ON56" i="6"/>
  <c r="ON55" i="6" s="1"/>
  <c r="ON39" i="6" s="1"/>
  <c r="OL56" i="6"/>
  <c r="OJ56" i="6"/>
  <c r="OJ55" i="6" s="1"/>
  <c r="OH56" i="6"/>
  <c r="OF56" i="6"/>
  <c r="OD56" i="6"/>
  <c r="OB56" i="6"/>
  <c r="OB55" i="6" s="1"/>
  <c r="OB39" i="6" s="1"/>
  <c r="NZ56" i="6"/>
  <c r="NX56" i="6"/>
  <c r="NX55" i="6" s="1"/>
  <c r="NV56" i="6"/>
  <c r="NV55" i="6" s="1"/>
  <c r="NT56" i="6"/>
  <c r="NR56" i="6"/>
  <c r="NR55" i="6" s="1"/>
  <c r="NR39" i="6" s="1"/>
  <c r="NP56" i="6"/>
  <c r="NP55" i="6" s="1"/>
  <c r="NN56" i="6"/>
  <c r="NN55" i="6" s="1"/>
  <c r="NL56" i="6"/>
  <c r="NJ56" i="6"/>
  <c r="NH56" i="6"/>
  <c r="NF56" i="6"/>
  <c r="NF55" i="6" s="1"/>
  <c r="ND56" i="6"/>
  <c r="ND55" i="6" s="1"/>
  <c r="ND39" i="6" s="1"/>
  <c r="NB56" i="6"/>
  <c r="NB55" i="6" s="1"/>
  <c r="NB39" i="6" s="1"/>
  <c r="MZ56" i="6"/>
  <c r="MZ55" i="6" s="1"/>
  <c r="MZ39" i="6" s="1"/>
  <c r="MX56" i="6"/>
  <c r="MV56" i="6"/>
  <c r="MV55" i="6" s="1"/>
  <c r="MV64" i="6" s="1"/>
  <c r="MT56" i="6"/>
  <c r="MR56" i="6"/>
  <c r="MP56" i="6"/>
  <c r="MN56" i="6"/>
  <c r="MN55" i="6" s="1"/>
  <c r="MN39" i="6" s="1"/>
  <c r="MM39" i="6" s="1"/>
  <c r="MM36" i="6" s="1"/>
  <c r="ML56" i="6"/>
  <c r="ML55" i="6" s="1"/>
  <c r="MJ56" i="6"/>
  <c r="MJ55" i="6" s="1"/>
  <c r="MG56" i="6"/>
  <c r="MG55" i="6" s="1"/>
  <c r="MG64" i="6" s="1"/>
  <c r="ME56" i="6"/>
  <c r="ME55" i="6" s="1"/>
  <c r="ME64" i="6" s="1"/>
  <c r="MC56" i="6"/>
  <c r="MC55" i="6" s="1"/>
  <c r="MC39" i="6" s="1"/>
  <c r="MB39" i="6" s="1"/>
  <c r="MB36" i="6" s="1"/>
  <c r="MA56" i="6"/>
  <c r="MA55" i="6" s="1"/>
  <c r="MA48" i="6" s="1"/>
  <c r="LY56" i="6"/>
  <c r="LY55" i="6" s="1"/>
  <c r="LY48" i="6" s="1"/>
  <c r="LW56" i="6"/>
  <c r="LU56" i="6"/>
  <c r="LS56" i="6"/>
  <c r="LS55" i="6" s="1"/>
  <c r="LQ56" i="6"/>
  <c r="LO56" i="6"/>
  <c r="LO55" i="6" s="1"/>
  <c r="LM56" i="6"/>
  <c r="LM55" i="6" s="1"/>
  <c r="LK56" i="6"/>
  <c r="LK55" i="6" s="1"/>
  <c r="LK39" i="6" s="1"/>
  <c r="LI56" i="6"/>
  <c r="LG56" i="6"/>
  <c r="LE56" i="6"/>
  <c r="LC56" i="6"/>
  <c r="LA56" i="6"/>
  <c r="KY56" i="6"/>
  <c r="KY55" i="6" s="1"/>
  <c r="KY39" i="6" s="1"/>
  <c r="KW56" i="6"/>
  <c r="KU56" i="6"/>
  <c r="KU55" i="6" s="1"/>
  <c r="KS56" i="6"/>
  <c r="KS55" i="6" s="1"/>
  <c r="KQ56" i="6"/>
  <c r="KQ55" i="6" s="1"/>
  <c r="KO56" i="6"/>
  <c r="KO55" i="6" s="1"/>
  <c r="KO39" i="6" s="1"/>
  <c r="KM56" i="6"/>
  <c r="KM55" i="6" s="1"/>
  <c r="KK56" i="6"/>
  <c r="KK55" i="6" s="1"/>
  <c r="KI56" i="6"/>
  <c r="KG56" i="6"/>
  <c r="KE56" i="6"/>
  <c r="KE55" i="6" s="1"/>
  <c r="KE64" i="6" s="1"/>
  <c r="KC56" i="6"/>
  <c r="KC55" i="6" s="1"/>
  <c r="KC64" i="6" s="1"/>
  <c r="KA56" i="6"/>
  <c r="KA55" i="6" s="1"/>
  <c r="JY56" i="6"/>
  <c r="JY55" i="6" s="1"/>
  <c r="JW56" i="6"/>
  <c r="JW55" i="6" s="1"/>
  <c r="JU56" i="6"/>
  <c r="JU55" i="6" s="1"/>
  <c r="JU64" i="6" s="1"/>
  <c r="JS56" i="6"/>
  <c r="JS55" i="6" s="1"/>
  <c r="JQ56" i="6"/>
  <c r="JO56" i="6"/>
  <c r="JM56" i="6"/>
  <c r="JK56" i="6"/>
  <c r="JK55" i="6" s="1"/>
  <c r="JK39" i="6" s="1"/>
  <c r="JI56" i="6"/>
  <c r="JG56" i="6"/>
  <c r="JG55" i="6" s="1"/>
  <c r="JD56" i="6"/>
  <c r="JD55" i="6" s="1"/>
  <c r="JB56" i="6"/>
  <c r="IY56" i="6"/>
  <c r="IY55" i="6" s="1"/>
  <c r="IY39" i="6" s="1"/>
  <c r="IX39" i="6" s="1"/>
  <c r="IX36" i="6" s="1"/>
  <c r="IW56" i="6"/>
  <c r="IW55" i="6" s="1"/>
  <c r="IW48" i="6" s="1"/>
  <c r="IU56" i="6"/>
  <c r="IU55" i="6" s="1"/>
  <c r="IS56" i="6"/>
  <c r="IQ56" i="6"/>
  <c r="IO56" i="6"/>
  <c r="IO55" i="6" s="1"/>
  <c r="IM56" i="6"/>
  <c r="IK56" i="6"/>
  <c r="IK55" i="6" s="1"/>
  <c r="II56" i="6"/>
  <c r="II55" i="6" s="1"/>
  <c r="II39" i="6" s="1"/>
  <c r="IH39" i="6" s="1"/>
  <c r="IH36" i="6" s="1"/>
  <c r="IG56" i="6"/>
  <c r="IG55" i="6" s="1"/>
  <c r="IG39" i="6" s="1"/>
  <c r="IF39" i="6" s="1"/>
  <c r="IF36" i="6" s="1"/>
  <c r="IE56" i="6"/>
  <c r="IC56" i="6"/>
  <c r="IA56" i="6"/>
  <c r="HY56" i="6"/>
  <c r="HW56" i="6"/>
  <c r="HU56" i="6"/>
  <c r="HU55" i="6" s="1"/>
  <c r="HU39" i="6" s="1"/>
  <c r="HS56" i="6"/>
  <c r="HQ56" i="6"/>
  <c r="HQ55" i="6" s="1"/>
  <c r="HO56" i="6"/>
  <c r="HO55" i="6" s="1"/>
  <c r="HO64" i="6" s="1"/>
  <c r="HM56" i="6"/>
  <c r="HM55" i="6" s="1"/>
  <c r="HM64" i="6" s="1"/>
  <c r="HK56" i="6"/>
  <c r="HK55" i="6" s="1"/>
  <c r="HK39" i="6" s="1"/>
  <c r="HI56" i="6"/>
  <c r="HI55" i="6" s="1"/>
  <c r="HG56" i="6"/>
  <c r="HG55" i="6" s="1"/>
  <c r="HE56" i="6"/>
  <c r="HE55" i="6" s="1"/>
  <c r="HC56" i="6"/>
  <c r="HC55" i="6" s="1"/>
  <c r="HA56" i="6"/>
  <c r="HA55" i="6" s="1"/>
  <c r="GY56" i="6"/>
  <c r="GY55" i="6" s="1"/>
  <c r="GW56" i="6"/>
  <c r="GW55" i="6" s="1"/>
  <c r="GU56" i="6"/>
  <c r="GU55" i="6" s="1"/>
  <c r="GU39" i="6" s="1"/>
  <c r="GS56" i="6"/>
  <c r="GS55" i="6" s="1"/>
  <c r="GQ56" i="6"/>
  <c r="GQ55" i="6" s="1"/>
  <c r="GO56" i="6"/>
  <c r="GO55" i="6" s="1"/>
  <c r="GM56" i="6"/>
  <c r="GK56" i="6"/>
  <c r="GI56" i="6"/>
  <c r="GG56" i="6"/>
  <c r="GG55" i="6" s="1"/>
  <c r="GG39" i="6" s="1"/>
  <c r="GE56" i="6"/>
  <c r="GC56" i="6"/>
  <c r="GC55" i="6" s="1"/>
  <c r="GA56" i="6"/>
  <c r="FY56" i="6"/>
  <c r="FW56" i="6"/>
  <c r="FW55" i="6" s="1"/>
  <c r="FW39" i="6" s="1"/>
  <c r="FV39" i="6" s="1"/>
  <c r="FU56" i="6"/>
  <c r="FU55" i="6" s="1"/>
  <c r="FS56" i="6"/>
  <c r="FS55" i="6" s="1"/>
  <c r="FP56" i="6"/>
  <c r="FN56" i="6"/>
  <c r="FL56" i="6"/>
  <c r="FL55" i="6" s="1"/>
  <c r="FJ56" i="6"/>
  <c r="FJ55" i="6" s="1"/>
  <c r="FH56" i="6"/>
  <c r="FH55" i="6" s="1"/>
  <c r="FF56" i="6"/>
  <c r="FF55" i="6" s="1"/>
  <c r="FF39" i="6" s="1"/>
  <c r="FE39" i="6" s="1"/>
  <c r="FD56" i="6"/>
  <c r="FD55" i="6" s="1"/>
  <c r="FD39" i="6" s="1"/>
  <c r="FC39" i="6" s="1"/>
  <c r="FB56" i="6"/>
  <c r="FB55" i="6" s="1"/>
  <c r="EZ56" i="6"/>
  <c r="EZ55" i="6" s="1"/>
  <c r="EZ39" i="6" s="1"/>
  <c r="EX56" i="6"/>
  <c r="EV56" i="6"/>
  <c r="ET56" i="6"/>
  <c r="ER56" i="6"/>
  <c r="ER55" i="6" s="1"/>
  <c r="ER39" i="6" s="1"/>
  <c r="EQ39" i="6" s="1"/>
  <c r="EP56" i="6"/>
  <c r="EP55" i="6" s="1"/>
  <c r="EN56" i="6"/>
  <c r="EN55" i="6" s="1"/>
  <c r="EL56" i="6"/>
  <c r="EL55" i="6" s="1"/>
  <c r="EJ56" i="6"/>
  <c r="EJ55" i="6" s="1"/>
  <c r="EJ64" i="6" s="1"/>
  <c r="EH56" i="6"/>
  <c r="EH55" i="6" s="1"/>
  <c r="EF56" i="6"/>
  <c r="EF55" i="6" s="1"/>
  <c r="ED56" i="6"/>
  <c r="ED55" i="6" s="1"/>
  <c r="ED48" i="6" s="1"/>
  <c r="EB56" i="6"/>
  <c r="EB55" i="6" s="1"/>
  <c r="DZ56" i="6"/>
  <c r="DZ55" i="6" s="1"/>
  <c r="DX56" i="6"/>
  <c r="DX55" i="6" s="1"/>
  <c r="DV56" i="6"/>
  <c r="DV55" i="6" s="1"/>
  <c r="DT56" i="6"/>
  <c r="DT55" i="6" s="1"/>
  <c r="DR56" i="6"/>
  <c r="DR55" i="6" s="1"/>
  <c r="DP56" i="6"/>
  <c r="DP55" i="6" s="1"/>
  <c r="DN56" i="6"/>
  <c r="DL56" i="6"/>
  <c r="DJ56" i="6"/>
  <c r="DH56" i="6"/>
  <c r="DF56" i="6"/>
  <c r="DD56" i="6"/>
  <c r="DD55" i="6" s="1"/>
  <c r="DD39" i="6" s="1"/>
  <c r="DC39" i="6" s="1"/>
  <c r="DB56" i="6"/>
  <c r="CZ56" i="6"/>
  <c r="CZ55" i="6" s="1"/>
  <c r="CX56" i="6"/>
  <c r="CX55" i="6" s="1"/>
  <c r="CV56" i="6"/>
  <c r="CV55" i="6" s="1"/>
  <c r="CS56" i="6"/>
  <c r="CS55" i="6" s="1"/>
  <c r="CS39" i="6" s="1"/>
  <c r="CR39" i="6" s="1"/>
  <c r="CQ56" i="6"/>
  <c r="CQ55" i="6" s="1"/>
  <c r="CO56" i="6"/>
  <c r="CO55" i="6" s="1"/>
  <c r="CM56" i="6"/>
  <c r="CK56" i="6"/>
  <c r="CI56" i="6"/>
  <c r="CG56" i="6"/>
  <c r="CE56" i="6"/>
  <c r="CE55" i="6" s="1"/>
  <c r="CC56" i="6"/>
  <c r="CC55" i="6" s="1"/>
  <c r="CC39" i="6" s="1"/>
  <c r="CA56" i="6"/>
  <c r="CA55" i="6" s="1"/>
  <c r="CA39" i="6" s="1"/>
  <c r="BZ39" i="6" s="1"/>
  <c r="BY56" i="6"/>
  <c r="BW56" i="6"/>
  <c r="BU56" i="6"/>
  <c r="BS56" i="6"/>
  <c r="BQ56" i="6"/>
  <c r="BO56" i="6"/>
  <c r="BO55" i="6" s="1"/>
  <c r="BO39" i="6" s="1"/>
  <c r="BM56" i="6"/>
  <c r="BK56" i="6"/>
  <c r="BK55" i="6" s="1"/>
  <c r="BI56" i="6"/>
  <c r="BI55" i="6" s="1"/>
  <c r="BG56" i="6"/>
  <c r="BG55" i="6" s="1"/>
  <c r="BE56" i="6"/>
  <c r="BE55" i="6" s="1"/>
  <c r="BE39" i="6" s="1"/>
  <c r="BC56" i="6"/>
  <c r="BC55" i="6" s="1"/>
  <c r="BC48" i="6" s="1"/>
  <c r="BA56" i="6"/>
  <c r="BA55" i="6" s="1"/>
  <c r="AY56" i="6"/>
  <c r="AW56" i="6"/>
  <c r="AU56" i="6"/>
  <c r="AS56" i="6"/>
  <c r="AQ56" i="6"/>
  <c r="AQ55" i="6" s="1"/>
  <c r="AQ64" i="6" s="1"/>
  <c r="AO56" i="6"/>
  <c r="AO55" i="6" s="1"/>
  <c r="AO39" i="6" s="1"/>
  <c r="AM56" i="6"/>
  <c r="AM55" i="6" s="1"/>
  <c r="AM39" i="6" s="1"/>
  <c r="AK56" i="6"/>
  <c r="AK55" i="6" s="1"/>
  <c r="AI56" i="6"/>
  <c r="AG56" i="6"/>
  <c r="AE56" i="6"/>
  <c r="AC56" i="6"/>
  <c r="AA56" i="6"/>
  <c r="AA55" i="6" s="1"/>
  <c r="AA39" i="6" s="1"/>
  <c r="Z39" i="6" s="1"/>
  <c r="Z36" i="6" s="1"/>
  <c r="Y56" i="6"/>
  <c r="W56" i="6"/>
  <c r="W55" i="6" s="1"/>
  <c r="U56" i="6"/>
  <c r="U55" i="6" s="1"/>
  <c r="S56" i="6"/>
  <c r="Q56" i="6"/>
  <c r="Q55" i="6" s="1"/>
  <c r="Q39" i="6" s="1"/>
  <c r="P39" i="6" s="1"/>
  <c r="P36" i="6" s="1"/>
  <c r="O56" i="6"/>
  <c r="O55" i="6" s="1"/>
  <c r="M56" i="6"/>
  <c r="M55" i="6" s="1"/>
  <c r="M48" i="6" s="1"/>
  <c r="K56" i="6"/>
  <c r="I56" i="6"/>
  <c r="G56" i="6"/>
  <c r="G55" i="6" s="1"/>
  <c r="QO55" i="6"/>
  <c r="QM55" i="6"/>
  <c r="QK55" i="6"/>
  <c r="QA55" i="6"/>
  <c r="QA64" i="6" s="1"/>
  <c r="PW55" i="6"/>
  <c r="PW64" i="6" s="1"/>
  <c r="PP55" i="6"/>
  <c r="PP64" i="6" s="1"/>
  <c r="PN55" i="6"/>
  <c r="PN64" i="6" s="1"/>
  <c r="PL55" i="6"/>
  <c r="PL64" i="6" s="1"/>
  <c r="PJ55" i="6"/>
  <c r="PJ64" i="6" s="1"/>
  <c r="OV55" i="6"/>
  <c r="OT55" i="6"/>
  <c r="OT48" i="6" s="1"/>
  <c r="OL55" i="6"/>
  <c r="OH55" i="6"/>
  <c r="OF55" i="6"/>
  <c r="OD55" i="6"/>
  <c r="NZ55" i="6"/>
  <c r="NT55" i="6"/>
  <c r="NT64" i="6" s="1"/>
  <c r="NL55" i="6"/>
  <c r="NL64" i="6" s="1"/>
  <c r="NJ55" i="6"/>
  <c r="NJ64" i="6" s="1"/>
  <c r="NH55" i="6"/>
  <c r="NH64" i="6" s="1"/>
  <c r="MX55" i="6"/>
  <c r="MT55" i="6"/>
  <c r="MT64" i="6" s="1"/>
  <c r="MR55" i="6"/>
  <c r="MR64" i="6" s="1"/>
  <c r="MP55" i="6"/>
  <c r="MP64" i="6" s="1"/>
  <c r="LW55" i="6"/>
  <c r="LU55" i="6"/>
  <c r="LQ55" i="6"/>
  <c r="LI55" i="6"/>
  <c r="LG55" i="6"/>
  <c r="LE55" i="6"/>
  <c r="LC55" i="6"/>
  <c r="LC48" i="6" s="1"/>
  <c r="LA55" i="6"/>
  <c r="KW55" i="6"/>
  <c r="KW64" i="6" s="1"/>
  <c r="KI55" i="6"/>
  <c r="KI64" i="6" s="1"/>
  <c r="KG55" i="6"/>
  <c r="KG64" i="6" s="1"/>
  <c r="JQ55" i="6"/>
  <c r="JQ64" i="6" s="1"/>
  <c r="JO55" i="6"/>
  <c r="JO64" i="6" s="1"/>
  <c r="JM55" i="6"/>
  <c r="JI55" i="6"/>
  <c r="JB55" i="6"/>
  <c r="IS55" i="6"/>
  <c r="IS64" i="6" s="1"/>
  <c r="IQ55" i="6"/>
  <c r="IQ64" i="6" s="1"/>
  <c r="IM55" i="6"/>
  <c r="IM64" i="6" s="1"/>
  <c r="IE55" i="6"/>
  <c r="IC55" i="6"/>
  <c r="IA55" i="6"/>
  <c r="HY55" i="6"/>
  <c r="HW55" i="6"/>
  <c r="HW64" i="6" s="1"/>
  <c r="HS55" i="6"/>
  <c r="HS64" i="6" s="1"/>
  <c r="GM55" i="6"/>
  <c r="GK55" i="6"/>
  <c r="GI55" i="6"/>
  <c r="GE55" i="6"/>
  <c r="GA55" i="6"/>
  <c r="FY55" i="6"/>
  <c r="FY64" i="6" s="1"/>
  <c r="FP55" i="6"/>
  <c r="FP64" i="6" s="1"/>
  <c r="FN55" i="6"/>
  <c r="FN64" i="6" s="1"/>
  <c r="EX55" i="6"/>
  <c r="EV55" i="6"/>
  <c r="ET55" i="6"/>
  <c r="DN55" i="6"/>
  <c r="DL55" i="6"/>
  <c r="DJ55" i="6"/>
  <c r="DH55" i="6"/>
  <c r="DF55" i="6"/>
  <c r="DF48" i="6" s="1"/>
  <c r="DB55" i="6"/>
  <c r="DB64" i="6" s="1"/>
  <c r="CM55" i="6"/>
  <c r="CM64" i="6" s="1"/>
  <c r="CK55" i="6"/>
  <c r="CK64" i="6" s="1"/>
  <c r="CI55" i="6"/>
  <c r="CI64" i="6" s="1"/>
  <c r="CG55" i="6"/>
  <c r="CG64" i="6" s="1"/>
  <c r="BY55" i="6"/>
  <c r="BY48" i="6" s="1"/>
  <c r="BW55" i="6"/>
  <c r="BW48" i="6" s="1"/>
  <c r="BU55" i="6"/>
  <c r="BU64" i="6" s="1"/>
  <c r="BS55" i="6"/>
  <c r="BQ55" i="6"/>
  <c r="BQ64" i="6" s="1"/>
  <c r="BM55" i="6"/>
  <c r="AY55" i="6"/>
  <c r="AY64" i="6" s="1"/>
  <c r="AW55" i="6"/>
  <c r="AW64" i="6" s="1"/>
  <c r="AU55" i="6"/>
  <c r="AU64" i="6" s="1"/>
  <c r="AS55" i="6"/>
  <c r="AS64" i="6" s="1"/>
  <c r="AI55" i="6"/>
  <c r="AG55" i="6"/>
  <c r="AE55" i="6"/>
  <c r="AC55" i="6"/>
  <c r="AC48" i="6" s="1"/>
  <c r="Y55" i="6"/>
  <c r="Y39" i="6" s="1"/>
  <c r="X39" i="6" s="1"/>
  <c r="X36" i="6" s="1"/>
  <c r="S55" i="6"/>
  <c r="S64" i="6" s="1"/>
  <c r="K55" i="6"/>
  <c r="I55" i="6"/>
  <c r="QQ52" i="6"/>
  <c r="QO52" i="6"/>
  <c r="QM52" i="6"/>
  <c r="QK52" i="6"/>
  <c r="QI52" i="6"/>
  <c r="QG52" i="6"/>
  <c r="QG53" i="6" s="1"/>
  <c r="QC52" i="6"/>
  <c r="QA52" i="6"/>
  <c r="PY52" i="6"/>
  <c r="PW52" i="6"/>
  <c r="PU52" i="6"/>
  <c r="PS52" i="6"/>
  <c r="PP52" i="6"/>
  <c r="PP53" i="6" s="1"/>
  <c r="PN52" i="6"/>
  <c r="PN53" i="6" s="1"/>
  <c r="PL52" i="6"/>
  <c r="PJ52" i="6"/>
  <c r="PJ53" i="6" s="1"/>
  <c r="PH52" i="6"/>
  <c r="PF52" i="6"/>
  <c r="PD52" i="6"/>
  <c r="PB52" i="6"/>
  <c r="OZ52" i="6"/>
  <c r="OX52" i="6"/>
  <c r="OV52" i="6"/>
  <c r="OT52" i="6"/>
  <c r="OR52" i="6"/>
  <c r="OP52" i="6"/>
  <c r="ON52" i="6"/>
  <c r="OL52" i="6"/>
  <c r="OJ52" i="6"/>
  <c r="OH52" i="6"/>
  <c r="OF52" i="6"/>
  <c r="OD52" i="6"/>
  <c r="OB52" i="6"/>
  <c r="NZ52" i="6"/>
  <c r="NX52" i="6"/>
  <c r="NX53" i="6" s="1"/>
  <c r="NV52" i="6"/>
  <c r="NT52" i="6"/>
  <c r="NR52" i="6"/>
  <c r="NP52" i="6"/>
  <c r="NN52" i="6"/>
  <c r="NL52" i="6"/>
  <c r="NL53" i="6" s="1"/>
  <c r="NJ52" i="6"/>
  <c r="NH52" i="6"/>
  <c r="NF52" i="6"/>
  <c r="ND52" i="6"/>
  <c r="NB52" i="6"/>
  <c r="MZ52" i="6"/>
  <c r="MX52" i="6"/>
  <c r="MV52" i="6"/>
  <c r="MT52" i="6"/>
  <c r="MR52" i="6"/>
  <c r="MP52" i="6"/>
  <c r="MN52" i="6"/>
  <c r="ML52" i="6"/>
  <c r="MJ52" i="6"/>
  <c r="MJ53" i="6" s="1"/>
  <c r="MG52" i="6"/>
  <c r="ME52" i="6"/>
  <c r="MC52" i="6"/>
  <c r="MA52" i="6"/>
  <c r="LY52" i="6"/>
  <c r="LW52" i="6"/>
  <c r="LW53" i="6" s="1"/>
  <c r="LU52" i="6"/>
  <c r="LU53" i="6" s="1"/>
  <c r="LS52" i="6"/>
  <c r="LQ52" i="6"/>
  <c r="LO52" i="6"/>
  <c r="LM52" i="6"/>
  <c r="LK52" i="6"/>
  <c r="LI52" i="6"/>
  <c r="LI53" i="6" s="1"/>
  <c r="LG52" i="6"/>
  <c r="LG53" i="6" s="1"/>
  <c r="LE52" i="6"/>
  <c r="LC52" i="6"/>
  <c r="LC53" i="6" s="1"/>
  <c r="LA52" i="6"/>
  <c r="KY52" i="6"/>
  <c r="KW52" i="6"/>
  <c r="KU52" i="6"/>
  <c r="KU53" i="6" s="1"/>
  <c r="KS52" i="6"/>
  <c r="KQ52" i="6"/>
  <c r="KO52" i="6"/>
  <c r="KM52" i="6"/>
  <c r="KK52" i="6"/>
  <c r="KI52" i="6"/>
  <c r="KI53" i="6" s="1"/>
  <c r="KG52" i="6"/>
  <c r="KE52" i="6"/>
  <c r="KC52" i="6"/>
  <c r="KA52" i="6"/>
  <c r="JY52" i="6"/>
  <c r="JW52" i="6"/>
  <c r="JU52" i="6"/>
  <c r="JU53" i="6" s="1"/>
  <c r="JS52" i="6"/>
  <c r="JQ52" i="6"/>
  <c r="JQ44" i="6" s="1"/>
  <c r="JO52" i="6"/>
  <c r="JM52" i="6"/>
  <c r="JM44" i="6" s="1"/>
  <c r="JK52" i="6"/>
  <c r="JI52" i="6"/>
  <c r="JG52" i="6"/>
  <c r="JG53" i="6" s="1"/>
  <c r="JD52" i="6"/>
  <c r="JB52" i="6"/>
  <c r="IY52" i="6"/>
  <c r="IW52" i="6"/>
  <c r="IU52" i="6"/>
  <c r="IS52" i="6"/>
  <c r="IS53" i="6" s="1"/>
  <c r="IQ52" i="6"/>
  <c r="IQ53" i="6" s="1"/>
  <c r="IO52" i="6"/>
  <c r="IM52" i="6"/>
  <c r="IK52" i="6"/>
  <c r="II52" i="6"/>
  <c r="IG52" i="6"/>
  <c r="IE52" i="6"/>
  <c r="IC52" i="6"/>
  <c r="IC53" i="6" s="1"/>
  <c r="IA52" i="6"/>
  <c r="HY52" i="6"/>
  <c r="HW52" i="6"/>
  <c r="HU52" i="6"/>
  <c r="HS52" i="6"/>
  <c r="HQ52" i="6"/>
  <c r="HQ53" i="6" s="1"/>
  <c r="HO52" i="6"/>
  <c r="HM52" i="6"/>
  <c r="HK52" i="6"/>
  <c r="HI52" i="6"/>
  <c r="HG52" i="6"/>
  <c r="HE52" i="6"/>
  <c r="HC52" i="6"/>
  <c r="HA52" i="6"/>
  <c r="GY52" i="6"/>
  <c r="GW52" i="6"/>
  <c r="GU52" i="6"/>
  <c r="GS52" i="6"/>
  <c r="GQ52" i="6"/>
  <c r="GQ53" i="6" s="1"/>
  <c r="GO52" i="6"/>
  <c r="GO53" i="6" s="1"/>
  <c r="GM52" i="6"/>
  <c r="GK52" i="6"/>
  <c r="GI52" i="6"/>
  <c r="GG52" i="6"/>
  <c r="GE52" i="6"/>
  <c r="GC52" i="6"/>
  <c r="GC53" i="6" s="1"/>
  <c r="GA52" i="6"/>
  <c r="FY52" i="6"/>
  <c r="FW52" i="6"/>
  <c r="FU52" i="6"/>
  <c r="FS52" i="6"/>
  <c r="FS44" i="6" s="1"/>
  <c r="FP52" i="6"/>
  <c r="FN52" i="6"/>
  <c r="FL52" i="6"/>
  <c r="FJ52" i="6"/>
  <c r="FH52" i="6"/>
  <c r="FF52" i="6"/>
  <c r="FD52" i="6"/>
  <c r="FB52" i="6"/>
  <c r="EZ52" i="6"/>
  <c r="EX52" i="6"/>
  <c r="EV52" i="6"/>
  <c r="ET52" i="6"/>
  <c r="ER52" i="6"/>
  <c r="EP52" i="6"/>
  <c r="EN52" i="6"/>
  <c r="EN53" i="6" s="1"/>
  <c r="EL52" i="6"/>
  <c r="EJ52" i="6"/>
  <c r="EH52" i="6"/>
  <c r="EF52" i="6"/>
  <c r="ED52" i="6"/>
  <c r="EB52" i="6"/>
  <c r="EB53" i="6" s="1"/>
  <c r="DZ52" i="6"/>
  <c r="DZ53" i="6" s="1"/>
  <c r="DX52" i="6"/>
  <c r="DV52" i="6"/>
  <c r="DT52" i="6"/>
  <c r="DR52" i="6"/>
  <c r="DP52" i="6"/>
  <c r="DN52" i="6"/>
  <c r="DN53" i="6" s="1"/>
  <c r="DL52" i="6"/>
  <c r="DL53" i="6" s="1"/>
  <c r="DJ52" i="6"/>
  <c r="DH52" i="6"/>
  <c r="DF52" i="6"/>
  <c r="DD52" i="6"/>
  <c r="DB52" i="6"/>
  <c r="CZ52" i="6"/>
  <c r="CZ53" i="6" s="1"/>
  <c r="CX52" i="6"/>
  <c r="CV52" i="6"/>
  <c r="CS52" i="6"/>
  <c r="CQ52" i="6"/>
  <c r="CO52" i="6"/>
  <c r="CM52" i="6"/>
  <c r="CM53" i="6" s="1"/>
  <c r="CK52" i="6"/>
  <c r="CI52" i="6"/>
  <c r="CG52" i="6"/>
  <c r="CE52" i="6"/>
  <c r="CC52" i="6"/>
  <c r="CA52" i="6"/>
  <c r="BY52" i="6"/>
  <c r="BW52" i="6"/>
  <c r="BW53" i="6" s="1"/>
  <c r="BU52" i="6"/>
  <c r="BS52" i="6"/>
  <c r="BQ52" i="6"/>
  <c r="BO52" i="6"/>
  <c r="BM52" i="6"/>
  <c r="BK52" i="6"/>
  <c r="BK53" i="6" s="1"/>
  <c r="BI52" i="6"/>
  <c r="BG52" i="6"/>
  <c r="BE52" i="6"/>
  <c r="BC52" i="6"/>
  <c r="BA52" i="6"/>
  <c r="AY52" i="6"/>
  <c r="AY53" i="6" s="1"/>
  <c r="AW52" i="6"/>
  <c r="AU52" i="6"/>
  <c r="AS52" i="6"/>
  <c r="AQ52" i="6"/>
  <c r="AO52" i="6"/>
  <c r="AM52" i="6"/>
  <c r="AK52" i="6"/>
  <c r="AI52" i="6"/>
  <c r="AG52" i="6"/>
  <c r="AE52" i="6"/>
  <c r="AC52" i="6"/>
  <c r="AA52" i="6"/>
  <c r="Y52" i="6"/>
  <c r="W52" i="6"/>
  <c r="W53" i="6" s="1"/>
  <c r="U52" i="6"/>
  <c r="S52" i="6"/>
  <c r="Q52" i="6"/>
  <c r="O52" i="6"/>
  <c r="M52" i="6"/>
  <c r="K52" i="6"/>
  <c r="K53" i="6" s="1"/>
  <c r="I52" i="6"/>
  <c r="G52" i="6"/>
  <c r="QQ50" i="6"/>
  <c r="QO50" i="6"/>
  <c r="QM50" i="6"/>
  <c r="QK50" i="6"/>
  <c r="QI50" i="6"/>
  <c r="QG50" i="6"/>
  <c r="QC50" i="6"/>
  <c r="QA50" i="6"/>
  <c r="QA51" i="6" s="1"/>
  <c r="PY50" i="6"/>
  <c r="PW50" i="6"/>
  <c r="PW51" i="6" s="1"/>
  <c r="PU50" i="6"/>
  <c r="PS50" i="6"/>
  <c r="PP50" i="6"/>
  <c r="PP51" i="6" s="1"/>
  <c r="PN50" i="6"/>
  <c r="PN51" i="6" s="1"/>
  <c r="PL50" i="6"/>
  <c r="PL51" i="6" s="1"/>
  <c r="PJ50" i="6"/>
  <c r="PJ51" i="6" s="1"/>
  <c r="PH50" i="6"/>
  <c r="PH51" i="6" s="1"/>
  <c r="PF50" i="6"/>
  <c r="PD50" i="6"/>
  <c r="PB50" i="6"/>
  <c r="OZ50" i="6"/>
  <c r="OX50" i="6"/>
  <c r="OV50" i="6"/>
  <c r="OV51" i="6" s="1"/>
  <c r="OT50" i="6"/>
  <c r="OT51" i="6" s="1"/>
  <c r="OR50" i="6"/>
  <c r="OR51" i="6" s="1"/>
  <c r="OP50" i="6"/>
  <c r="ON50" i="6"/>
  <c r="OL50" i="6"/>
  <c r="OL51" i="6" s="1"/>
  <c r="OJ50" i="6"/>
  <c r="OH50" i="6"/>
  <c r="OF50" i="6"/>
  <c r="OF51" i="6" s="1"/>
  <c r="OD50" i="6"/>
  <c r="OD51" i="6" s="1"/>
  <c r="OB50" i="6"/>
  <c r="NZ50" i="6"/>
  <c r="NZ51" i="6" s="1"/>
  <c r="NX50" i="6"/>
  <c r="NV50" i="6"/>
  <c r="NT50" i="6"/>
  <c r="NR50" i="6"/>
  <c r="NP50" i="6"/>
  <c r="NN50" i="6"/>
  <c r="NL50" i="6"/>
  <c r="NJ50" i="6"/>
  <c r="NH50" i="6"/>
  <c r="NF50" i="6"/>
  <c r="ND50" i="6"/>
  <c r="ND51" i="6" s="1"/>
  <c r="NB50" i="6"/>
  <c r="MZ50" i="6"/>
  <c r="MX50" i="6"/>
  <c r="MV50" i="6"/>
  <c r="MV51" i="6" s="1"/>
  <c r="MT50" i="6"/>
  <c r="MT51" i="6" s="1"/>
  <c r="MR50" i="6"/>
  <c r="MR51" i="6" s="1"/>
  <c r="MP50" i="6"/>
  <c r="MP51" i="6" s="1"/>
  <c r="MN50" i="6"/>
  <c r="ML50" i="6"/>
  <c r="ML51" i="6" s="1"/>
  <c r="MJ50" i="6"/>
  <c r="MG50" i="6"/>
  <c r="MG51" i="6" s="1"/>
  <c r="ME50" i="6"/>
  <c r="ME51" i="6" s="1"/>
  <c r="MC50" i="6"/>
  <c r="MA50" i="6"/>
  <c r="LY50" i="6"/>
  <c r="LW50" i="6"/>
  <c r="LU50" i="6"/>
  <c r="LS50" i="6"/>
  <c r="LQ50" i="6"/>
  <c r="LQ51" i="6" s="1"/>
  <c r="LO50" i="6"/>
  <c r="LO51" i="6" s="1"/>
  <c r="LM50" i="6"/>
  <c r="LK50" i="6"/>
  <c r="LK51" i="6" s="1"/>
  <c r="LI50" i="6"/>
  <c r="LI51" i="6" s="1"/>
  <c r="LG50" i="6"/>
  <c r="LE50" i="6"/>
  <c r="LE51" i="6" s="1"/>
  <c r="LC50" i="6"/>
  <c r="LA50" i="6"/>
  <c r="LA51" i="6" s="1"/>
  <c r="KY50" i="6"/>
  <c r="KW50" i="6"/>
  <c r="KW51" i="6" s="1"/>
  <c r="KU50" i="6"/>
  <c r="KS50" i="6"/>
  <c r="KQ50" i="6"/>
  <c r="KO50" i="6"/>
  <c r="KM50" i="6"/>
  <c r="KK50" i="6"/>
  <c r="KI50" i="6"/>
  <c r="KG50" i="6"/>
  <c r="KE50" i="6"/>
  <c r="KC50" i="6"/>
  <c r="KC51" i="6" s="1"/>
  <c r="KA50" i="6"/>
  <c r="KA51" i="6" s="1"/>
  <c r="JY50" i="6"/>
  <c r="JW50" i="6"/>
  <c r="JW51" i="6" s="1"/>
  <c r="JU50" i="6"/>
  <c r="JU51" i="6" s="1"/>
  <c r="JS50" i="6"/>
  <c r="JS51" i="6" s="1"/>
  <c r="JQ50" i="6"/>
  <c r="JQ51" i="6" s="1"/>
  <c r="JO50" i="6"/>
  <c r="JO51" i="6" s="1"/>
  <c r="JM50" i="6"/>
  <c r="JK50" i="6"/>
  <c r="JI50" i="6"/>
  <c r="JI51" i="6" s="1"/>
  <c r="JG50" i="6"/>
  <c r="JD50" i="6"/>
  <c r="JB50" i="6"/>
  <c r="JB51" i="6" s="1"/>
  <c r="IY50" i="6"/>
  <c r="IW50" i="6"/>
  <c r="IU50" i="6"/>
  <c r="IS50" i="6"/>
  <c r="IQ50" i="6"/>
  <c r="IO50" i="6"/>
  <c r="IM50" i="6"/>
  <c r="IM51" i="6" s="1"/>
  <c r="IK50" i="6"/>
  <c r="IK51" i="6" s="1"/>
  <c r="II50" i="6"/>
  <c r="IG50" i="6"/>
  <c r="IE50" i="6"/>
  <c r="IE51" i="6" s="1"/>
  <c r="IC50" i="6"/>
  <c r="IA50" i="6"/>
  <c r="IA51" i="6" s="1"/>
  <c r="HY50" i="6"/>
  <c r="HW50" i="6"/>
  <c r="HW51" i="6" s="1"/>
  <c r="HU50" i="6"/>
  <c r="HS50" i="6"/>
  <c r="HQ50" i="6"/>
  <c r="HO50" i="6"/>
  <c r="HO51" i="6" s="1"/>
  <c r="HM50" i="6"/>
  <c r="HM51" i="6" s="1"/>
  <c r="HK50" i="6"/>
  <c r="HI50" i="6"/>
  <c r="HG50" i="6"/>
  <c r="HE50" i="6"/>
  <c r="HC50" i="6"/>
  <c r="HA50" i="6"/>
  <c r="GY50" i="6"/>
  <c r="GY51" i="6" s="1"/>
  <c r="GW50" i="6"/>
  <c r="GW51" i="6" s="1"/>
  <c r="GU50" i="6"/>
  <c r="GS50" i="6"/>
  <c r="GS51" i="6" s="1"/>
  <c r="GQ50" i="6"/>
  <c r="GQ51" i="6" s="1"/>
  <c r="GO50" i="6"/>
  <c r="GO51" i="6" s="1"/>
  <c r="GM50" i="6"/>
  <c r="GM51" i="6" s="1"/>
  <c r="GK50" i="6"/>
  <c r="GK51" i="6" s="1"/>
  <c r="GI50" i="6"/>
  <c r="GG50" i="6"/>
  <c r="GE50" i="6"/>
  <c r="GC50" i="6"/>
  <c r="GA50" i="6"/>
  <c r="GA51" i="6" s="1"/>
  <c r="FY50" i="6"/>
  <c r="FW50" i="6"/>
  <c r="FU50" i="6"/>
  <c r="FS50" i="6"/>
  <c r="FP50" i="6"/>
  <c r="FN50" i="6"/>
  <c r="FL50" i="6"/>
  <c r="FJ50" i="6"/>
  <c r="FH50" i="6"/>
  <c r="FH51" i="6" s="1"/>
  <c r="FF50" i="6"/>
  <c r="FD50" i="6"/>
  <c r="FB50" i="6"/>
  <c r="EZ50" i="6"/>
  <c r="EX50" i="6"/>
  <c r="EX51" i="6" s="1"/>
  <c r="EV50" i="6"/>
  <c r="EV51" i="6" s="1"/>
  <c r="ET50" i="6"/>
  <c r="ER50" i="6"/>
  <c r="EP50" i="6"/>
  <c r="EN50" i="6"/>
  <c r="EL50" i="6"/>
  <c r="EL51" i="6" s="1"/>
  <c r="EJ50" i="6"/>
  <c r="EJ51" i="6" s="1"/>
  <c r="EH50" i="6"/>
  <c r="EF50" i="6"/>
  <c r="ED50" i="6"/>
  <c r="EB50" i="6"/>
  <c r="EB51" i="6" s="1"/>
  <c r="DZ50" i="6"/>
  <c r="DX50" i="6"/>
  <c r="DV50" i="6"/>
  <c r="DV51" i="6" s="1"/>
  <c r="DT50" i="6"/>
  <c r="DT51" i="6" s="1"/>
  <c r="DR50" i="6"/>
  <c r="DP50" i="6"/>
  <c r="DN50" i="6"/>
  <c r="DN51" i="6" s="1"/>
  <c r="DL50" i="6"/>
  <c r="DJ50" i="6"/>
  <c r="DJ51" i="6" s="1"/>
  <c r="DH50" i="6"/>
  <c r="DF50" i="6"/>
  <c r="DF51" i="6" s="1"/>
  <c r="DD50" i="6"/>
  <c r="DB50" i="6"/>
  <c r="CZ50" i="6"/>
  <c r="CX50" i="6"/>
  <c r="CV50" i="6"/>
  <c r="CS50" i="6"/>
  <c r="CQ50" i="6"/>
  <c r="CO50" i="6"/>
  <c r="CM50" i="6"/>
  <c r="CK50" i="6"/>
  <c r="CI50" i="6"/>
  <c r="CG50" i="6"/>
  <c r="CE50" i="6"/>
  <c r="CE51" i="6" s="1"/>
  <c r="CC50" i="6"/>
  <c r="CA50" i="6"/>
  <c r="CA51" i="6" s="1"/>
  <c r="BY50" i="6"/>
  <c r="BY51" i="6" s="1"/>
  <c r="BW50" i="6"/>
  <c r="BU50" i="6"/>
  <c r="BU51" i="6" s="1"/>
  <c r="BS50" i="6"/>
  <c r="BS51" i="6" s="1"/>
  <c r="BQ50" i="6"/>
  <c r="BQ51" i="6" s="1"/>
  <c r="BO50" i="6"/>
  <c r="BM50" i="6"/>
  <c r="BK50" i="6"/>
  <c r="BI50" i="6"/>
  <c r="BI51" i="6" s="1"/>
  <c r="BG50" i="6"/>
  <c r="BG51" i="6" s="1"/>
  <c r="BE50" i="6"/>
  <c r="BC50" i="6"/>
  <c r="BA50" i="6"/>
  <c r="AY50" i="6"/>
  <c r="AW50" i="6"/>
  <c r="AU50" i="6"/>
  <c r="AS50" i="6"/>
  <c r="AS51" i="6" s="1"/>
  <c r="AQ50" i="6"/>
  <c r="AQ51" i="6" s="1"/>
  <c r="AO50" i="6"/>
  <c r="AM50" i="6"/>
  <c r="AM51" i="6" s="1"/>
  <c r="AK50" i="6"/>
  <c r="AI50" i="6"/>
  <c r="AG50" i="6"/>
  <c r="AG51" i="6" s="1"/>
  <c r="AE50" i="6"/>
  <c r="AE51" i="6" s="1"/>
  <c r="AC50" i="6"/>
  <c r="AC51" i="6" s="1"/>
  <c r="AA50" i="6"/>
  <c r="Y50" i="6"/>
  <c r="W50" i="6"/>
  <c r="U50" i="6"/>
  <c r="S50" i="6"/>
  <c r="Q50" i="6"/>
  <c r="O50" i="6"/>
  <c r="M50" i="6"/>
  <c r="K50" i="6"/>
  <c r="I50" i="6"/>
  <c r="G50" i="6"/>
  <c r="QO48" i="6"/>
  <c r="QO47" i="6" s="1"/>
  <c r="QM48" i="6"/>
  <c r="QM47" i="6" s="1"/>
  <c r="QK48" i="6"/>
  <c r="QA48" i="6"/>
  <c r="PW48" i="6"/>
  <c r="PS48" i="6"/>
  <c r="PS47" i="6" s="1"/>
  <c r="PP48" i="6"/>
  <c r="PJ48" i="6"/>
  <c r="PH48" i="6"/>
  <c r="PD48" i="6"/>
  <c r="PD47" i="6" s="1"/>
  <c r="PB48" i="6"/>
  <c r="OV48" i="6"/>
  <c r="OV47" i="6" s="1"/>
  <c r="NX48" i="6"/>
  <c r="NP48" i="6"/>
  <c r="NP47" i="6" s="1"/>
  <c r="NN48" i="6"/>
  <c r="NL48" i="6"/>
  <c r="NL47" i="6" s="1"/>
  <c r="NJ48" i="6"/>
  <c r="NH48" i="6"/>
  <c r="NH47" i="6" s="1"/>
  <c r="MX48" i="6"/>
  <c r="MX47" i="6" s="1"/>
  <c r="MT48" i="6"/>
  <c r="MR48" i="6"/>
  <c r="MP48" i="6"/>
  <c r="MP47" i="6" s="1"/>
  <c r="MJ48" i="6"/>
  <c r="ME48" i="6"/>
  <c r="LE48" i="6"/>
  <c r="KU48" i="6"/>
  <c r="KM48" i="6"/>
  <c r="KM47" i="6" s="1"/>
  <c r="KK48" i="6"/>
  <c r="KE48" i="6"/>
  <c r="KE47" i="6" s="1"/>
  <c r="KC48" i="6"/>
  <c r="JU48" i="6"/>
  <c r="JU47" i="6" s="1"/>
  <c r="JS48" i="6"/>
  <c r="JQ48" i="6"/>
  <c r="JO48" i="6"/>
  <c r="JG48" i="6"/>
  <c r="IU48" i="6"/>
  <c r="IS48" i="6"/>
  <c r="IQ48" i="6"/>
  <c r="IM48" i="6"/>
  <c r="IE48" i="6"/>
  <c r="IC48" i="6"/>
  <c r="IA48" i="6"/>
  <c r="HY48" i="6"/>
  <c r="HQ48" i="6"/>
  <c r="HM48" i="6"/>
  <c r="HI48" i="6"/>
  <c r="HI47" i="6" s="1"/>
  <c r="HG48" i="6"/>
  <c r="GC48" i="6"/>
  <c r="GC47" i="6" s="1"/>
  <c r="GA48" i="6"/>
  <c r="GA47" i="6" s="1"/>
  <c r="FU48" i="6"/>
  <c r="FU47" i="6" s="1"/>
  <c r="FS48" i="6"/>
  <c r="FP48" i="6"/>
  <c r="FP47" i="6" s="1"/>
  <c r="FN48" i="6"/>
  <c r="FN47" i="6" s="1"/>
  <c r="EX48" i="6"/>
  <c r="EV48" i="6"/>
  <c r="EN48" i="6"/>
  <c r="EL48" i="6"/>
  <c r="EJ48" i="6"/>
  <c r="EF48" i="6"/>
  <c r="DN48" i="6"/>
  <c r="DN47" i="6" s="1"/>
  <c r="CZ48" i="6"/>
  <c r="CQ48" i="6"/>
  <c r="CQ47" i="6" s="1"/>
  <c r="CO48" i="6"/>
  <c r="CM48" i="6"/>
  <c r="CM47" i="6" s="1"/>
  <c r="CI48" i="6"/>
  <c r="CI47" i="6" s="1"/>
  <c r="BU48" i="6"/>
  <c r="BS48" i="6"/>
  <c r="BK48" i="6"/>
  <c r="BA48" i="6"/>
  <c r="AY48" i="6"/>
  <c r="AY47" i="6" s="1"/>
  <c r="AU48" i="6"/>
  <c r="AU47" i="6" s="1"/>
  <c r="AG48" i="6"/>
  <c r="AE48" i="6"/>
  <c r="W48" i="6"/>
  <c r="S48" i="6"/>
  <c r="S47" i="6" s="1"/>
  <c r="O48" i="6"/>
  <c r="O47" i="6" s="1"/>
  <c r="PP47" i="6"/>
  <c r="PH47" i="6"/>
  <c r="NJ47" i="6"/>
  <c r="EJ47" i="6"/>
  <c r="EF47" i="6"/>
  <c r="JK44" i="6"/>
  <c r="JI44" i="6"/>
  <c r="JG44" i="6"/>
  <c r="GI44" i="6"/>
  <c r="GG44" i="6"/>
  <c r="GE44" i="6"/>
  <c r="GC44" i="6"/>
  <c r="GA44" i="6"/>
  <c r="FY44" i="6"/>
  <c r="FW44" i="6"/>
  <c r="FU44" i="6"/>
  <c r="I44" i="6"/>
  <c r="H44" i="6" s="1"/>
  <c r="G44" i="6"/>
  <c r="F44" i="6" s="1"/>
  <c r="QG39" i="6"/>
  <c r="QF39" i="6" s="1"/>
  <c r="QF36" i="6" s="1"/>
  <c r="PW39" i="6"/>
  <c r="PV39" i="6" s="1"/>
  <c r="PV36" i="6" s="1"/>
  <c r="PS39" i="6"/>
  <c r="PR39" i="6" s="1"/>
  <c r="PR36" i="6" s="1"/>
  <c r="PP39" i="6"/>
  <c r="PN39" i="6"/>
  <c r="PM39" i="6" s="1"/>
  <c r="PL39" i="6"/>
  <c r="PK39" i="6" s="1"/>
  <c r="PJ39" i="6"/>
  <c r="PH39" i="6"/>
  <c r="PG39" i="6" s="1"/>
  <c r="PD39" i="6"/>
  <c r="PB39" i="6"/>
  <c r="PA39" i="6" s="1"/>
  <c r="OF39" i="6"/>
  <c r="OD39" i="6"/>
  <c r="NZ39" i="6"/>
  <c r="NX39" i="6"/>
  <c r="NT39" i="6"/>
  <c r="NP39" i="6"/>
  <c r="NP38" i="6" s="1"/>
  <c r="NN39" i="6"/>
  <c r="NL39" i="6"/>
  <c r="NJ39" i="6"/>
  <c r="MT39" i="6"/>
  <c r="MR39" i="6"/>
  <c r="MQ39" i="6"/>
  <c r="MP39" i="6"/>
  <c r="MO39" i="6" s="1"/>
  <c r="MO36" i="6" s="1"/>
  <c r="MJ39" i="6"/>
  <c r="MI39" i="6" s="1"/>
  <c r="MI36" i="6" s="1"/>
  <c r="MG39" i="6"/>
  <c r="MF39" i="6" s="1"/>
  <c r="ME39" i="6"/>
  <c r="MD39" i="6" s="1"/>
  <c r="MD36" i="6" s="1"/>
  <c r="MA39" i="6"/>
  <c r="LZ39" i="6" s="1"/>
  <c r="LZ36" i="6" s="1"/>
  <c r="LY39" i="6"/>
  <c r="LX39" i="6" s="1"/>
  <c r="LX36" i="6" s="1"/>
  <c r="LW39" i="6"/>
  <c r="LU39" i="6"/>
  <c r="LT39" i="6" s="1"/>
  <c r="LT36" i="6" s="1"/>
  <c r="LQ39" i="6"/>
  <c r="LO39" i="6"/>
  <c r="LM39" i="6"/>
  <c r="KW39" i="6"/>
  <c r="KU39" i="6"/>
  <c r="KM39" i="6"/>
  <c r="KM38" i="6" s="1"/>
  <c r="KK39" i="6"/>
  <c r="KI39" i="6"/>
  <c r="KE39" i="6"/>
  <c r="KE38" i="6" s="1"/>
  <c r="KC39" i="6"/>
  <c r="KC38" i="6" s="1"/>
  <c r="KA39" i="6"/>
  <c r="JY39" i="6"/>
  <c r="JW39" i="6"/>
  <c r="JU39" i="6"/>
  <c r="JQ39" i="6"/>
  <c r="JP39" i="6"/>
  <c r="JO39" i="6"/>
  <c r="JN39" i="6" s="1"/>
  <c r="JN36" i="6" s="1"/>
  <c r="JG39" i="6"/>
  <c r="JB39" i="6"/>
  <c r="IW39" i="6"/>
  <c r="IV39" i="6" s="1"/>
  <c r="IU39" i="6"/>
  <c r="IT39" i="6"/>
  <c r="IT36" i="6" s="1"/>
  <c r="IS39" i="6"/>
  <c r="IQ39" i="6"/>
  <c r="IP39" i="6" s="1"/>
  <c r="IM39" i="6"/>
  <c r="IL39" i="6" s="1"/>
  <c r="IL36" i="6" s="1"/>
  <c r="IK39" i="6"/>
  <c r="IJ39" i="6" s="1"/>
  <c r="IJ36" i="6" s="1"/>
  <c r="HW39" i="6"/>
  <c r="HQ39" i="6"/>
  <c r="HQ38" i="6" s="1"/>
  <c r="HO39" i="6"/>
  <c r="HM39" i="6"/>
  <c r="HI39" i="6"/>
  <c r="HG39" i="6"/>
  <c r="HA39" i="6"/>
  <c r="GY39" i="6"/>
  <c r="GW39" i="6"/>
  <c r="GS39" i="6"/>
  <c r="GO39" i="6"/>
  <c r="GC39" i="6"/>
  <c r="FU39" i="6"/>
  <c r="FS39" i="6"/>
  <c r="FR39" i="6" s="1"/>
  <c r="FR36" i="6" s="1"/>
  <c r="FP39" i="6"/>
  <c r="FP38" i="6" s="1"/>
  <c r="FO38" i="6" s="1"/>
  <c r="FN39" i="6"/>
  <c r="FM39" i="6" s="1"/>
  <c r="FH39" i="6"/>
  <c r="FG39" i="6" s="1"/>
  <c r="EN39" i="6"/>
  <c r="EM39" i="6" s="1"/>
  <c r="EJ39" i="6"/>
  <c r="EI39" i="6" s="1"/>
  <c r="EH39" i="6"/>
  <c r="EG39" i="6" s="1"/>
  <c r="EF39" i="6"/>
  <c r="EE39" i="6" s="1"/>
  <c r="ED39" i="6"/>
  <c r="EC39" i="6" s="1"/>
  <c r="EB39" i="6"/>
  <c r="EA39" i="6" s="1"/>
  <c r="DZ39" i="6"/>
  <c r="DY39" i="6" s="1"/>
  <c r="DX39" i="6"/>
  <c r="DW39" i="6" s="1"/>
  <c r="DV39" i="6"/>
  <c r="DU39" i="6" s="1"/>
  <c r="DT39" i="6"/>
  <c r="DS39" i="6" s="1"/>
  <c r="DR39" i="6"/>
  <c r="DQ39" i="6" s="1"/>
  <c r="DP39" i="6"/>
  <c r="DO39" i="6" s="1"/>
  <c r="DF39" i="6"/>
  <c r="DE39" i="6" s="1"/>
  <c r="DB39" i="6"/>
  <c r="DA39" i="6" s="1"/>
  <c r="CZ39" i="6"/>
  <c r="CY39" i="6" s="1"/>
  <c r="CQ39" i="6"/>
  <c r="CP39" i="6" s="1"/>
  <c r="CO39" i="6"/>
  <c r="CM39" i="6"/>
  <c r="CL39" i="6" s="1"/>
  <c r="CG39" i="6"/>
  <c r="BU39" i="6"/>
  <c r="BS39" i="6"/>
  <c r="BQ39" i="6"/>
  <c r="BM39" i="6"/>
  <c r="BL39" i="6" s="1"/>
  <c r="BK39" i="6"/>
  <c r="BK38" i="6" s="1"/>
  <c r="BI39" i="6"/>
  <c r="BG39" i="6"/>
  <c r="BC39" i="6"/>
  <c r="BC38" i="6" s="1"/>
  <c r="BA39" i="6"/>
  <c r="AY39" i="6"/>
  <c r="AW39" i="6"/>
  <c r="AS39" i="6"/>
  <c r="AC39" i="6"/>
  <c r="AB39" i="6" s="1"/>
  <c r="AB36" i="6" s="1"/>
  <c r="W39" i="6"/>
  <c r="V39" i="6" s="1"/>
  <c r="V36" i="6" s="1"/>
  <c r="S39" i="6"/>
  <c r="O39" i="6"/>
  <c r="N39" i="6" s="1"/>
  <c r="N36" i="6" s="1"/>
  <c r="M39" i="6"/>
  <c r="L39" i="6" s="1"/>
  <c r="L36" i="6" s="1"/>
  <c r="K39" i="6"/>
  <c r="J39" i="6" s="1"/>
  <c r="J36" i="6" s="1"/>
  <c r="H39" i="6"/>
  <c r="F39" i="6"/>
  <c r="NX38" i="6"/>
  <c r="JQ38" i="6"/>
  <c r="JP38" i="6" s="1"/>
  <c r="JP37" i="6" s="1"/>
  <c r="JG38" i="6"/>
  <c r="JF38" i="6" s="1"/>
  <c r="JF37" i="6" s="1"/>
  <c r="HM38" i="6"/>
  <c r="HI38" i="6"/>
  <c r="EF38" i="6"/>
  <c r="EE38" i="6" s="1"/>
  <c r="CZ38" i="6"/>
  <c r="CY38" i="6" s="1"/>
  <c r="W38" i="6"/>
  <c r="V38" i="6" s="1"/>
  <c r="V37" i="6" s="1"/>
  <c r="MQ36" i="6"/>
  <c r="JP36" i="6"/>
  <c r="IV36" i="6"/>
  <c r="IP36" i="6"/>
  <c r="QP32" i="6"/>
  <c r="QN32" i="6"/>
  <c r="QL32" i="6"/>
  <c r="QJ32" i="6"/>
  <c r="QH32" i="6"/>
  <c r="QF32" i="6"/>
  <c r="PZ32" i="6"/>
  <c r="PV32" i="6"/>
  <c r="PR32" i="6"/>
  <c r="QQ31" i="6"/>
  <c r="QO31" i="6"/>
  <c r="QM31" i="6"/>
  <c r="QK31" i="6"/>
  <c r="QH31" i="6"/>
  <c r="QI31" i="6" s="1"/>
  <c r="QG31" i="6"/>
  <c r="QB31" i="6"/>
  <c r="QB32" i="6" s="1"/>
  <c r="QA31" i="6"/>
  <c r="PX31" i="6"/>
  <c r="PX32" i="6" s="1"/>
  <c r="PW31" i="6"/>
  <c r="PT31" i="6"/>
  <c r="PT32" i="6" s="1"/>
  <c r="PS31" i="6"/>
  <c r="PS36" i="6" s="1"/>
  <c r="PP31" i="6"/>
  <c r="PN31" i="6"/>
  <c r="PL31" i="6"/>
  <c r="PJ31" i="6"/>
  <c r="PH31" i="6"/>
  <c r="PF31" i="6"/>
  <c r="PD31" i="6"/>
  <c r="PB31" i="6"/>
  <c r="OZ31" i="6"/>
  <c r="OX31" i="6"/>
  <c r="OV31" i="6"/>
  <c r="MG31" i="6"/>
  <c r="ME31" i="6"/>
  <c r="MC31" i="6"/>
  <c r="MA31" i="6"/>
  <c r="LY31" i="6"/>
  <c r="LW31" i="6"/>
  <c r="LU31" i="6"/>
  <c r="LS31" i="6"/>
  <c r="JS31" i="6"/>
  <c r="JQ31" i="6"/>
  <c r="JQ37" i="6" s="1"/>
  <c r="JO31" i="6"/>
  <c r="JO36" i="6" s="1"/>
  <c r="JM31" i="6"/>
  <c r="JK31" i="6"/>
  <c r="JI31" i="6"/>
  <c r="JG31" i="6"/>
  <c r="JD31" i="6"/>
  <c r="JB31" i="6"/>
  <c r="IY31" i="6"/>
  <c r="IW31" i="6"/>
  <c r="IU31" i="6"/>
  <c r="IS31" i="6"/>
  <c r="IQ31" i="6"/>
  <c r="IO31" i="6"/>
  <c r="IM31" i="6"/>
  <c r="IK31" i="6"/>
  <c r="II31" i="6"/>
  <c r="II36" i="6" s="1"/>
  <c r="IG31" i="6"/>
  <c r="IG36" i="6" s="1"/>
  <c r="IE31" i="6"/>
  <c r="HS31" i="6"/>
  <c r="FO31" i="6"/>
  <c r="FP31" i="6" s="1"/>
  <c r="FM31" i="6"/>
  <c r="FK31" i="6"/>
  <c r="FI31" i="6"/>
  <c r="FG31" i="6"/>
  <c r="FH31" i="6" s="1"/>
  <c r="FE31" i="6"/>
  <c r="FC31" i="6"/>
  <c r="FA31" i="6"/>
  <c r="EY31" i="6"/>
  <c r="EW31" i="6"/>
  <c r="EU31" i="6"/>
  <c r="ES31" i="6"/>
  <c r="ET31" i="6" s="1"/>
  <c r="EQ31" i="6"/>
  <c r="ER31" i="6" s="1"/>
  <c r="EO31" i="6"/>
  <c r="EM31" i="6"/>
  <c r="EK31" i="6"/>
  <c r="EL31" i="6" s="1"/>
  <c r="EI31" i="6"/>
  <c r="EG31" i="6"/>
  <c r="EH31" i="6" s="1"/>
  <c r="EE31" i="6"/>
  <c r="EC31" i="6"/>
  <c r="EA31" i="6"/>
  <c r="DY31" i="6"/>
  <c r="DZ31" i="6" s="1"/>
  <c r="DW31" i="6"/>
  <c r="DX31" i="6" s="1"/>
  <c r="DU31" i="6"/>
  <c r="DS31" i="6"/>
  <c r="DT31" i="6" s="1"/>
  <c r="DQ31" i="6"/>
  <c r="DO31" i="6"/>
  <c r="DM31" i="6"/>
  <c r="DK31" i="6"/>
  <c r="DI31" i="6"/>
  <c r="DH31" i="6"/>
  <c r="DG31" i="6"/>
  <c r="DE31" i="6"/>
  <c r="DF31" i="6" s="1"/>
  <c r="DC31" i="6"/>
  <c r="DB31" i="6"/>
  <c r="CZ31" i="6"/>
  <c r="CX31" i="6"/>
  <c r="CV31" i="6"/>
  <c r="CS31" i="6"/>
  <c r="CQ31" i="6"/>
  <c r="CO31" i="6"/>
  <c r="CM31" i="6"/>
  <c r="CK31" i="6"/>
  <c r="CI31" i="6"/>
  <c r="CG31" i="6"/>
  <c r="CE31" i="6"/>
  <c r="CA31" i="6"/>
  <c r="BY31" i="6"/>
  <c r="BW31" i="6"/>
  <c r="BM31" i="6"/>
  <c r="PO30" i="6"/>
  <c r="PP30" i="6" s="1"/>
  <c r="PM30" i="6"/>
  <c r="PN30" i="6" s="1"/>
  <c r="PG30" i="6"/>
  <c r="PG77" i="6" s="1"/>
  <c r="PE30" i="6"/>
  <c r="PE77" i="6" s="1"/>
  <c r="PC30" i="6"/>
  <c r="PC77" i="6" s="1"/>
  <c r="PA30" i="6"/>
  <c r="PA77" i="6" s="1"/>
  <c r="OY30" i="6"/>
  <c r="OY77" i="6" s="1"/>
  <c r="OW30" i="6"/>
  <c r="OW77" i="6" s="1"/>
  <c r="OU30" i="6"/>
  <c r="OU77" i="6" s="1"/>
  <c r="OS30" i="6"/>
  <c r="OS77" i="6" s="1"/>
  <c r="OQ30" i="6"/>
  <c r="OQ77" i="6" s="1"/>
  <c r="OO30" i="6"/>
  <c r="OO77" i="6" s="1"/>
  <c r="OM30" i="6"/>
  <c r="OM77" i="6" s="1"/>
  <c r="OK30" i="6"/>
  <c r="OK77" i="6" s="1"/>
  <c r="OI30" i="6"/>
  <c r="OI77" i="6" s="1"/>
  <c r="OG30" i="6"/>
  <c r="OG77" i="6" s="1"/>
  <c r="OE30" i="6"/>
  <c r="OE77" i="6" s="1"/>
  <c r="MF30" i="6"/>
  <c r="MG30" i="6" s="1"/>
  <c r="MD30" i="6"/>
  <c r="ME30" i="6" s="1"/>
  <c r="ME77" i="6" s="1"/>
  <c r="MB30" i="6"/>
  <c r="MC30" i="6" s="1"/>
  <c r="MC77" i="6" s="1"/>
  <c r="LZ30" i="6"/>
  <c r="MA30" i="6" s="1"/>
  <c r="LX30" i="6"/>
  <c r="LY30" i="6" s="1"/>
  <c r="LY77" i="6" s="1"/>
  <c r="LV30" i="6"/>
  <c r="LW30" i="6" s="1"/>
  <c r="LW77" i="6" s="1"/>
  <c r="LT30" i="6"/>
  <c r="LU30" i="6" s="1"/>
  <c r="LR30" i="6"/>
  <c r="LS30" i="6" s="1"/>
  <c r="LP30" i="6"/>
  <c r="LN30" i="6"/>
  <c r="LL30" i="6"/>
  <c r="LJ30" i="6"/>
  <c r="LH30" i="6"/>
  <c r="LF30" i="6"/>
  <c r="LD30" i="6"/>
  <c r="LB30" i="6"/>
  <c r="IX30" i="6"/>
  <c r="IY30" i="6" s="1"/>
  <c r="IV30" i="6"/>
  <c r="CR30" i="6"/>
  <c r="CR77" i="6" s="1"/>
  <c r="CP30" i="6"/>
  <c r="CP77" i="6" s="1"/>
  <c r="CN30" i="6"/>
  <c r="CN77" i="6" s="1"/>
  <c r="CL30" i="6"/>
  <c r="CL77" i="6" s="1"/>
  <c r="CJ30" i="6"/>
  <c r="CJ77" i="6" s="1"/>
  <c r="CH30" i="6"/>
  <c r="CH77" i="6" s="1"/>
  <c r="CF30" i="6"/>
  <c r="CF77" i="6" s="1"/>
  <c r="CD30" i="6"/>
  <c r="CD77" i="6" s="1"/>
  <c r="CB30" i="6"/>
  <c r="CB77" i="6" s="1"/>
  <c r="BZ30" i="6"/>
  <c r="BZ77" i="6" s="1"/>
  <c r="BX30" i="6"/>
  <c r="BX77" i="6" s="1"/>
  <c r="BV30" i="6"/>
  <c r="BV77" i="6" s="1"/>
  <c r="BT30" i="6"/>
  <c r="BT77" i="6" s="1"/>
  <c r="BR30" i="6"/>
  <c r="BR77" i="6" s="1"/>
  <c r="BP30" i="6"/>
  <c r="BP77" i="6" s="1"/>
  <c r="BN30" i="6"/>
  <c r="BN77" i="6" s="1"/>
  <c r="BL30" i="6"/>
  <c r="BL77" i="6" s="1"/>
  <c r="BJ30" i="6"/>
  <c r="BJ77" i="6" s="1"/>
  <c r="BH30" i="6"/>
  <c r="BH77" i="6" s="1"/>
  <c r="BF30" i="6"/>
  <c r="BF77" i="6" s="1"/>
  <c r="BD30" i="6"/>
  <c r="BD77" i="6" s="1"/>
  <c r="BB30" i="6"/>
  <c r="BB77" i="6" s="1"/>
  <c r="AZ30" i="6"/>
  <c r="AZ77" i="6" s="1"/>
  <c r="AX30" i="6"/>
  <c r="AX77" i="6" s="1"/>
  <c r="AV30" i="6"/>
  <c r="AV77" i="6" s="1"/>
  <c r="AT30" i="6"/>
  <c r="AT77" i="6" s="1"/>
  <c r="AR30" i="6"/>
  <c r="AR77" i="6" s="1"/>
  <c r="AP30" i="6"/>
  <c r="AP77" i="6" s="1"/>
  <c r="AN30" i="6"/>
  <c r="AN77" i="6" s="1"/>
  <c r="AL30" i="6"/>
  <c r="AL77" i="6" s="1"/>
  <c r="AJ30" i="6"/>
  <c r="QQ28" i="6"/>
  <c r="QO28" i="6"/>
  <c r="QM28" i="6"/>
  <c r="QK28" i="6"/>
  <c r="QI28" i="6"/>
  <c r="QG28" i="6"/>
  <c r="QC28" i="6"/>
  <c r="QA28" i="6"/>
  <c r="PY28" i="6"/>
  <c r="PW28" i="6"/>
  <c r="PU28" i="6"/>
  <c r="PS28" i="6"/>
  <c r="PP28" i="6"/>
  <c r="PN28" i="6"/>
  <c r="PL28" i="6"/>
  <c r="PJ28" i="6"/>
  <c r="PH28" i="6"/>
  <c r="PF28" i="6"/>
  <c r="PD28" i="6"/>
  <c r="PB28" i="6"/>
  <c r="OZ28" i="6"/>
  <c r="OX28" i="6"/>
  <c r="OV28" i="6"/>
  <c r="NK28" i="6"/>
  <c r="NI28" i="6"/>
  <c r="NG28" i="6"/>
  <c r="NE28" i="6"/>
  <c r="NC28" i="6"/>
  <c r="NA28" i="6"/>
  <c r="MY28" i="6"/>
  <c r="MW28" i="6"/>
  <c r="MU28" i="6"/>
  <c r="MS28" i="6"/>
  <c r="MT28" i="6" s="1"/>
  <c r="MQ28" i="6"/>
  <c r="MR28" i="6" s="1"/>
  <c r="MO28" i="6"/>
  <c r="MP28" i="6" s="1"/>
  <c r="MM28" i="6"/>
  <c r="MN28" i="6" s="1"/>
  <c r="MK28" i="6"/>
  <c r="ML28" i="6" s="1"/>
  <c r="MI28" i="6"/>
  <c r="MJ28" i="6" s="1"/>
  <c r="MG28" i="6"/>
  <c r="ME28" i="6"/>
  <c r="MC28" i="6"/>
  <c r="MA28" i="6"/>
  <c r="LY28" i="6"/>
  <c r="LW28" i="6"/>
  <c r="LU28" i="6"/>
  <c r="LS28" i="6"/>
  <c r="JS28" i="6"/>
  <c r="JQ28" i="6"/>
  <c r="JO28" i="6"/>
  <c r="JM28" i="6"/>
  <c r="JK28" i="6"/>
  <c r="JI28" i="6"/>
  <c r="JG28" i="6"/>
  <c r="JD28" i="6"/>
  <c r="IY28" i="6"/>
  <c r="IW28" i="6"/>
  <c r="IU28" i="6"/>
  <c r="IS28" i="6"/>
  <c r="IQ28" i="6"/>
  <c r="IO28" i="6"/>
  <c r="IM28" i="6"/>
  <c r="IK28" i="6"/>
  <c r="II28" i="6"/>
  <c r="IG28" i="6"/>
  <c r="IE28" i="6"/>
  <c r="HS28" i="6"/>
  <c r="GI28" i="6"/>
  <c r="GG28" i="6"/>
  <c r="GE28" i="6"/>
  <c r="GC28" i="6"/>
  <c r="GA28" i="6"/>
  <c r="FY28" i="6"/>
  <c r="FW28" i="6"/>
  <c r="FU28" i="6"/>
  <c r="FS28" i="6"/>
  <c r="FP28" i="6"/>
  <c r="FN28" i="6"/>
  <c r="FL28" i="6"/>
  <c r="FJ28" i="6"/>
  <c r="FH28" i="6"/>
  <c r="FF28" i="6"/>
  <c r="FD28" i="6"/>
  <c r="FB28" i="6"/>
  <c r="EZ28" i="6"/>
  <c r="EX28" i="6"/>
  <c r="EV28" i="6"/>
  <c r="ET28" i="6"/>
  <c r="ER28" i="6"/>
  <c r="EP28" i="6"/>
  <c r="EN28" i="6"/>
  <c r="EL28" i="6"/>
  <c r="EJ28" i="6"/>
  <c r="EH28" i="6"/>
  <c r="EF28" i="6"/>
  <c r="ED28" i="6"/>
  <c r="EB28" i="6"/>
  <c r="DZ28" i="6"/>
  <c r="DX28" i="6"/>
  <c r="DV28" i="6"/>
  <c r="DT28" i="6"/>
  <c r="DR28" i="6"/>
  <c r="DP28" i="6"/>
  <c r="DN28" i="6"/>
  <c r="DL28" i="6"/>
  <c r="DJ28" i="6"/>
  <c r="DH28" i="6"/>
  <c r="DF28" i="6"/>
  <c r="DD28" i="6"/>
  <c r="DB28" i="6"/>
  <c r="CZ28" i="6"/>
  <c r="CX28" i="6"/>
  <c r="CV28" i="6"/>
  <c r="CR28" i="6"/>
  <c r="CS28" i="6" s="1"/>
  <c r="CP28" i="6"/>
  <c r="CQ28" i="6" s="1"/>
  <c r="CO28" i="6"/>
  <c r="CM28" i="6"/>
  <c r="CK28" i="6"/>
  <c r="CI28" i="6"/>
  <c r="CG28" i="6"/>
  <c r="CE28" i="6"/>
  <c r="CA28" i="6"/>
  <c r="BY28" i="6"/>
  <c r="BW28" i="6"/>
  <c r="BM28" i="6"/>
  <c r="AC28" i="6"/>
  <c r="AA28" i="6"/>
  <c r="Y28" i="6"/>
  <c r="W28" i="6"/>
  <c r="U28" i="6"/>
  <c r="S28" i="6"/>
  <c r="P28" i="6"/>
  <c r="Q28" i="6" s="1"/>
  <c r="N28" i="6"/>
  <c r="L28" i="6"/>
  <c r="J28" i="6"/>
  <c r="K28" i="6" s="1"/>
  <c r="H28" i="6"/>
  <c r="I28" i="6" s="1"/>
  <c r="F28" i="6"/>
  <c r="G28" i="6" s="1"/>
  <c r="PP25" i="6"/>
  <c r="PN25" i="6"/>
  <c r="PL25" i="6"/>
  <c r="PJ25" i="6"/>
  <c r="OT25" i="6"/>
  <c r="OR25" i="6"/>
  <c r="OP25" i="6"/>
  <c r="ON25" i="6"/>
  <c r="OL25" i="6"/>
  <c r="OJ25" i="6"/>
  <c r="OH25" i="6"/>
  <c r="OF25" i="6"/>
  <c r="OD25" i="6"/>
  <c r="OB25" i="6"/>
  <c r="NZ25" i="6"/>
  <c r="NX25" i="6"/>
  <c r="NV25" i="6"/>
  <c r="NT25" i="6"/>
  <c r="NR25" i="6"/>
  <c r="NP25" i="6"/>
  <c r="NN25" i="6"/>
  <c r="NL25" i="6"/>
  <c r="NJ25" i="6"/>
  <c r="NH25" i="6"/>
  <c r="NF25" i="6"/>
  <c r="ND25" i="6"/>
  <c r="NB25" i="6"/>
  <c r="MZ25" i="6"/>
  <c r="MX25" i="6"/>
  <c r="MV25" i="6"/>
  <c r="MT25" i="6"/>
  <c r="MR25" i="6"/>
  <c r="MP25" i="6"/>
  <c r="MN25" i="6"/>
  <c r="ML25" i="6"/>
  <c r="MJ25" i="6"/>
  <c r="MG25" i="6"/>
  <c r="ME25" i="6"/>
  <c r="MC25" i="6"/>
  <c r="MA25" i="6"/>
  <c r="LY25" i="6"/>
  <c r="LW25" i="6"/>
  <c r="LU25" i="6"/>
  <c r="LS25" i="6"/>
  <c r="LQ25" i="6"/>
  <c r="LO25" i="6"/>
  <c r="LM25" i="6"/>
  <c r="LK25" i="6"/>
  <c r="LI25" i="6"/>
  <c r="LG25" i="6"/>
  <c r="LE25" i="6"/>
  <c r="LC25" i="6"/>
  <c r="LA25" i="6"/>
  <c r="KY25" i="6"/>
  <c r="KW25" i="6"/>
  <c r="KU25" i="6"/>
  <c r="KS25" i="6"/>
  <c r="KQ25" i="6"/>
  <c r="KO25" i="6"/>
  <c r="KM25" i="6"/>
  <c r="KK25" i="6"/>
  <c r="KI25" i="6"/>
  <c r="KG25" i="6"/>
  <c r="KE25" i="6"/>
  <c r="KC25" i="6"/>
  <c r="KA25" i="6"/>
  <c r="JY25" i="6"/>
  <c r="JW25" i="6"/>
  <c r="JU25" i="6"/>
  <c r="JS25" i="6"/>
  <c r="JQ25" i="6"/>
  <c r="JO25" i="6"/>
  <c r="JM25" i="6"/>
  <c r="JK25" i="6"/>
  <c r="JI25" i="6"/>
  <c r="JG25" i="6"/>
  <c r="JD25" i="6"/>
  <c r="JB25" i="6"/>
  <c r="IY25" i="6"/>
  <c r="IW25" i="6"/>
  <c r="IU25" i="6"/>
  <c r="IS25" i="6"/>
  <c r="IQ25" i="6"/>
  <c r="IO25" i="6"/>
  <c r="IM25" i="6"/>
  <c r="IK25" i="6"/>
  <c r="II25" i="6"/>
  <c r="IG25" i="6"/>
  <c r="IE25" i="6"/>
  <c r="IC25" i="6"/>
  <c r="IA25" i="6"/>
  <c r="HY25" i="6"/>
  <c r="HW25" i="6"/>
  <c r="HU25" i="6"/>
  <c r="HS25" i="6"/>
  <c r="HQ25" i="6"/>
  <c r="HO25" i="6"/>
  <c r="HM25" i="6"/>
  <c r="HK25" i="6"/>
  <c r="HI25" i="6"/>
  <c r="HG25" i="6"/>
  <c r="HE25" i="6"/>
  <c r="HC25" i="6"/>
  <c r="HA25" i="6"/>
  <c r="GY25" i="6"/>
  <c r="GW25" i="6"/>
  <c r="GU25" i="6"/>
  <c r="GS25" i="6"/>
  <c r="GQ25" i="6"/>
  <c r="GO25" i="6"/>
  <c r="GM25" i="6"/>
  <c r="GK25" i="6"/>
  <c r="GI25" i="6"/>
  <c r="GG25" i="6"/>
  <c r="GE25" i="6"/>
  <c r="GC25" i="6"/>
  <c r="GA25" i="6"/>
  <c r="FY25" i="6"/>
  <c r="FW25" i="6"/>
  <c r="FU25" i="6"/>
  <c r="FS25" i="6"/>
  <c r="FP25" i="6"/>
  <c r="FN25" i="6"/>
  <c r="FL25" i="6"/>
  <c r="FJ25" i="6"/>
  <c r="FH25" i="6"/>
  <c r="FF25" i="6"/>
  <c r="FD25" i="6"/>
  <c r="FB25" i="6"/>
  <c r="EZ25" i="6"/>
  <c r="EX25" i="6"/>
  <c r="EV25" i="6"/>
  <c r="ET25" i="6"/>
  <c r="ER25" i="6"/>
  <c r="EP25" i="6"/>
  <c r="EN25" i="6"/>
  <c r="EL25" i="6"/>
  <c r="EJ25" i="6"/>
  <c r="EH25" i="6"/>
  <c r="EF25" i="6"/>
  <c r="ED25" i="6"/>
  <c r="EB25" i="6"/>
  <c r="DZ25" i="6"/>
  <c r="DX25" i="6"/>
  <c r="DV25" i="6"/>
  <c r="DT25" i="6"/>
  <c r="DR25" i="6"/>
  <c r="DP25" i="6"/>
  <c r="DN25" i="6"/>
  <c r="DL25" i="6"/>
  <c r="DJ25" i="6"/>
  <c r="DH25" i="6"/>
  <c r="DF25" i="6"/>
  <c r="DD25" i="6"/>
  <c r="DB25" i="6"/>
  <c r="CZ25" i="6"/>
  <c r="CX25" i="6"/>
  <c r="CV25" i="6"/>
  <c r="CS25" i="6"/>
  <c r="CQ25" i="6"/>
  <c r="CO25" i="6"/>
  <c r="CM25" i="6"/>
  <c r="CK25" i="6"/>
  <c r="CI25" i="6"/>
  <c r="CG25" i="6"/>
  <c r="CE25" i="6"/>
  <c r="CC25" i="6"/>
  <c r="CA25" i="6"/>
  <c r="BY25" i="6"/>
  <c r="BW25" i="6"/>
  <c r="BU25" i="6"/>
  <c r="BS25" i="6"/>
  <c r="BQ25" i="6"/>
  <c r="BO25" i="6"/>
  <c r="BM25" i="6"/>
  <c r="BK25" i="6"/>
  <c r="BI25" i="6"/>
  <c r="BG25" i="6"/>
  <c r="BE25" i="6"/>
  <c r="BC25" i="6"/>
  <c r="BA25" i="6"/>
  <c r="AY25" i="6"/>
  <c r="AW25" i="6"/>
  <c r="AU25" i="6"/>
  <c r="AS25" i="6"/>
  <c r="AQ25" i="6"/>
  <c r="AO25" i="6"/>
  <c r="AM25" i="6"/>
  <c r="AK25" i="6"/>
  <c r="AI25" i="6"/>
  <c r="AG25" i="6"/>
  <c r="AE25" i="6"/>
  <c r="AC25" i="6"/>
  <c r="AA25" i="6"/>
  <c r="Y25" i="6"/>
  <c r="W25" i="6"/>
  <c r="U25" i="6"/>
  <c r="S25" i="6"/>
  <c r="Q25" i="6"/>
  <c r="O25" i="6"/>
  <c r="M25" i="6"/>
  <c r="K25" i="6"/>
  <c r="I25" i="6"/>
  <c r="G25" i="6"/>
  <c r="QQ16" i="6"/>
  <c r="QO16" i="6"/>
  <c r="QM16" i="6"/>
  <c r="QK16" i="6"/>
  <c r="QI16" i="6"/>
  <c r="QG16" i="6"/>
  <c r="QC16" i="6"/>
  <c r="QA16" i="6"/>
  <c r="PY16" i="6"/>
  <c r="PW16" i="6"/>
  <c r="PU16" i="6"/>
  <c r="PS16" i="6"/>
  <c r="PP16" i="6"/>
  <c r="PN16" i="6"/>
  <c r="PL16" i="6"/>
  <c r="PJ16" i="6"/>
  <c r="PH16" i="6"/>
  <c r="PF16" i="6"/>
  <c r="PD16" i="6"/>
  <c r="PB16" i="6"/>
  <c r="OZ16" i="6"/>
  <c r="OX16" i="6"/>
  <c r="OV16" i="6"/>
  <c r="OT16" i="6"/>
  <c r="OR16" i="6"/>
  <c r="OP16" i="6"/>
  <c r="ON16" i="6"/>
  <c r="OL16" i="6"/>
  <c r="OJ16" i="6"/>
  <c r="OH16" i="6"/>
  <c r="OF16" i="6"/>
  <c r="OD16" i="6"/>
  <c r="OB16" i="6"/>
  <c r="NZ16" i="6"/>
  <c r="NX16" i="6"/>
  <c r="NV16" i="6"/>
  <c r="NT16" i="6"/>
  <c r="NR16" i="6"/>
  <c r="NP16" i="6"/>
  <c r="NN16" i="6"/>
  <c r="NL16" i="6"/>
  <c r="NJ16" i="6"/>
  <c r="NH16" i="6"/>
  <c r="NF16" i="6"/>
  <c r="ND16" i="6"/>
  <c r="NB16" i="6"/>
  <c r="MZ16" i="6"/>
  <c r="MX16" i="6"/>
  <c r="MV16" i="6"/>
  <c r="MT16" i="6"/>
  <c r="MR16" i="6"/>
  <c r="MP16" i="6"/>
  <c r="MN16" i="6"/>
  <c r="ML16" i="6"/>
  <c r="MJ16" i="6"/>
  <c r="MG16" i="6"/>
  <c r="ME16" i="6"/>
  <c r="MC16" i="6"/>
  <c r="MA16" i="6"/>
  <c r="LY16" i="6"/>
  <c r="LW16" i="6"/>
  <c r="LU16" i="6"/>
  <c r="LS16" i="6"/>
  <c r="LQ16" i="6"/>
  <c r="LO16" i="6"/>
  <c r="LM16" i="6"/>
  <c r="LK16" i="6"/>
  <c r="LI16" i="6"/>
  <c r="LG16" i="6"/>
  <c r="LE16" i="6"/>
  <c r="LC16" i="6"/>
  <c r="LA16" i="6"/>
  <c r="KY16" i="6"/>
  <c r="KW16" i="6"/>
  <c r="KU16" i="6"/>
  <c r="KS16" i="6"/>
  <c r="KQ16" i="6"/>
  <c r="KO16" i="6"/>
  <c r="KM16" i="6"/>
  <c r="KK16" i="6"/>
  <c r="KI16" i="6"/>
  <c r="KG16" i="6"/>
  <c r="KE16" i="6"/>
  <c r="KC16" i="6"/>
  <c r="KA16" i="6"/>
  <c r="JY16" i="6"/>
  <c r="JW16" i="6"/>
  <c r="JU16" i="6"/>
  <c r="JS16" i="6"/>
  <c r="JQ16" i="6"/>
  <c r="JO16" i="6"/>
  <c r="JM16" i="6"/>
  <c r="JK16" i="6"/>
  <c r="JI16" i="6"/>
  <c r="JG16" i="6"/>
  <c r="JD16" i="6"/>
  <c r="JB16" i="6"/>
  <c r="IY16" i="6"/>
  <c r="IW16" i="6"/>
  <c r="IU16" i="6"/>
  <c r="IS16" i="6"/>
  <c r="IQ16" i="6"/>
  <c r="IO16" i="6"/>
  <c r="IM16" i="6"/>
  <c r="IK16" i="6"/>
  <c r="II16" i="6"/>
  <c r="IG16" i="6"/>
  <c r="IE16" i="6"/>
  <c r="IC16" i="6"/>
  <c r="IA16" i="6"/>
  <c r="HY16" i="6"/>
  <c r="HW16" i="6"/>
  <c r="HU16" i="6"/>
  <c r="HS16" i="6"/>
  <c r="HQ16" i="6"/>
  <c r="HO16" i="6"/>
  <c r="HM16" i="6"/>
  <c r="HK16" i="6"/>
  <c r="HI16" i="6"/>
  <c r="HG16" i="6"/>
  <c r="HE16" i="6"/>
  <c r="HC16" i="6"/>
  <c r="HA16" i="6"/>
  <c r="GY16" i="6"/>
  <c r="GW16" i="6"/>
  <c r="GU16" i="6"/>
  <c r="GS16" i="6"/>
  <c r="GQ16" i="6"/>
  <c r="GO16" i="6"/>
  <c r="GM16" i="6"/>
  <c r="GK16" i="6"/>
  <c r="GI16" i="6"/>
  <c r="GG16" i="6"/>
  <c r="GE16" i="6"/>
  <c r="GC16" i="6"/>
  <c r="GA16" i="6"/>
  <c r="FY16" i="6"/>
  <c r="FW16" i="6"/>
  <c r="FU16" i="6"/>
  <c r="FS16" i="6"/>
  <c r="FP16" i="6"/>
  <c r="FN16" i="6"/>
  <c r="FL16" i="6"/>
  <c r="FJ16" i="6"/>
  <c r="FH16" i="6"/>
  <c r="FF16" i="6"/>
  <c r="FD16" i="6"/>
  <c r="FB16" i="6"/>
  <c r="EZ16" i="6"/>
  <c r="EX16" i="6"/>
  <c r="EV16" i="6"/>
  <c r="ET16" i="6"/>
  <c r="ER16" i="6"/>
  <c r="EP16" i="6"/>
  <c r="EN16" i="6"/>
  <c r="EL16" i="6"/>
  <c r="EJ16" i="6"/>
  <c r="EH16" i="6"/>
  <c r="EF16" i="6"/>
  <c r="ED16" i="6"/>
  <c r="EB16" i="6"/>
  <c r="DZ16" i="6"/>
  <c r="DX16" i="6"/>
  <c r="DV16" i="6"/>
  <c r="DT16" i="6"/>
  <c r="DR16" i="6"/>
  <c r="DP16" i="6"/>
  <c r="DN16" i="6"/>
  <c r="DL16" i="6"/>
  <c r="DJ16" i="6"/>
  <c r="DH16" i="6"/>
  <c r="DF16" i="6"/>
  <c r="DD16" i="6"/>
  <c r="DB16" i="6"/>
  <c r="CZ16" i="6"/>
  <c r="CX16" i="6"/>
  <c r="CV16" i="6"/>
  <c r="CS16" i="6"/>
  <c r="CQ16" i="6"/>
  <c r="CO16" i="6"/>
  <c r="CM16" i="6"/>
  <c r="CK16" i="6"/>
  <c r="CI16" i="6"/>
  <c r="CG16" i="6"/>
  <c r="CE16" i="6"/>
  <c r="CC16" i="6"/>
  <c r="CA16" i="6"/>
  <c r="BY16" i="6"/>
  <c r="BW16" i="6"/>
  <c r="BU16" i="6"/>
  <c r="BS16" i="6"/>
  <c r="BQ16" i="6"/>
  <c r="BO16" i="6"/>
  <c r="BM16" i="6"/>
  <c r="BK16" i="6"/>
  <c r="BI16" i="6"/>
  <c r="BG16" i="6"/>
  <c r="BE16" i="6"/>
  <c r="BC16" i="6"/>
  <c r="BA16" i="6"/>
  <c r="AY16" i="6"/>
  <c r="AW16" i="6"/>
  <c r="AU16" i="6"/>
  <c r="AS16" i="6"/>
  <c r="AQ16" i="6"/>
  <c r="AO16" i="6"/>
  <c r="AM16" i="6"/>
  <c r="AK16" i="6"/>
  <c r="AI16" i="6"/>
  <c r="AG16" i="6"/>
  <c r="AE16" i="6"/>
  <c r="AC16" i="6"/>
  <c r="AA16" i="6"/>
  <c r="Y16" i="6"/>
  <c r="W16" i="6"/>
  <c r="U16" i="6"/>
  <c r="S16" i="6"/>
  <c r="Q16" i="6"/>
  <c r="O16" i="6"/>
  <c r="M16" i="6"/>
  <c r="K16" i="6"/>
  <c r="I16" i="6"/>
  <c r="G16" i="6"/>
  <c r="QQ14" i="6"/>
  <c r="QO14" i="6"/>
  <c r="QM14" i="6"/>
  <c r="QK14" i="6"/>
  <c r="QH14" i="6"/>
  <c r="QI14" i="6" s="1"/>
  <c r="QG14" i="6"/>
  <c r="QC14" i="6"/>
  <c r="QA14" i="6"/>
  <c r="PY14" i="6"/>
  <c r="PW14" i="6"/>
  <c r="PT14" i="6"/>
  <c r="PU14" i="6" s="1"/>
  <c r="PS14" i="6"/>
  <c r="PP14" i="6"/>
  <c r="PN14" i="6"/>
  <c r="PL14" i="6"/>
  <c r="PJ14" i="6"/>
  <c r="PH14" i="6"/>
  <c r="PF14" i="6"/>
  <c r="PD14" i="6"/>
  <c r="PB14" i="6"/>
  <c r="OZ14" i="6"/>
  <c r="OX14" i="6"/>
  <c r="OV14" i="6"/>
  <c r="MV14" i="6"/>
  <c r="MT14" i="6"/>
  <c r="MR14" i="6"/>
  <c r="MP14" i="6"/>
  <c r="MN14" i="6"/>
  <c r="ML14" i="6"/>
  <c r="MJ14" i="6"/>
  <c r="MG14" i="6"/>
  <c r="ME14" i="6"/>
  <c r="MC14" i="6"/>
  <c r="MA14" i="6"/>
  <c r="LY14" i="6"/>
  <c r="LW14" i="6"/>
  <c r="LU14" i="6"/>
  <c r="LS14" i="6"/>
  <c r="JS14" i="6"/>
  <c r="JQ14" i="6"/>
  <c r="JO14" i="6"/>
  <c r="JM14" i="6"/>
  <c r="JK14" i="6"/>
  <c r="JI14" i="6"/>
  <c r="JG14" i="6"/>
  <c r="JD14" i="6"/>
  <c r="JB14" i="6"/>
  <c r="IY14" i="6"/>
  <c r="IW14" i="6"/>
  <c r="IU14" i="6"/>
  <c r="IS14" i="6"/>
  <c r="IQ14" i="6"/>
  <c r="IO14" i="6"/>
  <c r="IM14" i="6"/>
  <c r="IK14" i="6"/>
  <c r="II14" i="6"/>
  <c r="IG14" i="6"/>
  <c r="IE14" i="6"/>
  <c r="HS14" i="6"/>
  <c r="GI14" i="6"/>
  <c r="GG14" i="6"/>
  <c r="GE14" i="6"/>
  <c r="GC14" i="6"/>
  <c r="GA14" i="6"/>
  <c r="FY14" i="6"/>
  <c r="FW14" i="6"/>
  <c r="FU14" i="6"/>
  <c r="FS14" i="6"/>
  <c r="FP14" i="6"/>
  <c r="FN14" i="6"/>
  <c r="FL14" i="6"/>
  <c r="FJ14" i="6"/>
  <c r="FH14" i="6"/>
  <c r="FF14" i="6"/>
  <c r="FD14" i="6"/>
  <c r="FB14" i="6"/>
  <c r="EZ14" i="6"/>
  <c r="EX14" i="6"/>
  <c r="EV14" i="6"/>
  <c r="ET14" i="6"/>
  <c r="ER14" i="6"/>
  <c r="EP14" i="6"/>
  <c r="EN14" i="6"/>
  <c r="EL14" i="6"/>
  <c r="EJ14" i="6"/>
  <c r="EH14" i="6"/>
  <c r="EF14" i="6"/>
  <c r="ED14" i="6"/>
  <c r="EB14" i="6"/>
  <c r="DZ14" i="6"/>
  <c r="DX14" i="6"/>
  <c r="DV14" i="6"/>
  <c r="DT14" i="6"/>
  <c r="DR14" i="6"/>
  <c r="DP14" i="6"/>
  <c r="DN14" i="6"/>
  <c r="DL14" i="6"/>
  <c r="DJ14" i="6"/>
  <c r="DH14" i="6"/>
  <c r="DF14" i="6"/>
  <c r="DD14" i="6"/>
  <c r="DB14" i="6"/>
  <c r="CZ14" i="6"/>
  <c r="CX14" i="6"/>
  <c r="CV14" i="6"/>
  <c r="CS14" i="6"/>
  <c r="CQ14" i="6"/>
  <c r="CO14" i="6"/>
  <c r="CM14" i="6"/>
  <c r="CK14" i="6"/>
  <c r="CI14" i="6"/>
  <c r="CG14" i="6"/>
  <c r="CE14" i="6"/>
  <c r="CA14" i="6"/>
  <c r="BY14" i="6"/>
  <c r="BW14" i="6"/>
  <c r="BM14" i="6"/>
  <c r="AC14" i="6"/>
  <c r="AA14" i="6"/>
  <c r="Y14" i="6"/>
  <c r="W14" i="6"/>
  <c r="U14" i="6"/>
  <c r="S14" i="6"/>
  <c r="Q14" i="6"/>
  <c r="O14" i="6"/>
  <c r="M14" i="6"/>
  <c r="K14" i="6"/>
  <c r="I14" i="6"/>
  <c r="G14" i="6"/>
  <c r="QP13" i="6"/>
  <c r="QQ13" i="6" s="1"/>
  <c r="QN13" i="6"/>
  <c r="QO13" i="6" s="1"/>
  <c r="QL13" i="6"/>
  <c r="QM13" i="6" s="1"/>
  <c r="QJ13" i="6"/>
  <c r="QK13" i="6" s="1"/>
  <c r="QF13" i="6"/>
  <c r="QF15" i="6" s="1"/>
  <c r="QB13" i="6"/>
  <c r="QC13" i="6" s="1"/>
  <c r="PZ13" i="6"/>
  <c r="PZ15" i="6" s="1"/>
  <c r="PX13" i="6"/>
  <c r="PV13" i="6"/>
  <c r="PW13" i="6" s="1"/>
  <c r="PR13" i="6"/>
  <c r="PS13" i="6" s="1"/>
  <c r="PO13" i="6"/>
  <c r="PP13" i="6" s="1"/>
  <c r="PM13" i="6"/>
  <c r="PN13" i="6" s="1"/>
  <c r="PK13" i="6"/>
  <c r="PL13" i="6" s="1"/>
  <c r="PI13" i="6"/>
  <c r="PJ13" i="6" s="1"/>
  <c r="PG13" i="6"/>
  <c r="PG15" i="6" s="1"/>
  <c r="PE13" i="6"/>
  <c r="PF13" i="6" s="1"/>
  <c r="PC13" i="6"/>
  <c r="PC15" i="6" s="1"/>
  <c r="PA13" i="6"/>
  <c r="PB13" i="6" s="1"/>
  <c r="OY13" i="6"/>
  <c r="OZ13" i="6" s="1"/>
  <c r="OW13" i="6"/>
  <c r="OX13" i="6" s="1"/>
  <c r="OU13" i="6"/>
  <c r="OV13" i="6" s="1"/>
  <c r="OS13" i="6"/>
  <c r="OQ13" i="6"/>
  <c r="OQ15" i="6" s="1"/>
  <c r="OO13" i="6"/>
  <c r="OM13" i="6"/>
  <c r="OM15" i="6" s="1"/>
  <c r="OK13" i="6"/>
  <c r="OI13" i="6"/>
  <c r="OG13" i="6"/>
  <c r="OE13" i="6"/>
  <c r="OC13" i="6"/>
  <c r="OA13" i="6"/>
  <c r="OA15" i="6" s="1"/>
  <c r="NY13" i="6"/>
  <c r="NW13" i="6"/>
  <c r="NW15" i="6" s="1"/>
  <c r="NU13" i="6"/>
  <c r="NS13" i="6"/>
  <c r="NS15" i="6" s="1"/>
  <c r="NQ13" i="6"/>
  <c r="NO13" i="6"/>
  <c r="NM13" i="6"/>
  <c r="NK13" i="6"/>
  <c r="NK15" i="6" s="1"/>
  <c r="NI13" i="6"/>
  <c r="NG13" i="6"/>
  <c r="NE13" i="6"/>
  <c r="NC13" i="6"/>
  <c r="NC15" i="6" s="1"/>
  <c r="NA13" i="6"/>
  <c r="MY13" i="6"/>
  <c r="MY15" i="6" s="1"/>
  <c r="MW13" i="6"/>
  <c r="MU13" i="6"/>
  <c r="MS13" i="6"/>
  <c r="MT13" i="6" s="1"/>
  <c r="MQ13" i="6"/>
  <c r="MR13" i="6" s="1"/>
  <c r="MO13" i="6"/>
  <c r="MP13" i="6" s="1"/>
  <c r="MM13" i="6"/>
  <c r="MN13" i="6" s="1"/>
  <c r="MK13" i="6"/>
  <c r="ML13" i="6" s="1"/>
  <c r="MI13" i="6"/>
  <c r="MI15" i="6" s="1"/>
  <c r="MF13" i="6"/>
  <c r="MG13" i="6" s="1"/>
  <c r="MD13" i="6"/>
  <c r="MD15" i="6" s="1"/>
  <c r="MB13" i="6"/>
  <c r="MC13" i="6" s="1"/>
  <c r="LZ13" i="6"/>
  <c r="LX13" i="6"/>
  <c r="LY13" i="6" s="1"/>
  <c r="LV13" i="6"/>
  <c r="LV15" i="6" s="1"/>
  <c r="LT13" i="6"/>
  <c r="LT15" i="6" s="1"/>
  <c r="LR13" i="6"/>
  <c r="LR15" i="6" s="1"/>
  <c r="LP13" i="6"/>
  <c r="LN13" i="6"/>
  <c r="LN15" i="6" s="1"/>
  <c r="LL13" i="6"/>
  <c r="LJ13" i="6"/>
  <c r="LJ15" i="6" s="1"/>
  <c r="LH13" i="6"/>
  <c r="LF13" i="6"/>
  <c r="LD13" i="6"/>
  <c r="LB13" i="6"/>
  <c r="LB15" i="6" s="1"/>
  <c r="KZ13" i="6"/>
  <c r="KX13" i="6"/>
  <c r="KV13" i="6"/>
  <c r="KT13" i="6"/>
  <c r="KT15" i="6" s="1"/>
  <c r="KR13" i="6"/>
  <c r="KP13" i="6"/>
  <c r="KP15" i="6" s="1"/>
  <c r="KN13" i="6"/>
  <c r="KL13" i="6"/>
  <c r="KJ13" i="6"/>
  <c r="KH13" i="6"/>
  <c r="KF13" i="6"/>
  <c r="KF15" i="6" s="1"/>
  <c r="KD13" i="6"/>
  <c r="KD15" i="6" s="1"/>
  <c r="KB13" i="6"/>
  <c r="JZ13" i="6"/>
  <c r="JZ15" i="6" s="1"/>
  <c r="JX13" i="6"/>
  <c r="JV13" i="6"/>
  <c r="JV15" i="6" s="1"/>
  <c r="JT13" i="6"/>
  <c r="JR13" i="6"/>
  <c r="JP13" i="6"/>
  <c r="JQ13" i="6" s="1"/>
  <c r="JN13" i="6"/>
  <c r="JN15" i="6" s="1"/>
  <c r="JL13" i="6"/>
  <c r="JJ13" i="6"/>
  <c r="JK13" i="6" s="1"/>
  <c r="JH13" i="6"/>
  <c r="JI13" i="6" s="1"/>
  <c r="JF13" i="6"/>
  <c r="JF15" i="6" s="1"/>
  <c r="JC13" i="6"/>
  <c r="JA13" i="6"/>
  <c r="JA15" i="6" s="1"/>
  <c r="IX13" i="6"/>
  <c r="IY13" i="6" s="1"/>
  <c r="IV13" i="6"/>
  <c r="IT13" i="6"/>
  <c r="IU13" i="6" s="1"/>
  <c r="IR13" i="6"/>
  <c r="IS13" i="6" s="1"/>
  <c r="IP13" i="6"/>
  <c r="IQ13" i="6" s="1"/>
  <c r="IN13" i="6"/>
  <c r="IO13" i="6" s="1"/>
  <c r="IL13" i="6"/>
  <c r="IM13" i="6" s="1"/>
  <c r="IJ13" i="6"/>
  <c r="IJ15" i="6" s="1"/>
  <c r="IH13" i="6"/>
  <c r="II13" i="6" s="1"/>
  <c r="IF13" i="6"/>
  <c r="IF15" i="6" s="1"/>
  <c r="ID13" i="6"/>
  <c r="IE13" i="6" s="1"/>
  <c r="IB13" i="6"/>
  <c r="HZ13" i="6"/>
  <c r="HX13" i="6"/>
  <c r="HX15" i="6" s="1"/>
  <c r="HV13" i="6"/>
  <c r="HT13" i="6"/>
  <c r="HR13" i="6"/>
  <c r="HP13" i="6"/>
  <c r="HP15" i="6" s="1"/>
  <c r="HN13" i="6"/>
  <c r="HL13" i="6"/>
  <c r="HL15" i="6" s="1"/>
  <c r="HJ13" i="6"/>
  <c r="HH13" i="6"/>
  <c r="HF13" i="6"/>
  <c r="HD13" i="6"/>
  <c r="HB13" i="6"/>
  <c r="HB15" i="6" s="1"/>
  <c r="GZ13" i="6"/>
  <c r="GZ15" i="6" s="1"/>
  <c r="GX13" i="6"/>
  <c r="GV13" i="6"/>
  <c r="GT13" i="6"/>
  <c r="GR13" i="6"/>
  <c r="GR15" i="6" s="1"/>
  <c r="GP13" i="6"/>
  <c r="GN13" i="6"/>
  <c r="GL13" i="6"/>
  <c r="GJ13" i="6"/>
  <c r="GH13" i="6"/>
  <c r="GI13" i="6" s="1"/>
  <c r="GF13" i="6"/>
  <c r="GG13" i="6" s="1"/>
  <c r="GD13" i="6"/>
  <c r="GE13" i="6" s="1"/>
  <c r="GB13" i="6"/>
  <c r="GB15" i="6" s="1"/>
  <c r="GB44" i="6" s="1"/>
  <c r="FZ13" i="6"/>
  <c r="FX13" i="6"/>
  <c r="FX15" i="6" s="1"/>
  <c r="FV13" i="6"/>
  <c r="FW13" i="6" s="1"/>
  <c r="FT13" i="6"/>
  <c r="FR13" i="6"/>
  <c r="FS13" i="6" s="1"/>
  <c r="FO13" i="6"/>
  <c r="FO15" i="6" s="1"/>
  <c r="FM13" i="6"/>
  <c r="FN13" i="6" s="1"/>
  <c r="FK13" i="6"/>
  <c r="FL13" i="6" s="1"/>
  <c r="FI13" i="6"/>
  <c r="FJ13" i="6" s="1"/>
  <c r="FG13" i="6"/>
  <c r="FG15" i="6" s="1"/>
  <c r="FE13" i="6"/>
  <c r="FD13" i="6"/>
  <c r="FC13" i="6"/>
  <c r="FC15" i="6" s="1"/>
  <c r="FA13" i="6"/>
  <c r="FB13" i="6" s="1"/>
  <c r="EY13" i="6"/>
  <c r="EW13" i="6"/>
  <c r="EX13" i="6" s="1"/>
  <c r="EX15" i="6" s="1"/>
  <c r="EU13" i="6"/>
  <c r="EV13" i="6" s="1"/>
  <c r="ES13" i="6"/>
  <c r="ET13" i="6" s="1"/>
  <c r="EQ13" i="6"/>
  <c r="ER13" i="6" s="1"/>
  <c r="EO13" i="6"/>
  <c r="EP13" i="6" s="1"/>
  <c r="EM13" i="6"/>
  <c r="EM15" i="6" s="1"/>
  <c r="EK13" i="6"/>
  <c r="EL13" i="6" s="1"/>
  <c r="EI13" i="6"/>
  <c r="EI15" i="6" s="1"/>
  <c r="EG13" i="6"/>
  <c r="EH13" i="6" s="1"/>
  <c r="EE13" i="6"/>
  <c r="EC13" i="6"/>
  <c r="ED13" i="6" s="1"/>
  <c r="EA13" i="6"/>
  <c r="EA15" i="6" s="1"/>
  <c r="DY13" i="6"/>
  <c r="DZ13" i="6" s="1"/>
  <c r="DW13" i="6"/>
  <c r="DW15" i="6" s="1"/>
  <c r="DU13" i="6"/>
  <c r="DS13" i="6"/>
  <c r="DQ13" i="6"/>
  <c r="DP13" i="6"/>
  <c r="DO13" i="6"/>
  <c r="DO15" i="6" s="1"/>
  <c r="DM13" i="6"/>
  <c r="DN13" i="6" s="1"/>
  <c r="DK13" i="6"/>
  <c r="DI13" i="6"/>
  <c r="DJ13" i="6" s="1"/>
  <c r="DG13" i="6"/>
  <c r="DG15" i="6" s="1"/>
  <c r="DE13" i="6"/>
  <c r="DF13" i="6" s="1"/>
  <c r="DC13" i="6"/>
  <c r="DD13" i="6" s="1"/>
  <c r="DA13" i="6"/>
  <c r="DB13" i="6" s="1"/>
  <c r="CY13" i="6"/>
  <c r="CW13" i="6"/>
  <c r="CX13" i="6" s="1"/>
  <c r="CU13" i="6"/>
  <c r="CV13" i="6" s="1"/>
  <c r="CR13" i="6"/>
  <c r="CS13" i="6" s="1"/>
  <c r="CP13" i="6"/>
  <c r="CN13" i="6"/>
  <c r="CO13" i="6" s="1"/>
  <c r="CL13" i="6"/>
  <c r="CM13" i="6" s="1"/>
  <c r="CJ13" i="6"/>
  <c r="CH13" i="6"/>
  <c r="CI13" i="6" s="1"/>
  <c r="CF13" i="6"/>
  <c r="CG13" i="6" s="1"/>
  <c r="CD13" i="6"/>
  <c r="CE13" i="6" s="1"/>
  <c r="CB13" i="6"/>
  <c r="BZ13" i="6"/>
  <c r="BZ15" i="6" s="1"/>
  <c r="BX13" i="6"/>
  <c r="BY13" i="6" s="1"/>
  <c r="BV13" i="6"/>
  <c r="BT13" i="6"/>
  <c r="BR13" i="6"/>
  <c r="BR15" i="6" s="1"/>
  <c r="BP13" i="6"/>
  <c r="BN13" i="6"/>
  <c r="BL13" i="6"/>
  <c r="BJ13" i="6"/>
  <c r="BH13" i="6"/>
  <c r="BF13" i="6"/>
  <c r="BF15" i="6" s="1"/>
  <c r="BD13" i="6"/>
  <c r="BB13" i="6"/>
  <c r="AZ13" i="6"/>
  <c r="AX13" i="6"/>
  <c r="AX15" i="6" s="1"/>
  <c r="AV13" i="6"/>
  <c r="AT13" i="6"/>
  <c r="AR13" i="6"/>
  <c r="AP13" i="6"/>
  <c r="AN13" i="6"/>
  <c r="AL13" i="6"/>
  <c r="AL15" i="6" s="1"/>
  <c r="AJ13" i="6"/>
  <c r="AH13" i="6"/>
  <c r="AF13" i="6"/>
  <c r="AD13" i="6"/>
  <c r="AB13" i="6"/>
  <c r="AC13" i="6" s="1"/>
  <c r="Z13" i="6"/>
  <c r="AA13" i="6" s="1"/>
  <c r="X13" i="6"/>
  <c r="Y13" i="6" s="1"/>
  <c r="V13" i="6"/>
  <c r="T13" i="6"/>
  <c r="U13" i="6" s="1"/>
  <c r="R13" i="6"/>
  <c r="S13" i="6" s="1"/>
  <c r="P13" i="6"/>
  <c r="Q13" i="6" s="1"/>
  <c r="N13" i="6"/>
  <c r="L13" i="6"/>
  <c r="M13" i="6" s="1"/>
  <c r="J13" i="6"/>
  <c r="K13" i="6" s="1"/>
  <c r="H13" i="6"/>
  <c r="I13" i="6" s="1"/>
  <c r="F13" i="6"/>
  <c r="G13" i="6" s="1"/>
  <c r="OS10" i="6"/>
  <c r="OT14" i="6" s="1"/>
  <c r="OQ10" i="6"/>
  <c r="OO10" i="6"/>
  <c r="OM10" i="6"/>
  <c r="ON13" i="6" s="1"/>
  <c r="OK10" i="6"/>
  <c r="OI10" i="6"/>
  <c r="OG10" i="6"/>
  <c r="OE10" i="6"/>
  <c r="OC10" i="6"/>
  <c r="OD14" i="6" s="1"/>
  <c r="OA10" i="6"/>
  <c r="NY10" i="6"/>
  <c r="NZ14" i="6" s="1"/>
  <c r="NW10" i="6"/>
  <c r="NX13" i="6" s="1"/>
  <c r="NU10" i="6"/>
  <c r="NS10" i="6"/>
  <c r="NQ10" i="6"/>
  <c r="NR14" i="6" s="1"/>
  <c r="NO10" i="6"/>
  <c r="NM10" i="6"/>
  <c r="NN14" i="6" s="1"/>
  <c r="NK10" i="6"/>
  <c r="NL14" i="6" s="1"/>
  <c r="NI10" i="6"/>
  <c r="NJ14" i="6" s="1"/>
  <c r="NG10" i="6"/>
  <c r="NE10" i="6"/>
  <c r="NF14" i="6" s="1"/>
  <c r="NC10" i="6"/>
  <c r="ND28" i="6" s="1"/>
  <c r="NA10" i="6"/>
  <c r="NB14" i="6" s="1"/>
  <c r="MY10" i="6"/>
  <c r="MY39" i="6" s="1"/>
  <c r="MY36" i="6" s="1"/>
  <c r="MW10" i="6"/>
  <c r="LP10" i="6"/>
  <c r="LQ14" i="6" s="1"/>
  <c r="LN10" i="6"/>
  <c r="LO13" i="6" s="1"/>
  <c r="LL10" i="6"/>
  <c r="LJ10" i="6"/>
  <c r="LK13" i="6" s="1"/>
  <c r="LH10" i="6"/>
  <c r="LF10" i="6"/>
  <c r="LD10" i="6"/>
  <c r="LE13" i="6" s="1"/>
  <c r="LB10" i="6"/>
  <c r="LC13" i="6" s="1"/>
  <c r="KZ10" i="6"/>
  <c r="KX10" i="6"/>
  <c r="KV10" i="6"/>
  <c r="KW14" i="6" s="1"/>
  <c r="KT10" i="6"/>
  <c r="KU14" i="6" s="1"/>
  <c r="KR10" i="6"/>
  <c r="KS14" i="6" s="1"/>
  <c r="KP10" i="6"/>
  <c r="KQ13" i="6" s="1"/>
  <c r="KN10" i="6"/>
  <c r="KO14" i="6" s="1"/>
  <c r="KL10" i="6"/>
  <c r="KM14" i="6" s="1"/>
  <c r="KJ10" i="6"/>
  <c r="KK14" i="6" s="1"/>
  <c r="KH10" i="6"/>
  <c r="KI14" i="6" s="1"/>
  <c r="KF10" i="6"/>
  <c r="KG14" i="6" s="1"/>
  <c r="KD10" i="6"/>
  <c r="KE14" i="6" s="1"/>
  <c r="KB10" i="6"/>
  <c r="KC14" i="6" s="1"/>
  <c r="JZ10" i="6"/>
  <c r="JX10" i="6"/>
  <c r="JV10" i="6"/>
  <c r="JW13" i="6" s="1"/>
  <c r="JT10" i="6"/>
  <c r="IB10" i="6"/>
  <c r="HZ10" i="6"/>
  <c r="HX10" i="6"/>
  <c r="HY13" i="6" s="1"/>
  <c r="HV10" i="6"/>
  <c r="HT10" i="6"/>
  <c r="HP10" i="6"/>
  <c r="HQ14" i="6" s="1"/>
  <c r="HN10" i="6"/>
  <c r="HO14" i="6" s="1"/>
  <c r="HL10" i="6"/>
  <c r="HJ10" i="6"/>
  <c r="HK14" i="6" s="1"/>
  <c r="HH10" i="6"/>
  <c r="HI14" i="6" s="1"/>
  <c r="HF10" i="6"/>
  <c r="HG14" i="6" s="1"/>
  <c r="HD10" i="6"/>
  <c r="HE14" i="6" s="1"/>
  <c r="HB10" i="6"/>
  <c r="HC14" i="6" s="1"/>
  <c r="GZ10" i="6"/>
  <c r="GX10" i="6"/>
  <c r="GY14" i="6" s="1"/>
  <c r="GV10" i="6"/>
  <c r="GW28" i="6" s="1"/>
  <c r="GT10" i="6"/>
  <c r="GR10" i="6"/>
  <c r="GP10" i="6"/>
  <c r="GQ28" i="6" s="1"/>
  <c r="GN10" i="6"/>
  <c r="GL10" i="6"/>
  <c r="GJ10" i="6"/>
  <c r="GK13" i="6" s="1"/>
  <c r="CB10" i="6"/>
  <c r="BT10" i="6"/>
  <c r="BR10" i="6"/>
  <c r="BS14" i="6" s="1"/>
  <c r="BP10" i="6"/>
  <c r="BQ14" i="6" s="1"/>
  <c r="BN10" i="6"/>
  <c r="BO14" i="6" s="1"/>
  <c r="BJ10" i="6"/>
  <c r="BK14" i="6" s="1"/>
  <c r="BH10" i="6"/>
  <c r="BI14" i="6" s="1"/>
  <c r="BF10" i="6"/>
  <c r="BD10" i="6"/>
  <c r="BE14" i="6" s="1"/>
  <c r="BB10" i="6"/>
  <c r="BC14" i="6" s="1"/>
  <c r="AZ10" i="6"/>
  <c r="BA14" i="6" s="1"/>
  <c r="AX10" i="6"/>
  <c r="AV10" i="6"/>
  <c r="AW14" i="6" s="1"/>
  <c r="AT10" i="6"/>
  <c r="AU14" i="6" s="1"/>
  <c r="AR10" i="6"/>
  <c r="AS14" i="6" s="1"/>
  <c r="AP10" i="6"/>
  <c r="AQ14" i="6" s="1"/>
  <c r="AN10" i="6"/>
  <c r="AL10" i="6"/>
  <c r="AM13" i="6" s="1"/>
  <c r="AJ10" i="6"/>
  <c r="AK28" i="6" s="1"/>
  <c r="AH10" i="6"/>
  <c r="AF10" i="6"/>
  <c r="AD10" i="6"/>
  <c r="FP8" i="6"/>
  <c r="FP85" i="6" s="1"/>
  <c r="FN8" i="6"/>
  <c r="FN85" i="6" s="1"/>
  <c r="FL8" i="6"/>
  <c r="FL85" i="6" s="1"/>
  <c r="FJ8" i="6"/>
  <c r="FJ85" i="6" s="1"/>
  <c r="FH8" i="6"/>
  <c r="FH85" i="6" s="1"/>
  <c r="FF8" i="6"/>
  <c r="FF85" i="6" s="1"/>
  <c r="FD8" i="6"/>
  <c r="FD85" i="6" s="1"/>
  <c r="FB8" i="6"/>
  <c r="FB85" i="6" s="1"/>
  <c r="EZ8" i="6"/>
  <c r="EZ85" i="6" s="1"/>
  <c r="EX8" i="6"/>
  <c r="EX85" i="6" s="1"/>
  <c r="EV8" i="6"/>
  <c r="EV85" i="6" s="1"/>
  <c r="ET8" i="6"/>
  <c r="ET85" i="6" s="1"/>
  <c r="ER8" i="6"/>
  <c r="ER85" i="6" s="1"/>
  <c r="EP8" i="6"/>
  <c r="EP85" i="6" s="1"/>
  <c r="EN8" i="6"/>
  <c r="EN85" i="6" s="1"/>
  <c r="EL8" i="6"/>
  <c r="EJ8" i="6"/>
  <c r="EJ85" i="6" s="1"/>
  <c r="EH8" i="6"/>
  <c r="EH85" i="6" s="1"/>
  <c r="EF8" i="6"/>
  <c r="EF85" i="6" s="1"/>
  <c r="ED8" i="6"/>
  <c r="ED85" i="6" s="1"/>
  <c r="EB8" i="6"/>
  <c r="EB85" i="6" s="1"/>
  <c r="DZ8" i="6"/>
  <c r="DZ85" i="6" s="1"/>
  <c r="DX8" i="6"/>
  <c r="DX85" i="6" s="1"/>
  <c r="DV8" i="6"/>
  <c r="DV85" i="6" s="1"/>
  <c r="DT8" i="6"/>
  <c r="DT85" i="6" s="1"/>
  <c r="DR8" i="6"/>
  <c r="DR85" i="6" s="1"/>
  <c r="DP8" i="6"/>
  <c r="DP85" i="6" s="1"/>
  <c r="DN8" i="6"/>
  <c r="DN85" i="6" s="1"/>
  <c r="DL8" i="6"/>
  <c r="DL85" i="6" s="1"/>
  <c r="DJ8" i="6"/>
  <c r="DJ85" i="6" s="1"/>
  <c r="DH8" i="6"/>
  <c r="DH85" i="6" s="1"/>
  <c r="DF8" i="6"/>
  <c r="DF85" i="6" s="1"/>
  <c r="DD8" i="6"/>
  <c r="DD85" i="6" s="1"/>
  <c r="DB8" i="6"/>
  <c r="DB85" i="6" s="1"/>
  <c r="CZ8" i="6"/>
  <c r="CX8" i="6"/>
  <c r="CX85" i="6" s="1"/>
  <c r="CV8" i="6"/>
  <c r="CV85" i="6" s="1"/>
  <c r="OE5" i="6"/>
  <c r="MD5" i="6"/>
  <c r="PG5" i="6" s="1"/>
  <c r="MB5" i="6"/>
  <c r="PE5" i="6" s="1"/>
  <c r="LZ5" i="6"/>
  <c r="PC5" i="6" s="1"/>
  <c r="LX5" i="6"/>
  <c r="PA5" i="6" s="1"/>
  <c r="LV5" i="6"/>
  <c r="OY5" i="6" s="1"/>
  <c r="LT5" i="6"/>
  <c r="OW5" i="6" s="1"/>
  <c r="LR5" i="6"/>
  <c r="OU5" i="6" s="1"/>
  <c r="LP5" i="6"/>
  <c r="OS5" i="6" s="1"/>
  <c r="LN5" i="6"/>
  <c r="OQ5" i="6" s="1"/>
  <c r="LL5" i="6"/>
  <c r="OO5" i="6" s="1"/>
  <c r="LJ5" i="6"/>
  <c r="OM5" i="6" s="1"/>
  <c r="LH5" i="6"/>
  <c r="OK5" i="6" s="1"/>
  <c r="LF5" i="6"/>
  <c r="OI5" i="6" s="1"/>
  <c r="LD5" i="6"/>
  <c r="OG5" i="6" s="1"/>
  <c r="IV5" i="6"/>
  <c r="IT5" i="6"/>
  <c r="IR5" i="6"/>
  <c r="IP5" i="6"/>
  <c r="IN5" i="6"/>
  <c r="IL5" i="6"/>
  <c r="IJ5" i="6"/>
  <c r="IH5" i="6"/>
  <c r="IF5" i="6"/>
  <c r="ID5" i="6"/>
  <c r="IB5" i="6"/>
  <c r="HZ5" i="6"/>
  <c r="HX5" i="6"/>
  <c r="HV5" i="6"/>
  <c r="CN5" i="6"/>
  <c r="CL5" i="6"/>
  <c r="CJ5" i="6"/>
  <c r="CH5" i="6"/>
  <c r="CF5" i="6"/>
  <c r="CD5" i="6"/>
  <c r="CB5" i="6"/>
  <c r="BZ5" i="6"/>
  <c r="BX5" i="6"/>
  <c r="BV5" i="6"/>
  <c r="BT5" i="6"/>
  <c r="BR5" i="6"/>
  <c r="BP5" i="6"/>
  <c r="BN5" i="6"/>
  <c r="HT5" i="6" s="1"/>
  <c r="BL5" i="6"/>
  <c r="HR5" i="6" s="1"/>
  <c r="BJ5" i="6"/>
  <c r="HP5" i="6" s="1"/>
  <c r="KZ5" i="6" s="1"/>
  <c r="OC5" i="6" s="1"/>
  <c r="BH5" i="6"/>
  <c r="HN5" i="6" s="1"/>
  <c r="KX5" i="6" s="1"/>
  <c r="OA5" i="6" s="1"/>
  <c r="BF5" i="6"/>
  <c r="HL5" i="6" s="1"/>
  <c r="KV5" i="6" s="1"/>
  <c r="NY5" i="6" s="1"/>
  <c r="BD5" i="6"/>
  <c r="HJ5" i="6" s="1"/>
  <c r="KT5" i="6" s="1"/>
  <c r="NW5" i="6" s="1"/>
  <c r="BB5" i="6"/>
  <c r="HH5" i="6" s="1"/>
  <c r="KR5" i="6" s="1"/>
  <c r="NU5" i="6" s="1"/>
  <c r="AZ5" i="6"/>
  <c r="HF5" i="6" s="1"/>
  <c r="KP5" i="6" s="1"/>
  <c r="NS5" i="6" s="1"/>
  <c r="AX5" i="6"/>
  <c r="HD5" i="6" s="1"/>
  <c r="KN5" i="6" s="1"/>
  <c r="NQ5" i="6" s="1"/>
  <c r="AV5" i="6"/>
  <c r="HB5" i="6" s="1"/>
  <c r="KL5" i="6" s="1"/>
  <c r="NO5" i="6" s="1"/>
  <c r="AT5" i="6"/>
  <c r="GZ5" i="6" s="1"/>
  <c r="KJ5" i="6" s="1"/>
  <c r="NM5" i="6" s="1"/>
  <c r="AR5" i="6"/>
  <c r="AP5" i="6"/>
  <c r="GV5" i="6" s="1"/>
  <c r="KF5" i="6" s="1"/>
  <c r="NI5" i="6" s="1"/>
  <c r="AN5" i="6"/>
  <c r="GT5" i="6" s="1"/>
  <c r="KD5" i="6" s="1"/>
  <c r="NG5" i="6" s="1"/>
  <c r="AL5" i="6"/>
  <c r="GR5" i="6" s="1"/>
  <c r="KB5" i="6" s="1"/>
  <c r="NE5" i="6" s="1"/>
  <c r="AJ5" i="6"/>
  <c r="GP5" i="6" s="1"/>
  <c r="JZ5" i="6" s="1"/>
  <c r="NC5" i="6" s="1"/>
  <c r="R5" i="6"/>
  <c r="FX5" i="6" s="1"/>
  <c r="JL5" i="6" s="1"/>
  <c r="MO5" i="6" s="1"/>
  <c r="PG4" i="6"/>
  <c r="QA13" i="6" l="1"/>
  <c r="OZ30" i="6"/>
  <c r="OZ77" i="6" s="1"/>
  <c r="OZ78" i="6" s="1"/>
  <c r="OZ79" i="6" s="1"/>
  <c r="IE53" i="6"/>
  <c r="QA53" i="6"/>
  <c r="LS83" i="6"/>
  <c r="EJ38" i="6"/>
  <c r="EI38" i="6" s="1"/>
  <c r="IW47" i="6"/>
  <c r="PU61" i="6"/>
  <c r="CR85" i="6"/>
  <c r="NY85" i="6"/>
  <c r="OL83" i="6"/>
  <c r="W47" i="6"/>
  <c r="QC61" i="6"/>
  <c r="PY79" i="6"/>
  <c r="OP83" i="6"/>
  <c r="CK30" i="6"/>
  <c r="CK77" i="6" s="1"/>
  <c r="CK78" i="6" s="1"/>
  <c r="CK79" i="6" s="1"/>
  <c r="QI61" i="6"/>
  <c r="QI59" i="6" s="1"/>
  <c r="OR83" i="6"/>
  <c r="NN13" i="6"/>
  <c r="NB80" i="6"/>
  <c r="OT83" i="6"/>
  <c r="HK13" i="6"/>
  <c r="KO13" i="6"/>
  <c r="ED38" i="6"/>
  <c r="EC38" i="6" s="1"/>
  <c r="HG38" i="6"/>
  <c r="IU38" i="6"/>
  <c r="IT38" i="6" s="1"/>
  <c r="IT37" i="6" s="1"/>
  <c r="IT35" i="6" s="1"/>
  <c r="KK38" i="6"/>
  <c r="LY38" i="6"/>
  <c r="LX38" i="6" s="1"/>
  <c r="LX37" i="6" s="1"/>
  <c r="GY79" i="6"/>
  <c r="OZ83" i="6"/>
  <c r="AM139" i="6"/>
  <c r="AM146" i="6" s="1"/>
  <c r="AW139" i="6"/>
  <c r="AW146" i="6" s="1"/>
  <c r="PD83" i="6"/>
  <c r="AG83" i="6"/>
  <c r="BI139" i="6"/>
  <c r="BI146" i="6" s="1"/>
  <c r="PW38" i="6"/>
  <c r="PV38" i="6" s="1"/>
  <c r="PV37" i="6" s="1"/>
  <c r="PV40" i="6" s="1"/>
  <c r="LS88" i="6"/>
  <c r="LS89" i="6" s="1"/>
  <c r="JG99" i="6"/>
  <c r="KU124" i="6"/>
  <c r="KU125" i="6" s="1"/>
  <c r="EN139" i="6"/>
  <c r="QM61" i="6"/>
  <c r="NX83" i="6"/>
  <c r="LG139" i="6"/>
  <c r="GM13" i="6"/>
  <c r="QA139" i="6"/>
  <c r="QK139" i="6"/>
  <c r="EE37" i="6"/>
  <c r="OD83" i="6"/>
  <c r="CH85" i="6"/>
  <c r="QO139" i="6"/>
  <c r="QO146" i="6" s="1"/>
  <c r="CV64" i="6"/>
  <c r="CV48" i="6"/>
  <c r="CV47" i="6" s="1"/>
  <c r="CV39" i="6"/>
  <c r="KQ64" i="6"/>
  <c r="KQ48" i="6"/>
  <c r="KQ47" i="6" s="1"/>
  <c r="KQ39" i="6"/>
  <c r="KQ38" i="6" s="1"/>
  <c r="CY36" i="6"/>
  <c r="CY37" i="6"/>
  <c r="U64" i="6"/>
  <c r="U39" i="6"/>
  <c r="U48" i="6"/>
  <c r="U47" i="6" s="1"/>
  <c r="CX64" i="6"/>
  <c r="CX48" i="6"/>
  <c r="CX47" i="6" s="1"/>
  <c r="CX39" i="6"/>
  <c r="JD64" i="6"/>
  <c r="JD48" i="6"/>
  <c r="JD47" i="6" s="1"/>
  <c r="JD39" i="6"/>
  <c r="KS64" i="6"/>
  <c r="KS39" i="6"/>
  <c r="KS48" i="6"/>
  <c r="KS47" i="6" s="1"/>
  <c r="NV64" i="6"/>
  <c r="NV48" i="6"/>
  <c r="NV47" i="6" s="1"/>
  <c r="NV39" i="6"/>
  <c r="NV38" i="6" s="1"/>
  <c r="OJ64" i="6"/>
  <c r="OJ48" i="6"/>
  <c r="OJ39" i="6"/>
  <c r="AK64" i="6"/>
  <c r="AK39" i="6"/>
  <c r="AK48" i="6"/>
  <c r="AK47" i="6" s="1"/>
  <c r="FB64" i="6"/>
  <c r="FB48" i="6"/>
  <c r="FB47" i="6" s="1"/>
  <c r="FB39" i="6"/>
  <c r="BV85" i="6"/>
  <c r="BW83" i="6"/>
  <c r="FL64" i="6"/>
  <c r="FL39" i="6"/>
  <c r="FL48" i="6"/>
  <c r="FL47" i="6" s="1"/>
  <c r="IO64" i="6"/>
  <c r="IO51" i="6"/>
  <c r="IO39" i="6"/>
  <c r="IO48" i="6"/>
  <c r="IO47" i="6" s="1"/>
  <c r="LS64" i="6"/>
  <c r="LS48" i="6"/>
  <c r="LS47" i="6" s="1"/>
  <c r="LS39" i="6"/>
  <c r="DH64" i="6"/>
  <c r="DH39" i="6"/>
  <c r="OH64" i="6"/>
  <c r="OH48" i="6"/>
  <c r="BG14" i="6"/>
  <c r="BG13" i="6"/>
  <c r="JO13" i="6"/>
  <c r="JO15" i="6" s="1"/>
  <c r="AU39" i="6"/>
  <c r="AU38" i="6" s="1"/>
  <c r="KU38" i="6"/>
  <c r="NL38" i="6"/>
  <c r="AW48" i="6"/>
  <c r="AW47" i="6" s="1"/>
  <c r="S51" i="6"/>
  <c r="CV51" i="6"/>
  <c r="FY51" i="6"/>
  <c r="KQ51" i="6"/>
  <c r="NT51" i="6"/>
  <c r="PW53" i="6"/>
  <c r="DJ64" i="6"/>
  <c r="DJ39" i="6"/>
  <c r="IA64" i="6"/>
  <c r="IA39" i="6"/>
  <c r="IA38" i="6" s="1"/>
  <c r="LE64" i="6"/>
  <c r="LE39" i="6"/>
  <c r="LE38" i="6" s="1"/>
  <c r="BG64" i="6"/>
  <c r="BG48" i="6"/>
  <c r="BG47" i="6" s="1"/>
  <c r="FW80" i="6"/>
  <c r="AQ83" i="6"/>
  <c r="HA83" i="6"/>
  <c r="GZ85" i="6"/>
  <c r="U51" i="6"/>
  <c r="CX51" i="6"/>
  <c r="JD51" i="6"/>
  <c r="KS51" i="6"/>
  <c r="NV51" i="6"/>
  <c r="AI53" i="6"/>
  <c r="EZ53" i="6"/>
  <c r="JS53" i="6"/>
  <c r="JS44" i="6"/>
  <c r="OJ53" i="6"/>
  <c r="DL64" i="6"/>
  <c r="DL39" i="6"/>
  <c r="DK39" i="6" s="1"/>
  <c r="IC64" i="6"/>
  <c r="IC39" i="6"/>
  <c r="IC38" i="6" s="1"/>
  <c r="LG64" i="6"/>
  <c r="LG39" i="6"/>
  <c r="OL64" i="6"/>
  <c r="OL48" i="6"/>
  <c r="OL47" i="6" s="1"/>
  <c r="OL39" i="6"/>
  <c r="OL38" i="6" s="1"/>
  <c r="BI64" i="6"/>
  <c r="BI48" i="6"/>
  <c r="BI47" i="6" s="1"/>
  <c r="EL64" i="6"/>
  <c r="EL39" i="6"/>
  <c r="LY84" i="6"/>
  <c r="LY85" i="6"/>
  <c r="LX85" i="6" s="1"/>
  <c r="CK13" i="6"/>
  <c r="CJ15" i="6"/>
  <c r="CQ38" i="6"/>
  <c r="CP38" i="6" s="1"/>
  <c r="AY38" i="6"/>
  <c r="PO39" i="6"/>
  <c r="PP38" i="6"/>
  <c r="PO38" i="6" s="1"/>
  <c r="EL47" i="6"/>
  <c r="IE47" i="6"/>
  <c r="AK53" i="6"/>
  <c r="BY53" i="6"/>
  <c r="FB53" i="6"/>
  <c r="MX53" i="6"/>
  <c r="OL53" i="6"/>
  <c r="DN64" i="6"/>
  <c r="DN39" i="6"/>
  <c r="DN38" i="6" s="1"/>
  <c r="DM38" i="6" s="1"/>
  <c r="IE64" i="6"/>
  <c r="IE39" i="6"/>
  <c r="IE38" i="6" s="1"/>
  <c r="ID38" i="6" s="1"/>
  <c r="ID37" i="6" s="1"/>
  <c r="ID35" i="6" s="1"/>
  <c r="ID34" i="6" s="1"/>
  <c r="LI64" i="6"/>
  <c r="LI39" i="6"/>
  <c r="OT64" i="6"/>
  <c r="OT39" i="6"/>
  <c r="OT38" i="6" s="1"/>
  <c r="MA88" i="6"/>
  <c r="MA89" i="6" s="1"/>
  <c r="LZ85" i="6"/>
  <c r="IG13" i="6"/>
  <c r="LI13" i="6"/>
  <c r="BA38" i="6"/>
  <c r="EN47" i="6"/>
  <c r="EN38" i="6"/>
  <c r="EM38" i="6" s="1"/>
  <c r="LG48" i="6"/>
  <c r="ET48" i="6"/>
  <c r="ET47" i="6" s="1"/>
  <c r="ET39" i="6"/>
  <c r="ES39" i="6" s="1"/>
  <c r="LQ64" i="6"/>
  <c r="LQ48" i="6"/>
  <c r="LQ38" i="6" s="1"/>
  <c r="OV64" i="6"/>
  <c r="OV39" i="6"/>
  <c r="JI92" i="6"/>
  <c r="BO124" i="6"/>
  <c r="BO125" i="6" s="1"/>
  <c r="AI64" i="6"/>
  <c r="AI39" i="6"/>
  <c r="JU13" i="6"/>
  <c r="LI48" i="6"/>
  <c r="AO53" i="6"/>
  <c r="CC53" i="6"/>
  <c r="DR53" i="6"/>
  <c r="FF53" i="6"/>
  <c r="GU53" i="6"/>
  <c r="II53" i="6"/>
  <c r="JY53" i="6"/>
  <c r="LM53" i="6"/>
  <c r="NB53" i="6"/>
  <c r="OP53" i="6"/>
  <c r="EV64" i="6"/>
  <c r="EV39" i="6"/>
  <c r="EV38" i="6" s="1"/>
  <c r="EU38" i="6" s="1"/>
  <c r="BC85" i="6"/>
  <c r="BB85" i="6" s="1"/>
  <c r="BC84" i="6"/>
  <c r="BC83" i="6" s="1"/>
  <c r="KO83" i="6"/>
  <c r="MX83" i="6"/>
  <c r="HY64" i="6"/>
  <c r="HY39" i="6"/>
  <c r="HY38" i="6" s="1"/>
  <c r="HM13" i="6"/>
  <c r="IM38" i="6"/>
  <c r="IL38" i="6" s="1"/>
  <c r="IL37" i="6" s="1"/>
  <c r="IL35" i="6" s="1"/>
  <c r="F43" i="6"/>
  <c r="QA39" i="6"/>
  <c r="QA38" i="6" s="1"/>
  <c r="PZ38" i="6" s="1"/>
  <c r="PZ37" i="6" s="1"/>
  <c r="PZ40" i="6" s="1"/>
  <c r="IQ47" i="6"/>
  <c r="ME47" i="6"/>
  <c r="ET51" i="6"/>
  <c r="GI51" i="6"/>
  <c r="JM51" i="6"/>
  <c r="PS51" i="6"/>
  <c r="IK53" i="6"/>
  <c r="KA53" i="6"/>
  <c r="LO53" i="6"/>
  <c r="ND53" i="6"/>
  <c r="OR53" i="6"/>
  <c r="EX64" i="6"/>
  <c r="EX39" i="6"/>
  <c r="LU64" i="6"/>
  <c r="LU48" i="6"/>
  <c r="LU47" i="6" s="1"/>
  <c r="CC83" i="6"/>
  <c r="MP85" i="6"/>
  <c r="BE85" i="6"/>
  <c r="BE84" i="6"/>
  <c r="IC88" i="6"/>
  <c r="IC89" i="6" s="1"/>
  <c r="IB85" i="6"/>
  <c r="KQ83" i="6"/>
  <c r="LC64" i="6"/>
  <c r="LC39" i="6"/>
  <c r="LC38" i="6" s="1"/>
  <c r="AE13" i="6"/>
  <c r="BE13" i="6"/>
  <c r="QQ15" i="6"/>
  <c r="H43" i="6"/>
  <c r="IS47" i="6"/>
  <c r="MG48" i="6"/>
  <c r="MG47" i="6" s="1"/>
  <c r="DH51" i="6"/>
  <c r="HY51" i="6"/>
  <c r="LC51" i="6"/>
  <c r="KC53" i="6"/>
  <c r="LQ53" i="6"/>
  <c r="QK53" i="6"/>
  <c r="LW64" i="6"/>
  <c r="LW48" i="6"/>
  <c r="LW47" i="6" s="1"/>
  <c r="HL85" i="6"/>
  <c r="OY85" i="6"/>
  <c r="BG85" i="6"/>
  <c r="BG84" i="6"/>
  <c r="IE83" i="6"/>
  <c r="NB83" i="6"/>
  <c r="FN31" i="6"/>
  <c r="FM30" i="6"/>
  <c r="FN30" i="6" s="1"/>
  <c r="PJ47" i="6"/>
  <c r="MJ47" i="6"/>
  <c r="OH51" i="6"/>
  <c r="G53" i="6"/>
  <c r="AU53" i="6"/>
  <c r="CI53" i="6"/>
  <c r="DX53" i="6"/>
  <c r="FL53" i="6"/>
  <c r="HA53" i="6"/>
  <c r="IO53" i="6"/>
  <c r="KE53" i="6"/>
  <c r="LS53" i="6"/>
  <c r="NH53" i="6"/>
  <c r="OV53" i="6"/>
  <c r="QM53" i="6"/>
  <c r="JB64" i="6"/>
  <c r="JB48" i="6"/>
  <c r="JB47" i="6" s="1"/>
  <c r="LU83" i="6"/>
  <c r="BI85" i="6"/>
  <c r="BI92" i="6" s="1"/>
  <c r="BI93" i="6" s="1"/>
  <c r="BI84" i="6"/>
  <c r="BI83" i="6" s="1"/>
  <c r="ND83" i="6"/>
  <c r="IA13" i="6"/>
  <c r="NX15" i="6"/>
  <c r="FO36" i="6"/>
  <c r="FO30" i="6"/>
  <c r="FP30" i="6" s="1"/>
  <c r="FP77" i="6" s="1"/>
  <c r="FP78" i="6" s="1"/>
  <c r="FP79" i="6" s="1"/>
  <c r="JU38" i="6"/>
  <c r="CG48" i="6"/>
  <c r="CG38" i="6" s="1"/>
  <c r="AI51" i="6"/>
  <c r="BW51" i="6"/>
  <c r="DL51" i="6"/>
  <c r="EZ51" i="6"/>
  <c r="IC51" i="6"/>
  <c r="LG51" i="6"/>
  <c r="OJ51" i="6"/>
  <c r="I53" i="6"/>
  <c r="FN53" i="6"/>
  <c r="NJ53" i="6"/>
  <c r="QO53" i="6"/>
  <c r="GO64" i="6"/>
  <c r="GO48" i="6"/>
  <c r="GO47" i="6" s="1"/>
  <c r="JS64" i="6"/>
  <c r="JS39" i="6"/>
  <c r="JS43" i="6" s="1"/>
  <c r="BK85" i="6"/>
  <c r="BK88" i="6" s="1"/>
  <c r="BK89" i="6" s="1"/>
  <c r="BK84" i="6"/>
  <c r="BK83" i="6" s="1"/>
  <c r="KW83" i="6"/>
  <c r="QH13" i="6"/>
  <c r="QI13" i="6" s="1"/>
  <c r="FP37" i="6"/>
  <c r="PP37" i="6"/>
  <c r="I43" i="6"/>
  <c r="I42" i="6"/>
  <c r="AK51" i="6"/>
  <c r="FB51" i="6"/>
  <c r="MX51" i="6"/>
  <c r="FP53" i="6"/>
  <c r="BW64" i="6"/>
  <c r="BW39" i="6"/>
  <c r="BV39" i="6" s="1"/>
  <c r="JI64" i="6"/>
  <c r="JI39" i="6"/>
  <c r="JH39" i="6" s="1"/>
  <c r="JH36" i="6" s="1"/>
  <c r="GQ64" i="6"/>
  <c r="GQ48" i="6"/>
  <c r="NR83" i="6"/>
  <c r="CM96" i="6"/>
  <c r="CM84" i="6" s="1"/>
  <c r="BO84" i="6"/>
  <c r="NH85" i="6"/>
  <c r="NH92" i="6" s="1"/>
  <c r="NH93" i="6" s="1"/>
  <c r="NH84" i="6"/>
  <c r="NH83" i="6" s="1"/>
  <c r="OX85" i="6"/>
  <c r="OX92" i="6" s="1"/>
  <c r="OX93" i="6" s="1"/>
  <c r="OX84" i="6"/>
  <c r="OH39" i="6"/>
  <c r="OH38" i="6" s="1"/>
  <c r="NN38" i="6"/>
  <c r="PB38" i="6"/>
  <c r="PA38" i="6" s="1"/>
  <c r="BY64" i="6"/>
  <c r="BY39" i="6"/>
  <c r="BY38" i="6" s="1"/>
  <c r="BX38" i="6" s="1"/>
  <c r="JM64" i="6"/>
  <c r="JM39" i="6"/>
  <c r="JL39" i="6" s="1"/>
  <c r="JL36" i="6" s="1"/>
  <c r="MX64" i="6"/>
  <c r="MX39" i="6"/>
  <c r="MX38" i="6" s="1"/>
  <c r="QK64" i="6"/>
  <c r="QK39" i="6"/>
  <c r="QC59" i="6"/>
  <c r="HI88" i="6"/>
  <c r="HI89" i="6" s="1"/>
  <c r="GW85" i="6"/>
  <c r="GW84" i="6"/>
  <c r="LA85" i="6"/>
  <c r="LA88" i="6" s="1"/>
  <c r="LA89" i="6" s="1"/>
  <c r="LA84" i="6"/>
  <c r="NJ85" i="6"/>
  <c r="NJ99" i="6" s="1"/>
  <c r="NJ84" i="6"/>
  <c r="NJ83" i="6" s="1"/>
  <c r="IE37" i="6"/>
  <c r="BS38" i="6"/>
  <c r="I64" i="6"/>
  <c r="I48" i="6"/>
  <c r="QM64" i="6"/>
  <c r="QM39" i="6"/>
  <c r="LK83" i="6"/>
  <c r="IL85" i="6"/>
  <c r="IO83" i="6"/>
  <c r="EI37" i="6"/>
  <c r="FU43" i="6"/>
  <c r="FU38" i="6"/>
  <c r="FT38" i="6" s="1"/>
  <c r="FT37" i="6" s="1"/>
  <c r="K64" i="6"/>
  <c r="K48" i="6"/>
  <c r="K47" i="6" s="1"/>
  <c r="GA64" i="6"/>
  <c r="GA39" i="6"/>
  <c r="QO64" i="6"/>
  <c r="QO39" i="6"/>
  <c r="QN39" i="6" s="1"/>
  <c r="QN36" i="6" s="1"/>
  <c r="CE64" i="6"/>
  <c r="CE39" i="6"/>
  <c r="CD39" i="6" s="1"/>
  <c r="DT64" i="6"/>
  <c r="DT48" i="6"/>
  <c r="DT47" i="6" s="1"/>
  <c r="IQ85" i="6"/>
  <c r="IQ92" i="6" s="1"/>
  <c r="IQ93" i="6" s="1"/>
  <c r="IQ84" i="6"/>
  <c r="IQ83" i="6" s="1"/>
  <c r="MA38" i="6"/>
  <c r="LZ38" i="6" s="1"/>
  <c r="LZ37" i="6" s="1"/>
  <c r="S38" i="6"/>
  <c r="R38" i="6" s="1"/>
  <c r="R37" i="6" s="1"/>
  <c r="PC39" i="6"/>
  <c r="PD38" i="6"/>
  <c r="PC38" i="6" s="1"/>
  <c r="CG51" i="6"/>
  <c r="QK51" i="6"/>
  <c r="GE64" i="6"/>
  <c r="GE39" i="6"/>
  <c r="GD39" i="6" s="1"/>
  <c r="GD36" i="6" s="1"/>
  <c r="QQ55" i="6"/>
  <c r="DV64" i="6"/>
  <c r="DV48" i="6"/>
  <c r="DV38" i="6" s="1"/>
  <c r="DU38" i="6" s="1"/>
  <c r="GY64" i="6"/>
  <c r="GY48" i="6"/>
  <c r="GY38" i="6" s="1"/>
  <c r="GX38" i="6" s="1"/>
  <c r="GX37" i="6" s="1"/>
  <c r="CC92" i="6"/>
  <c r="PU79" i="6"/>
  <c r="QM83" i="6"/>
  <c r="OP88" i="6"/>
  <c r="OP89" i="6" s="1"/>
  <c r="IW83" i="6"/>
  <c r="PH83" i="6"/>
  <c r="CI30" i="6"/>
  <c r="CI77" i="6" s="1"/>
  <c r="CI78" i="6" s="1"/>
  <c r="CI79" i="6" s="1"/>
  <c r="QA37" i="6"/>
  <c r="QA40" i="6" s="1"/>
  <c r="QA36" i="6"/>
  <c r="ME38" i="6"/>
  <c r="MD38" i="6" s="1"/>
  <c r="MD37" i="6" s="1"/>
  <c r="FY39" i="6"/>
  <c r="FY42" i="6" s="1"/>
  <c r="GI48" i="6"/>
  <c r="GI39" i="6"/>
  <c r="GI42" i="6" s="1"/>
  <c r="G64" i="6"/>
  <c r="G48" i="6"/>
  <c r="DX64" i="6"/>
  <c r="DX48" i="6"/>
  <c r="HA64" i="6"/>
  <c r="HA48" i="6"/>
  <c r="LU92" i="6"/>
  <c r="Y83" i="6"/>
  <c r="Y99" i="6" s="1"/>
  <c r="Y101" i="6" s="1"/>
  <c r="QO83" i="6"/>
  <c r="NR13" i="6"/>
  <c r="MG38" i="6"/>
  <c r="MF38" i="6" s="1"/>
  <c r="CI39" i="6"/>
  <c r="AI48" i="6"/>
  <c r="CZ47" i="6"/>
  <c r="KI48" i="6"/>
  <c r="KI47" i="6" s="1"/>
  <c r="GK64" i="6"/>
  <c r="GK39" i="6"/>
  <c r="GK48" i="6"/>
  <c r="DZ64" i="6"/>
  <c r="DZ48" i="6"/>
  <c r="DZ47" i="6" s="1"/>
  <c r="AQ92" i="6"/>
  <c r="AQ93" i="6" s="1"/>
  <c r="AQ71" i="6"/>
  <c r="CG92" i="6"/>
  <c r="QC79" i="6"/>
  <c r="AA83" i="6"/>
  <c r="BO85" i="6"/>
  <c r="BN85" i="6" s="1"/>
  <c r="GK85" i="6"/>
  <c r="AK13" i="6"/>
  <c r="GC38" i="6"/>
  <c r="GB38" i="6" s="1"/>
  <c r="GB37" i="6" s="1"/>
  <c r="MJ38" i="6"/>
  <c r="MI38" i="6" s="1"/>
  <c r="MI37" i="6" s="1"/>
  <c r="IS38" i="6"/>
  <c r="IR38" i="6" s="1"/>
  <c r="IR37" i="6" s="1"/>
  <c r="IR35" i="6" s="1"/>
  <c r="DH48" i="6"/>
  <c r="HM47" i="6"/>
  <c r="GM64" i="6"/>
  <c r="GM39" i="6"/>
  <c r="GM48" i="6"/>
  <c r="NZ64" i="6"/>
  <c r="NZ53" i="6"/>
  <c r="EB64" i="6"/>
  <c r="EB48" i="6"/>
  <c r="EB47" i="6" s="1"/>
  <c r="NP92" i="6"/>
  <c r="AC83" i="6"/>
  <c r="MA84" i="6"/>
  <c r="MA83" i="6" s="1"/>
  <c r="GM85" i="6"/>
  <c r="GM88" i="6" s="1"/>
  <c r="GM89" i="6" s="1"/>
  <c r="GE86" i="6"/>
  <c r="GE85" i="6" s="1"/>
  <c r="GA85" i="6"/>
  <c r="O38" i="6"/>
  <c r="N38" i="6" s="1"/>
  <c r="N37" i="6" s="1"/>
  <c r="CM38" i="6"/>
  <c r="CL38" i="6" s="1"/>
  <c r="PH38" i="6"/>
  <c r="PG38" i="6" s="1"/>
  <c r="AQ48" i="6"/>
  <c r="AQ47" i="6" s="1"/>
  <c r="DJ48" i="6"/>
  <c r="HO48" i="6"/>
  <c r="NT48" i="6"/>
  <c r="AE64" i="6"/>
  <c r="AE39" i="6"/>
  <c r="AE38" i="6" s="1"/>
  <c r="OD64" i="6"/>
  <c r="OD48" i="6"/>
  <c r="OD47" i="6" s="1"/>
  <c r="M47" i="6"/>
  <c r="PY61" i="6"/>
  <c r="PY59" i="6" s="1"/>
  <c r="NR92" i="6"/>
  <c r="AE84" i="6"/>
  <c r="AE83" i="6" s="1"/>
  <c r="ME84" i="6"/>
  <c r="GO85" i="6"/>
  <c r="GO109" i="6" s="1"/>
  <c r="JC85" i="6"/>
  <c r="JD83" i="6"/>
  <c r="JM13" i="6"/>
  <c r="JL15" i="6"/>
  <c r="AQ39" i="6"/>
  <c r="CO38" i="6"/>
  <c r="CN38" i="6" s="1"/>
  <c r="GQ39" i="6"/>
  <c r="NH39" i="6"/>
  <c r="NH38" i="6" s="1"/>
  <c r="PI39" i="6"/>
  <c r="PJ38" i="6"/>
  <c r="PI38" i="6" s="1"/>
  <c r="AS48" i="6"/>
  <c r="AS38" i="6" s="1"/>
  <c r="AR38" i="6" s="1"/>
  <c r="AR37" i="6" s="1"/>
  <c r="DL48" i="6"/>
  <c r="HQ47" i="6"/>
  <c r="AG64" i="6"/>
  <c r="AG39" i="6"/>
  <c r="AG38" i="6" s="1"/>
  <c r="LA64" i="6"/>
  <c r="LA39" i="6"/>
  <c r="OF64" i="6"/>
  <c r="OF48" i="6"/>
  <c r="OF38" i="6" s="1"/>
  <c r="OE38" i="6" s="1"/>
  <c r="IW92" i="6"/>
  <c r="KO92" i="6"/>
  <c r="PH92" i="6"/>
  <c r="JI83" i="6"/>
  <c r="GS85" i="6"/>
  <c r="GS88" i="6" s="1"/>
  <c r="GS89" i="6" s="1"/>
  <c r="AO139" i="6"/>
  <c r="AO146" i="6" s="1"/>
  <c r="LM139" i="6"/>
  <c r="OR139" i="6"/>
  <c r="HS124" i="6"/>
  <c r="HS125" i="6" s="1"/>
  <c r="OT139" i="6"/>
  <c r="OT146" i="6" s="1"/>
  <c r="BY139" i="6"/>
  <c r="EZ139" i="6"/>
  <c r="HE139" i="6"/>
  <c r="DZ143" i="6"/>
  <c r="IM37" i="6"/>
  <c r="MA37" i="6"/>
  <c r="MR38" i="6"/>
  <c r="MQ38" i="6" s="1"/>
  <c r="MQ37" i="6" s="1"/>
  <c r="G51" i="6"/>
  <c r="AU51" i="6"/>
  <c r="CI51" i="6"/>
  <c r="DX51" i="6"/>
  <c r="FL51" i="6"/>
  <c r="HA51" i="6"/>
  <c r="KE51" i="6"/>
  <c r="LS51" i="6"/>
  <c r="NH51" i="6"/>
  <c r="QM51" i="6"/>
  <c r="U92" i="6"/>
  <c r="EP80" i="6"/>
  <c r="HU92" i="6"/>
  <c r="GI83" i="6"/>
  <c r="QQ83" i="6"/>
  <c r="EB143" i="6"/>
  <c r="ED15" i="6"/>
  <c r="MX13" i="6"/>
  <c r="MX15" i="6" s="1"/>
  <c r="MX17" i="6" s="1"/>
  <c r="MX18" i="6" s="1"/>
  <c r="MX26" i="6" s="1"/>
  <c r="OL13" i="6"/>
  <c r="DJ31" i="6"/>
  <c r="IO36" i="6"/>
  <c r="GC43" i="6"/>
  <c r="MT38" i="6"/>
  <c r="MS38" i="6" s="1"/>
  <c r="MS37" i="6" s="1"/>
  <c r="I51" i="6"/>
  <c r="AW51" i="6"/>
  <c r="DZ51" i="6"/>
  <c r="FN51" i="6"/>
  <c r="IQ51" i="6"/>
  <c r="LU51" i="6"/>
  <c r="NJ51" i="6"/>
  <c r="QO51" i="6"/>
  <c r="Q53" i="6"/>
  <c r="BE53" i="6"/>
  <c r="CS53" i="6"/>
  <c r="EH53" i="6"/>
  <c r="FW53" i="6"/>
  <c r="HK53" i="6"/>
  <c r="IY53" i="6"/>
  <c r="KO53" i="6"/>
  <c r="MC53" i="6"/>
  <c r="NR53" i="6"/>
  <c r="PF53" i="6"/>
  <c r="NL61" i="6"/>
  <c r="NL59" i="6" s="1"/>
  <c r="QQ61" i="6"/>
  <c r="QQ59" i="6" s="1"/>
  <c r="ER80" i="6"/>
  <c r="MV83" i="6"/>
  <c r="HQ139" i="6"/>
  <c r="ED143" i="6"/>
  <c r="BY37" i="6"/>
  <c r="IQ36" i="6"/>
  <c r="ME37" i="6"/>
  <c r="K51" i="6"/>
  <c r="AY51" i="6"/>
  <c r="CM51" i="6"/>
  <c r="FP51" i="6"/>
  <c r="HE51" i="6"/>
  <c r="IS51" i="6"/>
  <c r="KI51" i="6"/>
  <c r="LW51" i="6"/>
  <c r="NL51" i="6"/>
  <c r="S53" i="6"/>
  <c r="BG53" i="6"/>
  <c r="CV53" i="6"/>
  <c r="EJ53" i="6"/>
  <c r="HM53" i="6"/>
  <c r="JB53" i="6"/>
  <c r="KQ53" i="6"/>
  <c r="NT53" i="6"/>
  <c r="PH53" i="6"/>
  <c r="AS88" i="6"/>
  <c r="AS89" i="6" s="1"/>
  <c r="Y92" i="6"/>
  <c r="GI92" i="6"/>
  <c r="HY80" i="6"/>
  <c r="MT92" i="6"/>
  <c r="BC124" i="6"/>
  <c r="BC125" i="6" s="1"/>
  <c r="BC140" i="6"/>
  <c r="BC147" i="6" s="1"/>
  <c r="DM37" i="6"/>
  <c r="EU36" i="6"/>
  <c r="BK47" i="6"/>
  <c r="M51" i="6"/>
  <c r="BA51" i="6"/>
  <c r="CO51" i="6"/>
  <c r="ED51" i="6"/>
  <c r="FS51" i="6"/>
  <c r="HG51" i="6"/>
  <c r="IU51" i="6"/>
  <c r="KK51" i="6"/>
  <c r="LY51" i="6"/>
  <c r="NN51" i="6"/>
  <c r="PB51" i="6"/>
  <c r="U53" i="6"/>
  <c r="BI53" i="6"/>
  <c r="CX53" i="6"/>
  <c r="EL53" i="6"/>
  <c r="GA53" i="6"/>
  <c r="HO53" i="6"/>
  <c r="JD53" i="6"/>
  <c r="KS53" i="6"/>
  <c r="MG53" i="6"/>
  <c r="NV53" i="6"/>
  <c r="AA92" i="6"/>
  <c r="BQ92" i="6"/>
  <c r="GK92" i="6"/>
  <c r="IY83" i="6"/>
  <c r="IS143" i="6"/>
  <c r="DN31" i="6"/>
  <c r="DN37" i="6" s="1"/>
  <c r="IU36" i="6"/>
  <c r="JQ43" i="6"/>
  <c r="O51" i="6"/>
  <c r="BC51" i="6"/>
  <c r="CQ51" i="6"/>
  <c r="EF51" i="6"/>
  <c r="FU51" i="6"/>
  <c r="HI51" i="6"/>
  <c r="IW51" i="6"/>
  <c r="KM51" i="6"/>
  <c r="MA51" i="6"/>
  <c r="NP51" i="6"/>
  <c r="PD51" i="6"/>
  <c r="AC92" i="6"/>
  <c r="BS92" i="6"/>
  <c r="IC92" i="6"/>
  <c r="LI92" i="6"/>
  <c r="MX80" i="6"/>
  <c r="QO92" i="6"/>
  <c r="JB83" i="6"/>
  <c r="BW123" i="6"/>
  <c r="ND143" i="6"/>
  <c r="OH13" i="6"/>
  <c r="EJ13" i="6"/>
  <c r="HG13" i="6"/>
  <c r="QM36" i="6"/>
  <c r="BU38" i="6"/>
  <c r="BT38" i="6" s="1"/>
  <c r="Q51" i="6"/>
  <c r="BE51" i="6"/>
  <c r="CS51" i="6"/>
  <c r="EH51" i="6"/>
  <c r="FW51" i="6"/>
  <c r="HK51" i="6"/>
  <c r="IY51" i="6"/>
  <c r="KO51" i="6"/>
  <c r="MC51" i="6"/>
  <c r="NR51" i="6"/>
  <c r="PF51" i="6"/>
  <c r="DB53" i="6"/>
  <c r="GE53" i="6"/>
  <c r="HS53" i="6"/>
  <c r="JI53" i="6"/>
  <c r="KW53" i="6"/>
  <c r="QC70" i="6"/>
  <c r="AE92" i="6"/>
  <c r="BU92" i="6"/>
  <c r="GO92" i="6"/>
  <c r="GO93" i="6" s="1"/>
  <c r="JU92" i="6"/>
  <c r="OP92" i="6"/>
  <c r="EN124" i="6"/>
  <c r="EN125" i="6" s="1"/>
  <c r="G123" i="6"/>
  <c r="G124" i="6" s="1"/>
  <c r="G125" i="6" s="1"/>
  <c r="G128" i="6" s="1"/>
  <c r="G129" i="6" s="1"/>
  <c r="KE139" i="6"/>
  <c r="NF143" i="6"/>
  <c r="LA139" i="6"/>
  <c r="OB143" i="6"/>
  <c r="AK139" i="6"/>
  <c r="AK146" i="6" s="1"/>
  <c r="IS84" i="6"/>
  <c r="IS85" i="6"/>
  <c r="IR85" i="6" s="1"/>
  <c r="OX139" i="6"/>
  <c r="OX146" i="6" s="1"/>
  <c r="OX143" i="6"/>
  <c r="EY39" i="6"/>
  <c r="CN37" i="6"/>
  <c r="CN35" i="6" s="1"/>
  <c r="CN36" i="6"/>
  <c r="FJ64" i="6"/>
  <c r="FJ39" i="6"/>
  <c r="FJ48" i="6"/>
  <c r="NF64" i="6"/>
  <c r="NF48" i="6"/>
  <c r="NF39" i="6"/>
  <c r="KI79" i="6"/>
  <c r="KY78" i="6"/>
  <c r="KY79" i="6" s="1"/>
  <c r="HC64" i="6"/>
  <c r="HC39" i="6"/>
  <c r="HC48" i="6"/>
  <c r="HC47" i="6" s="1"/>
  <c r="OX64" i="6"/>
  <c r="OX48" i="6"/>
  <c r="OX47" i="6" s="1"/>
  <c r="OX39" i="6"/>
  <c r="OW39" i="6" s="1"/>
  <c r="HE64" i="6"/>
  <c r="HE53" i="6"/>
  <c r="HE39" i="6"/>
  <c r="HE48" i="6"/>
  <c r="HE47" i="6" s="1"/>
  <c r="OZ64" i="6"/>
  <c r="OZ48" i="6"/>
  <c r="OZ47" i="6" s="1"/>
  <c r="OZ39" i="6"/>
  <c r="OZ51" i="6"/>
  <c r="IL34" i="6"/>
  <c r="IM35" i="6"/>
  <c r="IM34" i="6" s="1"/>
  <c r="OZ53" i="6"/>
  <c r="IU35" i="6"/>
  <c r="IU34" i="6" s="1"/>
  <c r="IT34" i="6"/>
  <c r="PA37" i="6"/>
  <c r="PA36" i="6"/>
  <c r="PC37" i="6"/>
  <c r="PC35" i="6" s="1"/>
  <c r="PC34" i="6" s="1"/>
  <c r="PC36" i="6"/>
  <c r="EP64" i="6"/>
  <c r="EP53" i="6"/>
  <c r="EP39" i="6"/>
  <c r="EO39" i="6" s="1"/>
  <c r="ML64" i="6"/>
  <c r="ML39" i="6"/>
  <c r="MK39" i="6" s="1"/>
  <c r="MK36" i="6" s="1"/>
  <c r="GE88" i="6"/>
  <c r="GE89" i="6" s="1"/>
  <c r="GE83" i="6"/>
  <c r="GE99" i="6" s="1"/>
  <c r="GF39" i="6"/>
  <c r="GF36" i="6" s="1"/>
  <c r="GG43" i="6"/>
  <c r="GG42" i="6"/>
  <c r="JJ39" i="6"/>
  <c r="JJ36" i="6" s="1"/>
  <c r="JK42" i="6"/>
  <c r="ML53" i="6"/>
  <c r="CP37" i="6"/>
  <c r="CP36" i="6"/>
  <c r="KS13" i="6"/>
  <c r="OD13" i="6"/>
  <c r="PH13" i="6"/>
  <c r="GK14" i="6"/>
  <c r="CH15" i="6"/>
  <c r="JJ15" i="6"/>
  <c r="JJ44" i="6" s="1"/>
  <c r="QO15" i="6"/>
  <c r="CQ37" i="6"/>
  <c r="JA39" i="6"/>
  <c r="JA36" i="6" s="1"/>
  <c r="KG39" i="6"/>
  <c r="KF39" i="6" s="1"/>
  <c r="KF36" i="6" s="1"/>
  <c r="MS39" i="6"/>
  <c r="MS36" i="6" s="1"/>
  <c r="H42" i="6"/>
  <c r="LG47" i="6"/>
  <c r="PU58" i="6"/>
  <c r="AS70" i="6"/>
  <c r="AO71" i="6"/>
  <c r="JU80" i="6"/>
  <c r="CJ85" i="6"/>
  <c r="KI85" i="6"/>
  <c r="KH85" i="6" s="1"/>
  <c r="PA85" i="6"/>
  <c r="GI88" i="6"/>
  <c r="GI89" i="6" s="1"/>
  <c r="IM99" i="6"/>
  <c r="KU13" i="6"/>
  <c r="KU15" i="6" s="1"/>
  <c r="ND13" i="6"/>
  <c r="ND15" i="6" s="1"/>
  <c r="ND17" i="6" s="1"/>
  <c r="ND18" i="6" s="1"/>
  <c r="HM14" i="6"/>
  <c r="DC15" i="6"/>
  <c r="FB31" i="6"/>
  <c r="FO39" i="6"/>
  <c r="ID39" i="6"/>
  <c r="ID36" i="6" s="1"/>
  <c r="LV39" i="6"/>
  <c r="LV36" i="6" s="1"/>
  <c r="MV39" i="6"/>
  <c r="BW47" i="6"/>
  <c r="GK71" i="6"/>
  <c r="LM71" i="6"/>
  <c r="PS80" i="6"/>
  <c r="HO88" i="6"/>
  <c r="HO89" i="6" s="1"/>
  <c r="PD88" i="6"/>
  <c r="PD89" i="6" s="1"/>
  <c r="JI99" i="6"/>
  <c r="GM124" i="6"/>
  <c r="GM125" i="6" s="1"/>
  <c r="CE123" i="6"/>
  <c r="LU123" i="6"/>
  <c r="LU124" i="6" s="1"/>
  <c r="LU125" i="6" s="1"/>
  <c r="LU151" i="6" s="1"/>
  <c r="NP143" i="6"/>
  <c r="FY13" i="6"/>
  <c r="KW13" i="6"/>
  <c r="DE15" i="6"/>
  <c r="CO30" i="6"/>
  <c r="CO77" i="6" s="1"/>
  <c r="CO78" i="6" s="1"/>
  <c r="CO79" i="6" s="1"/>
  <c r="EB31" i="6"/>
  <c r="JG42" i="6"/>
  <c r="QM59" i="6"/>
  <c r="KW78" i="6"/>
  <c r="KW79" i="6" s="1"/>
  <c r="PG85" i="6"/>
  <c r="PS88" i="6"/>
  <c r="PS89" i="6" s="1"/>
  <c r="MG99" i="6"/>
  <c r="GO124" i="6"/>
  <c r="GO125" i="6" s="1"/>
  <c r="NF124" i="6"/>
  <c r="NF125" i="6" s="1"/>
  <c r="CK123" i="6"/>
  <c r="OF123" i="6"/>
  <c r="OF124" i="6" s="1"/>
  <c r="OF125" i="6" s="1"/>
  <c r="EL143" i="6"/>
  <c r="KY13" i="6"/>
  <c r="KX15" i="6"/>
  <c r="Q15" i="6"/>
  <c r="Q17" i="6" s="1"/>
  <c r="Q18" i="6" s="1"/>
  <c r="Q27" i="6" s="1"/>
  <c r="BE15" i="6"/>
  <c r="BE17" i="6" s="1"/>
  <c r="BE18" i="6" s="1"/>
  <c r="BE26" i="6" s="1"/>
  <c r="CS15" i="6"/>
  <c r="CS17" i="6" s="1"/>
  <c r="CS18" i="6" s="1"/>
  <c r="EH15" i="6"/>
  <c r="FW15" i="6"/>
  <c r="HK15" i="6"/>
  <c r="IY15" i="6"/>
  <c r="KO15" i="6"/>
  <c r="MC15" i="6"/>
  <c r="MC17" i="6" s="1"/>
  <c r="MC18" i="6" s="1"/>
  <c r="NR15" i="6"/>
  <c r="PF15" i="6"/>
  <c r="EC37" i="6"/>
  <c r="PB36" i="6"/>
  <c r="BX39" i="6"/>
  <c r="JG47" i="6"/>
  <c r="NX47" i="6"/>
  <c r="ME53" i="6"/>
  <c r="BS71" i="6"/>
  <c r="HW78" i="6"/>
  <c r="HW79" i="6" s="1"/>
  <c r="IG88" i="6"/>
  <c r="IG89" i="6" s="1"/>
  <c r="PW88" i="6"/>
  <c r="PW89" i="6" s="1"/>
  <c r="LC96" i="6"/>
  <c r="LC85" i="6" s="1"/>
  <c r="NB99" i="6"/>
  <c r="LY123" i="6"/>
  <c r="OH123" i="6"/>
  <c r="OH124" i="6" s="1"/>
  <c r="OH125" i="6" s="1"/>
  <c r="OH151" i="6" s="1"/>
  <c r="GQ139" i="6"/>
  <c r="GQ146" i="6" s="1"/>
  <c r="KO139" i="6"/>
  <c r="KO146" i="6" s="1"/>
  <c r="QG139" i="6"/>
  <c r="QG146" i="6" s="1"/>
  <c r="QQ17" i="6"/>
  <c r="QQ18" i="6" s="1"/>
  <c r="DW17" i="6"/>
  <c r="DW18" i="6" s="1"/>
  <c r="LA13" i="6"/>
  <c r="ME13" i="6"/>
  <c r="NJ13" i="6"/>
  <c r="DY15" i="6"/>
  <c r="KZ15" i="6"/>
  <c r="S15" i="6"/>
  <c r="BG15" i="6"/>
  <c r="CV15" i="6"/>
  <c r="CV17" i="6" s="1"/>
  <c r="CV18" i="6" s="1"/>
  <c r="EJ15" i="6"/>
  <c r="EJ17" i="6" s="1"/>
  <c r="EJ18" i="6" s="1"/>
  <c r="EJ27" i="6" s="1"/>
  <c r="FY15" i="6"/>
  <c r="HM15" i="6"/>
  <c r="HM17" i="6" s="1"/>
  <c r="HM18" i="6" s="1"/>
  <c r="HM26" i="6" s="1"/>
  <c r="KQ15" i="6"/>
  <c r="PH15" i="6"/>
  <c r="ED31" i="6"/>
  <c r="ED37" i="6" s="1"/>
  <c r="AI38" i="6"/>
  <c r="LG38" i="6"/>
  <c r="FS43" i="6"/>
  <c r="JQ42" i="6"/>
  <c r="EZ64" i="6"/>
  <c r="BU71" i="6"/>
  <c r="II78" i="6"/>
  <c r="II79" i="6" s="1"/>
  <c r="O83" i="6"/>
  <c r="MF85" i="6"/>
  <c r="IM88" i="6"/>
  <c r="IM89" i="6" s="1"/>
  <c r="ND99" i="6"/>
  <c r="LQ124" i="6"/>
  <c r="LQ125" i="6" s="1"/>
  <c r="LQ151" i="6" s="1"/>
  <c r="GW124" i="6"/>
  <c r="GW125" i="6" s="1"/>
  <c r="MA123" i="6"/>
  <c r="MA124" i="6" s="1"/>
  <c r="MA125" i="6" s="1"/>
  <c r="OJ123" i="6"/>
  <c r="OJ124" i="6" s="1"/>
  <c r="OJ125" i="6" s="1"/>
  <c r="OJ151" i="6" s="1"/>
  <c r="KW139" i="6"/>
  <c r="PH30" i="6"/>
  <c r="PH77" i="6" s="1"/>
  <c r="PH78" i="6" s="1"/>
  <c r="PH79" i="6" s="1"/>
  <c r="OJ38" i="6"/>
  <c r="EU39" i="6"/>
  <c r="GE43" i="6"/>
  <c r="CK48" i="6"/>
  <c r="CK47" i="6" s="1"/>
  <c r="LY47" i="6"/>
  <c r="FJ51" i="6"/>
  <c r="NF51" i="6"/>
  <c r="PL53" i="6"/>
  <c r="CC71" i="6"/>
  <c r="IK78" i="6"/>
  <c r="IK79" i="6" s="1"/>
  <c r="JA85" i="6"/>
  <c r="JB88" i="6"/>
  <c r="JB89" i="6" s="1"/>
  <c r="ML123" i="6"/>
  <c r="ML124" i="6" s="1"/>
  <c r="ML125" i="6" s="1"/>
  <c r="OP123" i="6"/>
  <c r="OP124" i="6" s="1"/>
  <c r="OP125" i="6" s="1"/>
  <c r="OP151" i="6" s="1"/>
  <c r="NL13" i="6"/>
  <c r="NL15" i="6" s="1"/>
  <c r="KQ14" i="6"/>
  <c r="NX14" i="6"/>
  <c r="EQ15" i="6"/>
  <c r="FS38" i="6"/>
  <c r="FR38" i="6" s="1"/>
  <c r="FR37" i="6" s="1"/>
  <c r="HG47" i="6"/>
  <c r="JS47" i="6"/>
  <c r="MA47" i="6"/>
  <c r="MV53" i="6"/>
  <c r="FD51" i="6"/>
  <c r="CE71" i="6"/>
  <c r="HK71" i="6"/>
  <c r="MT71" i="6"/>
  <c r="IM78" i="6"/>
  <c r="IM79" i="6" s="1"/>
  <c r="BJ85" i="6"/>
  <c r="OC85" i="6"/>
  <c r="JI88" i="6"/>
  <c r="JI89" i="6" s="1"/>
  <c r="OJ99" i="6"/>
  <c r="OJ101" i="6" s="1"/>
  <c r="BW124" i="6"/>
  <c r="BW125" i="6" s="1"/>
  <c r="BW151" i="6" s="1"/>
  <c r="HA124" i="6"/>
  <c r="HA125" i="6" s="1"/>
  <c r="BU139" i="6"/>
  <c r="LC139" i="6"/>
  <c r="LC146" i="6" s="1"/>
  <c r="EB13" i="6"/>
  <c r="EB15" i="6" s="1"/>
  <c r="MJ13" i="6"/>
  <c r="MJ15" i="6" s="1"/>
  <c r="ES15" i="6"/>
  <c r="MM15" i="6"/>
  <c r="LS36" i="6"/>
  <c r="FX39" i="6"/>
  <c r="FX36" i="6" s="1"/>
  <c r="JM43" i="6"/>
  <c r="AI47" i="6"/>
  <c r="CO47" i="6"/>
  <c r="OJ47" i="6"/>
  <c r="CK51" i="6"/>
  <c r="HC51" i="6"/>
  <c r="KG51" i="6"/>
  <c r="OX51" i="6"/>
  <c r="CG71" i="6"/>
  <c r="HY71" i="6"/>
  <c r="NB71" i="6"/>
  <c r="IU78" i="6"/>
  <c r="IU79" i="6" s="1"/>
  <c r="HW85" i="6"/>
  <c r="HW83" i="6" s="1"/>
  <c r="KX85" i="6"/>
  <c r="CM85" i="6"/>
  <c r="PJ83" i="6"/>
  <c r="OL99" i="6"/>
  <c r="PB123" i="6"/>
  <c r="PB124" i="6" s="1"/>
  <c r="PB125" i="6" s="1"/>
  <c r="BW139" i="6"/>
  <c r="HK139" i="6"/>
  <c r="HK146" i="6" s="1"/>
  <c r="HC143" i="6"/>
  <c r="MO15" i="6"/>
  <c r="DL38" i="6"/>
  <c r="DK38" i="6" s="1"/>
  <c r="DK37" i="6" s="1"/>
  <c r="IW38" i="6"/>
  <c r="IV38" i="6" s="1"/>
  <c r="IV37" i="6" s="1"/>
  <c r="IV35" i="6" s="1"/>
  <c r="PZ39" i="6"/>
  <c r="PZ36" i="6" s="1"/>
  <c r="F42" i="6"/>
  <c r="EZ48" i="6"/>
  <c r="EZ47" i="6" s="1"/>
  <c r="HS51" i="6"/>
  <c r="CS71" i="6"/>
  <c r="ND71" i="6"/>
  <c r="CK83" i="6"/>
  <c r="KY88" i="6"/>
  <c r="KY89" i="6" s="1"/>
  <c r="OT92" i="6"/>
  <c r="QG99" i="6"/>
  <c r="CA124" i="6"/>
  <c r="CA125" i="6" s="1"/>
  <c r="NB124" i="6"/>
  <c r="NB125" i="6" s="1"/>
  <c r="PD123" i="6"/>
  <c r="PD124" i="6" s="1"/>
  <c r="PD125" i="6" s="1"/>
  <c r="KC13" i="6"/>
  <c r="FK15" i="6"/>
  <c r="NG15" i="6"/>
  <c r="NG17" i="6" s="1"/>
  <c r="NG18" i="6" s="1"/>
  <c r="R39" i="6"/>
  <c r="R36" i="6" s="1"/>
  <c r="CF39" i="6"/>
  <c r="EB38" i="6"/>
  <c r="EA38" i="6" s="1"/>
  <c r="EA37" i="6" s="1"/>
  <c r="AE47" i="6"/>
  <c r="BS47" i="6"/>
  <c r="DH47" i="6"/>
  <c r="EV47" i="6"/>
  <c r="GK47" i="6"/>
  <c r="HY47" i="6"/>
  <c r="LC47" i="6"/>
  <c r="MR47" i="6"/>
  <c r="OF47" i="6"/>
  <c r="OF53" i="6"/>
  <c r="GI47" i="6"/>
  <c r="GE92" i="6"/>
  <c r="BT85" i="6"/>
  <c r="LF85" i="6"/>
  <c r="OH85" i="6"/>
  <c r="OG85" i="6" s="1"/>
  <c r="PV85" i="6"/>
  <c r="O88" i="6"/>
  <c r="O89" i="6" s="1"/>
  <c r="CA139" i="6"/>
  <c r="CA146" i="6" s="1"/>
  <c r="KE13" i="6"/>
  <c r="FM15" i="6"/>
  <c r="NI15" i="6"/>
  <c r="EM36" i="6"/>
  <c r="KG48" i="6"/>
  <c r="KG47" i="6" s="1"/>
  <c r="AG47" i="6"/>
  <c r="BU47" i="6"/>
  <c r="DJ47" i="6"/>
  <c r="EX47" i="6"/>
  <c r="GM47" i="6"/>
  <c r="IA47" i="6"/>
  <c r="JQ47" i="6"/>
  <c r="LE47" i="6"/>
  <c r="MT47" i="6"/>
  <c r="OH47" i="6"/>
  <c r="HW92" i="6"/>
  <c r="NR71" i="6"/>
  <c r="QM79" i="6"/>
  <c r="PL151" i="6"/>
  <c r="AS13" i="6"/>
  <c r="HW13" i="6"/>
  <c r="HW15" i="6" s="1"/>
  <c r="KG13" i="6"/>
  <c r="KG15" i="6" s="1"/>
  <c r="KG17" i="6" s="1"/>
  <c r="KG18" i="6" s="1"/>
  <c r="F15" i="6"/>
  <c r="F17" i="6" s="1"/>
  <c r="F18" i="6" s="1"/>
  <c r="GF15" i="6"/>
  <c r="GF44" i="6" s="1"/>
  <c r="EN31" i="6"/>
  <c r="GI109" i="6"/>
  <c r="IC139" i="6"/>
  <c r="IC146" i="6" s="1"/>
  <c r="AU13" i="6"/>
  <c r="CA13" i="6"/>
  <c r="JB13" i="6"/>
  <c r="OZ15" i="6"/>
  <c r="H15" i="6"/>
  <c r="GH15" i="6"/>
  <c r="GH44" i="6" s="1"/>
  <c r="OC15" i="6"/>
  <c r="CA30" i="6"/>
  <c r="CA77" i="6" s="1"/>
  <c r="CA78" i="6" s="1"/>
  <c r="CA79" i="6" s="1"/>
  <c r="IM36" i="6"/>
  <c r="IR39" i="6"/>
  <c r="IR36" i="6" s="1"/>
  <c r="KK47" i="6"/>
  <c r="GK53" i="6"/>
  <c r="JQ92" i="6"/>
  <c r="JQ93" i="6" s="1"/>
  <c r="IY71" i="6"/>
  <c r="QQ79" i="6"/>
  <c r="MN88" i="6"/>
  <c r="MN89" i="6" s="1"/>
  <c r="LG109" i="6"/>
  <c r="HU123" i="6"/>
  <c r="AA133" i="6"/>
  <c r="AA134" i="6" s="1"/>
  <c r="GE133" i="6"/>
  <c r="GE134" i="6" s="1"/>
  <c r="DL139" i="6"/>
  <c r="DL146" i="6" s="1"/>
  <c r="IE139" i="6"/>
  <c r="IE146" i="6" s="1"/>
  <c r="II143" i="6"/>
  <c r="AW13" i="6"/>
  <c r="CC13" i="6"/>
  <c r="DH13" i="6"/>
  <c r="DH15" i="6" s="1"/>
  <c r="NT13" i="6"/>
  <c r="AE14" i="6"/>
  <c r="Z15" i="6"/>
  <c r="OW15" i="6"/>
  <c r="OW17" i="6" s="1"/>
  <c r="OW18" i="6" s="1"/>
  <c r="AK15" i="6"/>
  <c r="AK17" i="6" s="1"/>
  <c r="AK18" i="6" s="1"/>
  <c r="BY15" i="6"/>
  <c r="BY17" i="6" s="1"/>
  <c r="BY18" i="6" s="1"/>
  <c r="DN15" i="6"/>
  <c r="DN17" i="6" s="1"/>
  <c r="DN18" i="6" s="1"/>
  <c r="FB15" i="6"/>
  <c r="FB17" i="6" s="1"/>
  <c r="FB18" i="6" s="1"/>
  <c r="FB26" i="6" s="1"/>
  <c r="IE15" i="6"/>
  <c r="JU15" i="6"/>
  <c r="LI15" i="6"/>
  <c r="OL15" i="6"/>
  <c r="QA15" i="6"/>
  <c r="PW37" i="6"/>
  <c r="PW40" i="6" s="1"/>
  <c r="GO38" i="6"/>
  <c r="CK39" i="6"/>
  <c r="CJ39" i="6" s="1"/>
  <c r="LI38" i="6"/>
  <c r="IC47" i="6"/>
  <c r="MV48" i="6"/>
  <c r="MV47" i="6" s="1"/>
  <c r="PB47" i="6"/>
  <c r="OP71" i="6"/>
  <c r="ND109" i="6"/>
  <c r="CK124" i="6"/>
  <c r="CK125" i="6" s="1"/>
  <c r="IC123" i="6"/>
  <c r="KS124" i="6"/>
  <c r="KS125" i="6" s="1"/>
  <c r="KS151" i="6" s="1"/>
  <c r="GU13" i="6"/>
  <c r="JF44" i="6"/>
  <c r="LR17" i="6"/>
  <c r="LR18" i="6" s="1"/>
  <c r="NV13" i="6"/>
  <c r="AB15" i="6"/>
  <c r="OY15" i="6"/>
  <c r="OY17" i="6" s="1"/>
  <c r="OY18" i="6" s="1"/>
  <c r="OY27" i="6" s="1"/>
  <c r="QC15" i="6"/>
  <c r="QC17" i="6" s="1"/>
  <c r="QC18" i="6" s="1"/>
  <c r="BA47" i="6"/>
  <c r="DL47" i="6"/>
  <c r="FS47" i="6"/>
  <c r="JQ71" i="6"/>
  <c r="OR71" i="6"/>
  <c r="AW83" i="6"/>
  <c r="CD85" i="6"/>
  <c r="QF85" i="6"/>
  <c r="GC86" i="6"/>
  <c r="GC85" i="6" s="1"/>
  <c r="MV88" i="6"/>
  <c r="MV89" i="6" s="1"/>
  <c r="NN124" i="6"/>
  <c r="NN125" i="6" s="1"/>
  <c r="NN151" i="6" s="1"/>
  <c r="AA129" i="6"/>
  <c r="DX139" i="6"/>
  <c r="DX146" i="6" s="1"/>
  <c r="NR139" i="6"/>
  <c r="FP13" i="6"/>
  <c r="FP15" i="6" s="1"/>
  <c r="GW13" i="6"/>
  <c r="JG13" i="6"/>
  <c r="JG15" i="6" s="1"/>
  <c r="LT17" i="6"/>
  <c r="LT18" i="6" s="1"/>
  <c r="LT27" i="6" s="1"/>
  <c r="AT15" i="6"/>
  <c r="HT15" i="6"/>
  <c r="HT17" i="6" s="1"/>
  <c r="HT18" i="6" s="1"/>
  <c r="LY37" i="6"/>
  <c r="M38" i="6"/>
  <c r="L38" i="6" s="1"/>
  <c r="L37" i="6" s="1"/>
  <c r="BW38" i="6"/>
  <c r="BV38" i="6" s="1"/>
  <c r="JS38" i="6"/>
  <c r="JR38" i="6" s="1"/>
  <c r="JR37" i="6" s="1"/>
  <c r="HS39" i="6"/>
  <c r="HR39" i="6" s="1"/>
  <c r="HR36" i="6" s="1"/>
  <c r="PW47" i="6"/>
  <c r="BC47" i="6"/>
  <c r="JY71" i="6"/>
  <c r="OS85" i="6"/>
  <c r="BC99" i="6"/>
  <c r="BC100" i="6" s="1"/>
  <c r="II123" i="6"/>
  <c r="II124" i="6" s="1"/>
  <c r="II125" i="6" s="1"/>
  <c r="II151" i="6" s="1"/>
  <c r="EL85" i="6"/>
  <c r="GY13" i="6"/>
  <c r="AV15" i="6"/>
  <c r="HV15" i="6"/>
  <c r="EV31" i="6"/>
  <c r="EV36" i="6" s="1"/>
  <c r="CN39" i="6"/>
  <c r="DM39" i="6"/>
  <c r="KU47" i="6"/>
  <c r="NF53" i="6"/>
  <c r="OT53" i="6"/>
  <c r="Q71" i="6"/>
  <c r="PO78" i="6"/>
  <c r="CI88" i="6"/>
  <c r="CI89" i="6" s="1"/>
  <c r="NN88" i="6"/>
  <c r="NN89" i="6" s="1"/>
  <c r="IO139" i="6"/>
  <c r="IO146" i="6" s="1"/>
  <c r="HA13" i="6"/>
  <c r="HA15" i="6" s="1"/>
  <c r="HA17" i="6" s="1"/>
  <c r="HA18" i="6" s="1"/>
  <c r="LW13" i="6"/>
  <c r="LW15" i="6" s="1"/>
  <c r="NZ13" i="6"/>
  <c r="BN15" i="6"/>
  <c r="BN17" i="6" s="1"/>
  <c r="BN18" i="6" s="1"/>
  <c r="IN15" i="6"/>
  <c r="PL48" i="6"/>
  <c r="PL47" i="6" s="1"/>
  <c r="DR70" i="6"/>
  <c r="DR71" i="6" s="1"/>
  <c r="AE71" i="6"/>
  <c r="IR77" i="6"/>
  <c r="FU88" i="6"/>
  <c r="FU89" i="6" s="1"/>
  <c r="FU99" i="6"/>
  <c r="HU124" i="6"/>
  <c r="HU125" i="6" s="1"/>
  <c r="IM123" i="6"/>
  <c r="IM124" i="6" s="1"/>
  <c r="IM125" i="6" s="1"/>
  <c r="IM151" i="6" s="1"/>
  <c r="BG17" i="6"/>
  <c r="BG18" i="6" s="1"/>
  <c r="BG26" i="6" s="1"/>
  <c r="OF13" i="6"/>
  <c r="OF15" i="6" s="1"/>
  <c r="OF17" i="6" s="1"/>
  <c r="OF18" i="6" s="1"/>
  <c r="HC13" i="6"/>
  <c r="OB13" i="6"/>
  <c r="OB15" i="6" s="1"/>
  <c r="OB17" i="6" s="1"/>
  <c r="OB18" i="6" s="1"/>
  <c r="BP15" i="6"/>
  <c r="BP17" i="6" s="1"/>
  <c r="BP18" i="6" s="1"/>
  <c r="IP15" i="6"/>
  <c r="CO37" i="6"/>
  <c r="EX31" i="6"/>
  <c r="G42" i="6"/>
  <c r="AW53" i="6"/>
  <c r="CK53" i="6"/>
  <c r="HC53" i="6"/>
  <c r="KG53" i="6"/>
  <c r="OX53" i="6"/>
  <c r="AG71" i="6"/>
  <c r="KO71" i="6"/>
  <c r="QG71" i="6"/>
  <c r="GO80" i="6"/>
  <c r="FW88" i="6"/>
  <c r="FW89" i="6" s="1"/>
  <c r="OD88" i="6"/>
  <c r="OD89" i="6" s="1"/>
  <c r="GO99" i="6"/>
  <c r="IQ123" i="6"/>
  <c r="IQ124" i="6" s="1"/>
  <c r="IQ125" i="6" s="1"/>
  <c r="IQ151" i="6" s="1"/>
  <c r="LE123" i="6"/>
  <c r="KU151" i="6"/>
  <c r="LO15" i="6"/>
  <c r="LO17" i="6" s="1"/>
  <c r="LO18" i="6" s="1"/>
  <c r="OH15" i="6"/>
  <c r="OH17" i="6" s="1"/>
  <c r="OH18" i="6" s="1"/>
  <c r="Y15" i="6"/>
  <c r="Y17" i="6" s="1"/>
  <c r="Y18" i="6" s="1"/>
  <c r="ET15" i="6"/>
  <c r="ET17" i="6" s="1"/>
  <c r="ET18" i="6" s="1"/>
  <c r="II15" i="6"/>
  <c r="II17" i="6" s="1"/>
  <c r="II18" i="6" s="1"/>
  <c r="KS15" i="6"/>
  <c r="KS17" i="6" s="1"/>
  <c r="KS18" i="6" s="1"/>
  <c r="OD15" i="6"/>
  <c r="OD17" i="6" s="1"/>
  <c r="OD18" i="6" s="1"/>
  <c r="AA15" i="6"/>
  <c r="AA17" i="6" s="1"/>
  <c r="AA18" i="6" s="1"/>
  <c r="PJ15" i="6"/>
  <c r="PJ17" i="6" s="1"/>
  <c r="PJ18" i="6" s="1"/>
  <c r="QQ26" i="6"/>
  <c r="QQ24" i="6"/>
  <c r="QQ27" i="6"/>
  <c r="AC15" i="6"/>
  <c r="AC17" i="6" s="1"/>
  <c r="AC18" i="6" s="1"/>
  <c r="IQ15" i="6"/>
  <c r="IQ17" i="6" s="1"/>
  <c r="IQ18" i="6" s="1"/>
  <c r="KY15" i="6"/>
  <c r="KY17" i="6" s="1"/>
  <c r="KY18" i="6" s="1"/>
  <c r="PN15" i="6"/>
  <c r="PN17" i="6" s="1"/>
  <c r="PN18" i="6" s="1"/>
  <c r="DW26" i="6"/>
  <c r="DW24" i="6"/>
  <c r="DW27" i="6"/>
  <c r="LA15" i="6"/>
  <c r="LA17" i="6" s="1"/>
  <c r="LA18" i="6" s="1"/>
  <c r="LA26" i="6" s="1"/>
  <c r="NJ15" i="6"/>
  <c r="NJ17" i="6" s="1"/>
  <c r="NJ18" i="6" s="1"/>
  <c r="PP15" i="6"/>
  <c r="PP17" i="6" s="1"/>
  <c r="PP18" i="6" s="1"/>
  <c r="DZ15" i="6"/>
  <c r="DZ17" i="6" s="1"/>
  <c r="DZ18" i="6" s="1"/>
  <c r="DZ26" i="6" s="1"/>
  <c r="GE15" i="6"/>
  <c r="GE17" i="6" s="1"/>
  <c r="GE18" i="6" s="1"/>
  <c r="MG15" i="6"/>
  <c r="MG17" i="6" s="1"/>
  <c r="MG18" i="6" s="1"/>
  <c r="PS15" i="6"/>
  <c r="PS17" i="6" s="1"/>
  <c r="PS18" i="6" s="1"/>
  <c r="GG15" i="6"/>
  <c r="GG17" i="6" s="1"/>
  <c r="GG18" i="6" s="1"/>
  <c r="I15" i="6"/>
  <c r="I17" i="6" s="1"/>
  <c r="I18" i="6" s="1"/>
  <c r="CX15" i="6"/>
  <c r="CX17" i="6" s="1"/>
  <c r="CX18" i="6" s="1"/>
  <c r="CX26" i="6" s="1"/>
  <c r="GI15" i="6"/>
  <c r="GI17" i="6" s="1"/>
  <c r="GI18" i="6" s="1"/>
  <c r="ML15" i="6"/>
  <c r="ML17" i="6" s="1"/>
  <c r="ML18" i="6" s="1"/>
  <c r="DB15" i="6"/>
  <c r="DB17" i="6" s="1"/>
  <c r="DB18" i="6" s="1"/>
  <c r="DB26" i="6" s="1"/>
  <c r="MN15" i="6"/>
  <c r="MN17" i="6" s="1"/>
  <c r="MN18" i="6" s="1"/>
  <c r="OV15" i="6"/>
  <c r="OV17" i="6"/>
  <c r="OV18" i="6" s="1"/>
  <c r="DD15" i="6"/>
  <c r="DD17" i="6" s="1"/>
  <c r="DD18" i="6" s="1"/>
  <c r="DD26" i="6" s="1"/>
  <c r="KE15" i="6"/>
  <c r="KE17" i="6" s="1"/>
  <c r="KE18" i="6" s="1"/>
  <c r="MP15" i="6"/>
  <c r="MP17" i="6" s="1"/>
  <c r="MP18" i="6" s="1"/>
  <c r="OX15" i="6"/>
  <c r="OX17" i="6" s="1"/>
  <c r="OX18" i="6" s="1"/>
  <c r="G15" i="6"/>
  <c r="G17" i="6" s="1"/>
  <c r="G18" i="6" s="1"/>
  <c r="G26" i="6" s="1"/>
  <c r="DF15" i="6"/>
  <c r="DF17" i="6" s="1"/>
  <c r="DF18" i="6" s="1"/>
  <c r="DF27" i="6" s="1"/>
  <c r="AW15" i="6"/>
  <c r="AW17" i="6" s="1"/>
  <c r="AW18" i="6" s="1"/>
  <c r="LE15" i="6"/>
  <c r="LE17" i="6" s="1"/>
  <c r="LE18" i="6" s="1"/>
  <c r="NV15" i="6"/>
  <c r="NV17" i="6" s="1"/>
  <c r="NV18" i="6" s="1"/>
  <c r="ON15" i="6"/>
  <c r="ON17" i="6" s="1"/>
  <c r="ON18" i="6" s="1"/>
  <c r="KW15" i="6"/>
  <c r="KW17" i="6"/>
  <c r="KW18" i="6" s="1"/>
  <c r="FL15" i="6"/>
  <c r="FL17" i="6" s="1"/>
  <c r="FL18" i="6" s="1"/>
  <c r="FL26" i="6" s="1"/>
  <c r="LC15" i="6"/>
  <c r="LC17" i="6" s="1"/>
  <c r="LC18" i="6" s="1"/>
  <c r="LC26" i="6" s="1"/>
  <c r="IA15" i="6"/>
  <c r="IA17" i="6" s="1"/>
  <c r="IA18" i="6" s="1"/>
  <c r="LR26" i="6"/>
  <c r="LR29" i="6"/>
  <c r="LR24" i="6"/>
  <c r="LR27" i="6"/>
  <c r="EL15" i="6"/>
  <c r="EL17" i="6" s="1"/>
  <c r="EL18" i="6" s="1"/>
  <c r="GW15" i="6"/>
  <c r="GW17" i="6" s="1"/>
  <c r="GW18" i="6" s="1"/>
  <c r="LT26" i="6"/>
  <c r="LT29" i="6"/>
  <c r="LT24" i="6"/>
  <c r="IO15" i="6"/>
  <c r="IO17" i="6" s="1"/>
  <c r="IO18" i="6" s="1"/>
  <c r="AU15" i="6"/>
  <c r="AU17" i="6" s="1"/>
  <c r="AU18" i="6" s="1"/>
  <c r="AU26" i="6" s="1"/>
  <c r="FN15" i="6"/>
  <c r="FN17" i="6" s="1"/>
  <c r="FN18" i="6" s="1"/>
  <c r="FN29" i="6" s="1"/>
  <c r="GU15" i="6"/>
  <c r="GU17" i="6" s="1"/>
  <c r="GU18" i="6" s="1"/>
  <c r="S17" i="6"/>
  <c r="S18" i="6" s="1"/>
  <c r="CI15" i="6"/>
  <c r="CI17" i="6" s="1"/>
  <c r="CI18" i="6" s="1"/>
  <c r="JI15" i="6"/>
  <c r="JI17" i="6" s="1"/>
  <c r="JI18" i="6" s="1"/>
  <c r="AE15" i="6"/>
  <c r="AE17" i="6" s="1"/>
  <c r="AE18" i="6" s="1"/>
  <c r="CC15" i="6"/>
  <c r="CC17" i="6" s="1"/>
  <c r="CC18" i="6" s="1"/>
  <c r="GK15" i="6"/>
  <c r="GK17" i="6" s="1"/>
  <c r="GK18" i="6" s="1"/>
  <c r="GK26" i="6" s="1"/>
  <c r="JW15" i="6"/>
  <c r="JW17" i="6" s="1"/>
  <c r="JW18" i="6" s="1"/>
  <c r="LK15" i="6"/>
  <c r="LK17" i="6" s="1"/>
  <c r="LK18" i="6" s="1"/>
  <c r="U15" i="6"/>
  <c r="U17" i="6" s="1"/>
  <c r="U18" i="6" s="1"/>
  <c r="CK15" i="6"/>
  <c r="CK17" i="6" s="1"/>
  <c r="CK18" i="6" s="1"/>
  <c r="EP15" i="6"/>
  <c r="EP17" i="6" s="1"/>
  <c r="EP18" i="6" s="1"/>
  <c r="JK15" i="6"/>
  <c r="JK17" i="6" s="1"/>
  <c r="JK18" i="6" s="1"/>
  <c r="JK24" i="6" s="1"/>
  <c r="NZ15" i="6"/>
  <c r="NZ17" i="6" s="1"/>
  <c r="NZ18" i="6" s="1"/>
  <c r="AS15" i="6"/>
  <c r="AS17" i="6" s="1"/>
  <c r="AS18" i="6" s="1"/>
  <c r="CG15" i="6"/>
  <c r="CG17" i="6" s="1"/>
  <c r="CG18" i="6" s="1"/>
  <c r="CG26" i="6" s="1"/>
  <c r="FJ15" i="6"/>
  <c r="FJ17" i="6" s="1"/>
  <c r="FJ18" i="6" s="1"/>
  <c r="GY15" i="6"/>
  <c r="GY17" i="6" s="1"/>
  <c r="GY18" i="6" s="1"/>
  <c r="IM15" i="6"/>
  <c r="IM17" i="6" s="1"/>
  <c r="IM18" i="6" s="1"/>
  <c r="KC15" i="6"/>
  <c r="KC17" i="6" s="1"/>
  <c r="KC18" i="6" s="1"/>
  <c r="QK15" i="6"/>
  <c r="QK17" i="6" s="1"/>
  <c r="QK18" i="6" s="1"/>
  <c r="HY15" i="6"/>
  <c r="HY17" i="6" s="1"/>
  <c r="HY18" i="6" s="1"/>
  <c r="HY26" i="6" s="1"/>
  <c r="CE15" i="6"/>
  <c r="CE17" i="6" s="1"/>
  <c r="CE18" i="6" s="1"/>
  <c r="ER15" i="6"/>
  <c r="ER17" i="6" s="1"/>
  <c r="ER18" i="6" s="1"/>
  <c r="HC15" i="6"/>
  <c r="HC17" i="6" s="1"/>
  <c r="HC18" i="6" s="1"/>
  <c r="JM15" i="6"/>
  <c r="JM17" i="6" s="1"/>
  <c r="JM18" i="6" s="1"/>
  <c r="KQ17" i="6"/>
  <c r="KQ18" i="6" s="1"/>
  <c r="QO17" i="6"/>
  <c r="QO18" i="6" s="1"/>
  <c r="QM15" i="6"/>
  <c r="QM17" i="6" s="1"/>
  <c r="QM18" i="6" s="1"/>
  <c r="KA31" i="6"/>
  <c r="KA28" i="6"/>
  <c r="GZ39" i="6"/>
  <c r="GZ36" i="6" s="1"/>
  <c r="HA31" i="6"/>
  <c r="HA28" i="6"/>
  <c r="W13" i="6"/>
  <c r="FH13" i="6"/>
  <c r="OR31" i="6"/>
  <c r="OR28" i="6"/>
  <c r="DZ140" i="6"/>
  <c r="DZ147" i="6" s="1"/>
  <c r="DZ109" i="6"/>
  <c r="DZ88" i="6"/>
  <c r="DZ89" i="6" s="1"/>
  <c r="DY85" i="6"/>
  <c r="DZ99" i="6"/>
  <c r="FN109" i="6"/>
  <c r="FN99" i="6"/>
  <c r="FN88" i="6"/>
  <c r="FN89" i="6" s="1"/>
  <c r="FM85" i="6"/>
  <c r="BQ31" i="6"/>
  <c r="BQ30" i="6"/>
  <c r="BQ28" i="6"/>
  <c r="HQ28" i="6"/>
  <c r="HQ31" i="6"/>
  <c r="HP38" i="6"/>
  <c r="HP37" i="6" s="1"/>
  <c r="KV39" i="6"/>
  <c r="KV36" i="6" s="1"/>
  <c r="KW31" i="6"/>
  <c r="KW28" i="6"/>
  <c r="NO38" i="6"/>
  <c r="NO37" i="6" s="1"/>
  <c r="NP31" i="6"/>
  <c r="NP28" i="6"/>
  <c r="PT13" i="6"/>
  <c r="GW14" i="6"/>
  <c r="KA14" i="6"/>
  <c r="LO14" i="6"/>
  <c r="ND14" i="6"/>
  <c r="OR14" i="6"/>
  <c r="AM15" i="6"/>
  <c r="AM17" i="6" s="1"/>
  <c r="AM18" i="6" s="1"/>
  <c r="CA15" i="6"/>
  <c r="CA17" i="6" s="1"/>
  <c r="CA18" i="6" s="1"/>
  <c r="DP15" i="6"/>
  <c r="DP17" i="6" s="1"/>
  <c r="DP18" i="6" s="1"/>
  <c r="FD15" i="6"/>
  <c r="FD17" i="6" s="1"/>
  <c r="FD18" i="6" s="1"/>
  <c r="IG15" i="6"/>
  <c r="IG17" i="6" s="1"/>
  <c r="IG18" i="6" s="1"/>
  <c r="PI15" i="6"/>
  <c r="QJ15" i="6"/>
  <c r="QJ17" i="6" s="1"/>
  <c r="QJ18" i="6" s="1"/>
  <c r="QF17" i="6"/>
  <c r="QF18" i="6" s="1"/>
  <c r="DD109" i="6"/>
  <c r="DD99" i="6"/>
  <c r="DD88" i="6"/>
  <c r="DD89" i="6" s="1"/>
  <c r="DC85" i="6"/>
  <c r="AX39" i="6"/>
  <c r="AX36" i="6" s="1"/>
  <c r="AY31" i="6"/>
  <c r="AY28" i="6"/>
  <c r="DL140" i="6"/>
  <c r="DL147" i="6" s="1"/>
  <c r="DL88" i="6"/>
  <c r="DL89" i="6" s="1"/>
  <c r="DL99" i="6"/>
  <c r="DL109" i="6"/>
  <c r="DL83" i="6"/>
  <c r="BK13" i="6"/>
  <c r="GC13" i="6"/>
  <c r="DN140" i="6"/>
  <c r="DN147" i="6" s="1"/>
  <c r="DN109" i="6"/>
  <c r="DN99" i="6"/>
  <c r="DN88" i="6"/>
  <c r="DN89" i="6" s="1"/>
  <c r="DN83" i="6"/>
  <c r="EB140" i="6"/>
  <c r="EB147" i="6" s="1"/>
  <c r="EB109" i="6"/>
  <c r="EB99" i="6"/>
  <c r="EA85" i="6"/>
  <c r="EB83" i="6"/>
  <c r="EB88" i="6"/>
  <c r="EB89" i="6" s="1"/>
  <c r="FP109" i="6"/>
  <c r="FP99" i="6"/>
  <c r="FO85" i="6"/>
  <c r="FP83" i="6"/>
  <c r="FP88" i="6"/>
  <c r="FP89" i="6" s="1"/>
  <c r="BR39" i="6"/>
  <c r="BS31" i="6"/>
  <c r="BS28" i="6"/>
  <c r="HX77" i="6"/>
  <c r="HT39" i="6"/>
  <c r="HT36" i="6" s="1"/>
  <c r="HU31" i="6"/>
  <c r="HU28" i="6"/>
  <c r="KX39" i="6"/>
  <c r="KX36" i="6" s="1"/>
  <c r="KY31" i="6"/>
  <c r="KY28" i="6"/>
  <c r="NQ39" i="6"/>
  <c r="NQ36" i="6" s="1"/>
  <c r="NR31" i="6"/>
  <c r="NR28" i="6"/>
  <c r="AY13" i="6"/>
  <c r="BS13" i="6"/>
  <c r="HE13" i="6"/>
  <c r="KI13" i="6"/>
  <c r="T15" i="6"/>
  <c r="AN15" i="6"/>
  <c r="AN17" i="6" s="1"/>
  <c r="AN18" i="6" s="1"/>
  <c r="BH15" i="6"/>
  <c r="BH17" i="6" s="1"/>
  <c r="BH18" i="6" s="1"/>
  <c r="CB15" i="6"/>
  <c r="CB17" i="6" s="1"/>
  <c r="CB18" i="6" s="1"/>
  <c r="CW15" i="6"/>
  <c r="CW17" i="6" s="1"/>
  <c r="CW18" i="6" s="1"/>
  <c r="DQ15" i="6"/>
  <c r="DQ17" i="6" s="1"/>
  <c r="DQ18" i="6" s="1"/>
  <c r="EK15" i="6"/>
  <c r="EK17" i="6" s="1"/>
  <c r="EK18" i="6" s="1"/>
  <c r="FE15" i="6"/>
  <c r="FE17" i="6" s="1"/>
  <c r="FE18" i="6" s="1"/>
  <c r="FZ15" i="6"/>
  <c r="FZ17" i="6" s="1"/>
  <c r="FZ18" i="6" s="1"/>
  <c r="GT15" i="6"/>
  <c r="GT17" i="6" s="1"/>
  <c r="GT18" i="6" s="1"/>
  <c r="HN15" i="6"/>
  <c r="HN17" i="6" s="1"/>
  <c r="HN18" i="6" s="1"/>
  <c r="IH15" i="6"/>
  <c r="JC15" i="6"/>
  <c r="JC17" i="6" s="1"/>
  <c r="JC18" i="6" s="1"/>
  <c r="JX15" i="6"/>
  <c r="JX17" i="6" s="1"/>
  <c r="JX18" i="6" s="1"/>
  <c r="KR15" i="6"/>
  <c r="KR17" i="6" s="1"/>
  <c r="KR18" i="6" s="1"/>
  <c r="LL15" i="6"/>
  <c r="LL17" i="6" s="1"/>
  <c r="LL18" i="6" s="1"/>
  <c r="MF15" i="6"/>
  <c r="MF17" i="6" s="1"/>
  <c r="MF18" i="6" s="1"/>
  <c r="NA15" i="6"/>
  <c r="NA17" i="6" s="1"/>
  <c r="NA18" i="6" s="1"/>
  <c r="NU15" i="6"/>
  <c r="OO15" i="6"/>
  <c r="OO17" i="6" s="1"/>
  <c r="OO18" i="6" s="1"/>
  <c r="T17" i="6"/>
  <c r="T18" i="6" s="1"/>
  <c r="BR17" i="6"/>
  <c r="BR18" i="6" s="1"/>
  <c r="DY17" i="6"/>
  <c r="DY18" i="6" s="1"/>
  <c r="GR17" i="6"/>
  <c r="GR18" i="6" s="1"/>
  <c r="HV17" i="6"/>
  <c r="HV18" i="6" s="1"/>
  <c r="KP17" i="6"/>
  <c r="KP18" i="6" s="1"/>
  <c r="LV17" i="6"/>
  <c r="LV18" i="6" s="1"/>
  <c r="NI17" i="6"/>
  <c r="NI18" i="6" s="1"/>
  <c r="CZ13" i="6"/>
  <c r="ED140" i="6"/>
  <c r="ED147" i="6" s="1"/>
  <c r="ED109" i="6"/>
  <c r="ED99" i="6"/>
  <c r="EC85" i="6"/>
  <c r="ED83" i="6"/>
  <c r="ED88" i="6"/>
  <c r="ED89" i="6" s="1"/>
  <c r="AD39" i="6"/>
  <c r="AD36" i="6" s="1"/>
  <c r="AE31" i="6"/>
  <c r="AE28" i="6"/>
  <c r="BT39" i="6"/>
  <c r="BU31" i="6"/>
  <c r="BU30" i="6"/>
  <c r="BU28" i="6"/>
  <c r="HW31" i="6"/>
  <c r="HW28" i="6"/>
  <c r="LA28" i="6"/>
  <c r="LA31" i="6"/>
  <c r="NS39" i="6"/>
  <c r="NS36" i="6" s="1"/>
  <c r="NT31" i="6"/>
  <c r="NT28" i="6"/>
  <c r="HA14" i="6"/>
  <c r="NH14" i="6"/>
  <c r="PM15" i="6"/>
  <c r="PM17" i="6" s="1"/>
  <c r="PM18" i="6" s="1"/>
  <c r="PM29" i="6" s="1"/>
  <c r="QL15" i="6"/>
  <c r="QL17" i="6" s="1"/>
  <c r="QL18" i="6" s="1"/>
  <c r="AT17" i="6"/>
  <c r="AT18" i="6" s="1"/>
  <c r="LW17" i="6"/>
  <c r="LW18" i="6" s="1"/>
  <c r="AQ13" i="6"/>
  <c r="HQ13" i="6"/>
  <c r="AF39" i="6"/>
  <c r="AF36" i="6" s="1"/>
  <c r="AG28" i="6"/>
  <c r="CB39" i="6"/>
  <c r="CC28" i="6"/>
  <c r="CC31" i="6"/>
  <c r="LB39" i="6"/>
  <c r="LB36" i="6" s="1"/>
  <c r="LC28" i="6"/>
  <c r="LC31" i="6"/>
  <c r="LC30" i="6"/>
  <c r="AG13" i="6"/>
  <c r="BA13" i="6"/>
  <c r="BU13" i="6"/>
  <c r="ED17" i="6"/>
  <c r="ED18" i="6" s="1"/>
  <c r="EX17" i="6"/>
  <c r="EX18" i="6" s="1"/>
  <c r="KK13" i="6"/>
  <c r="V15" i="6"/>
  <c r="V17" i="6" s="1"/>
  <c r="V18" i="6" s="1"/>
  <c r="AP15" i="6"/>
  <c r="AP17" i="6" s="1"/>
  <c r="AP18" i="6" s="1"/>
  <c r="BJ15" i="6"/>
  <c r="BJ17" i="6" s="1"/>
  <c r="BJ18" i="6" s="1"/>
  <c r="CD15" i="6"/>
  <c r="CD17" i="6" s="1"/>
  <c r="CD18" i="6" s="1"/>
  <c r="CY15" i="6"/>
  <c r="CY17" i="6" s="1"/>
  <c r="CY18" i="6" s="1"/>
  <c r="DS15" i="6"/>
  <c r="DS17" i="6" s="1"/>
  <c r="DS18" i="6" s="1"/>
  <c r="GV15" i="6"/>
  <c r="GV17" i="6" s="1"/>
  <c r="GV18" i="6" s="1"/>
  <c r="EA17" i="6"/>
  <c r="EA18" i="6" s="1"/>
  <c r="FK17" i="6"/>
  <c r="FK18" i="6" s="1"/>
  <c r="HX17" i="6"/>
  <c r="HX18" i="6" s="1"/>
  <c r="JJ17" i="6"/>
  <c r="JJ18" i="6" s="1"/>
  <c r="MD17" i="6"/>
  <c r="MD18" i="6" s="1"/>
  <c r="NK17" i="6"/>
  <c r="NK18" i="6" s="1"/>
  <c r="FW17" i="6"/>
  <c r="FW18" i="6" s="1"/>
  <c r="EZ140" i="6"/>
  <c r="EZ147" i="6" s="1"/>
  <c r="EZ109" i="6"/>
  <c r="EZ88" i="6"/>
  <c r="EZ89" i="6" s="1"/>
  <c r="EZ99" i="6"/>
  <c r="EY85" i="6"/>
  <c r="EZ83" i="6"/>
  <c r="IB77" i="6"/>
  <c r="HX39" i="6"/>
  <c r="HX36" i="6" s="1"/>
  <c r="HY28" i="6"/>
  <c r="HY31" i="6"/>
  <c r="AH38" i="6"/>
  <c r="AH37" i="6" s="1"/>
  <c r="AI28" i="6"/>
  <c r="ID77" i="6"/>
  <c r="HZ39" i="6"/>
  <c r="HZ36" i="6" s="1"/>
  <c r="IA28" i="6"/>
  <c r="IA31" i="6"/>
  <c r="NX31" i="6"/>
  <c r="NW38" i="6"/>
  <c r="NW37" i="6" s="1"/>
  <c r="NX28" i="6"/>
  <c r="PC17" i="6"/>
  <c r="PC18" i="6" s="1"/>
  <c r="AY14" i="6"/>
  <c r="OS15" i="6"/>
  <c r="OS17" i="6" s="1"/>
  <c r="OS18" i="6" s="1"/>
  <c r="PO15" i="6"/>
  <c r="QN15" i="6"/>
  <c r="AV17" i="6"/>
  <c r="AV18" i="6" s="1"/>
  <c r="EB17" i="6"/>
  <c r="EB18" i="6" s="1"/>
  <c r="NL17" i="6"/>
  <c r="NL18" i="6" s="1"/>
  <c r="LO31" i="6"/>
  <c r="LO30" i="6"/>
  <c r="LO28" i="6"/>
  <c r="EX109" i="6"/>
  <c r="EX99" i="6"/>
  <c r="EX88" i="6"/>
  <c r="EX89" i="6" s="1"/>
  <c r="EX83" i="6"/>
  <c r="EW85" i="6"/>
  <c r="MJ17" i="6"/>
  <c r="MJ18" i="6" s="1"/>
  <c r="MJ26" i="6" s="1"/>
  <c r="EF109" i="6"/>
  <c r="EF99" i="6"/>
  <c r="EE85" i="6"/>
  <c r="EF83" i="6"/>
  <c r="EF88" i="6"/>
  <c r="EF89" i="6" s="1"/>
  <c r="NV31" i="6"/>
  <c r="NV28" i="6"/>
  <c r="NU38" i="6"/>
  <c r="NU37" i="6" s="1"/>
  <c r="EH140" i="6"/>
  <c r="EH147" i="6" s="1"/>
  <c r="EH99" i="6"/>
  <c r="EH109" i="6"/>
  <c r="EG85" i="6"/>
  <c r="EH88" i="6"/>
  <c r="EH89" i="6" s="1"/>
  <c r="GJ39" i="6"/>
  <c r="GJ36" i="6" s="1"/>
  <c r="GK28" i="6"/>
  <c r="GK31" i="6"/>
  <c r="LD39" i="6"/>
  <c r="LD36" i="6" s="1"/>
  <c r="LE28" i="6"/>
  <c r="LE31" i="6"/>
  <c r="LE30" i="6"/>
  <c r="CV109" i="6"/>
  <c r="CV88" i="6"/>
  <c r="CV89" i="6" s="1"/>
  <c r="CV99" i="6"/>
  <c r="EJ99" i="6"/>
  <c r="EJ109" i="6"/>
  <c r="EJ88" i="6"/>
  <c r="EJ89" i="6" s="1"/>
  <c r="EI85" i="6"/>
  <c r="GL39" i="6"/>
  <c r="GL36" i="6" s="1"/>
  <c r="GM28" i="6"/>
  <c r="IB38" i="6"/>
  <c r="IB37" i="6" s="1"/>
  <c r="IB35" i="6" s="1"/>
  <c r="IC28" i="6"/>
  <c r="IC31" i="6"/>
  <c r="LF38" i="6"/>
  <c r="LF37" i="6" s="1"/>
  <c r="LG28" i="6"/>
  <c r="LG31" i="6"/>
  <c r="NY39" i="6"/>
  <c r="NY36" i="6" s="1"/>
  <c r="NZ31" i="6"/>
  <c r="NZ28" i="6"/>
  <c r="O13" i="6"/>
  <c r="AI13" i="6"/>
  <c r="BC13" i="6"/>
  <c r="BC15" i="6" s="1"/>
  <c r="BW13" i="6"/>
  <c r="CQ13" i="6"/>
  <c r="CQ15" i="6" s="1"/>
  <c r="DL13" i="6"/>
  <c r="EF13" i="6"/>
  <c r="EF15" i="6" s="1"/>
  <c r="EZ13" i="6"/>
  <c r="FU13" i="6"/>
  <c r="GO13" i="6"/>
  <c r="HI13" i="6"/>
  <c r="IC13" i="6"/>
  <c r="IW13" i="6"/>
  <c r="JS13" i="6"/>
  <c r="KM13" i="6"/>
  <c r="KM15" i="6" s="1"/>
  <c r="LG13" i="6"/>
  <c r="LG15" i="6" s="1"/>
  <c r="MA13" i="6"/>
  <c r="MA15" i="6" s="1"/>
  <c r="MV13" i="6"/>
  <c r="MV15" i="6" s="1"/>
  <c r="NP13" i="6"/>
  <c r="OJ13" i="6"/>
  <c r="OJ15" i="6" s="1"/>
  <c r="PD13" i="6"/>
  <c r="PY13" i="6"/>
  <c r="X15" i="6"/>
  <c r="X17" i="6" s="1"/>
  <c r="X18" i="6" s="1"/>
  <c r="AR15" i="6"/>
  <c r="AR17" i="6" s="1"/>
  <c r="AR18" i="6" s="1"/>
  <c r="BL15" i="6"/>
  <c r="BL17" i="6" s="1"/>
  <c r="BL18" i="6" s="1"/>
  <c r="CF15" i="6"/>
  <c r="DA15" i="6"/>
  <c r="DA17" i="6" s="1"/>
  <c r="DA18" i="6" s="1"/>
  <c r="DU15" i="6"/>
  <c r="DU17" i="6" s="1"/>
  <c r="DU18" i="6" s="1"/>
  <c r="EO15" i="6"/>
  <c r="EO17" i="6" s="1"/>
  <c r="EO18" i="6" s="1"/>
  <c r="FI15" i="6"/>
  <c r="FI17" i="6" s="1"/>
  <c r="FI18" i="6" s="1"/>
  <c r="GD15" i="6"/>
  <c r="GD17" i="6" s="1"/>
  <c r="GD18" i="6" s="1"/>
  <c r="GX15" i="6"/>
  <c r="GX17" i="6" s="1"/>
  <c r="GX18" i="6" s="1"/>
  <c r="HR15" i="6"/>
  <c r="HR17" i="6" s="1"/>
  <c r="HR18" i="6" s="1"/>
  <c r="IL15" i="6"/>
  <c r="IL17" i="6" s="1"/>
  <c r="IL18" i="6" s="1"/>
  <c r="JH15" i="6"/>
  <c r="JH17" i="6" s="1"/>
  <c r="JH18" i="6" s="1"/>
  <c r="KB15" i="6"/>
  <c r="KB17" i="6" s="1"/>
  <c r="KB18" i="6" s="1"/>
  <c r="KV15" i="6"/>
  <c r="KV17" i="6" s="1"/>
  <c r="KV18" i="6" s="1"/>
  <c r="LP15" i="6"/>
  <c r="LP17" i="6" s="1"/>
  <c r="LP18" i="6" s="1"/>
  <c r="MK15" i="6"/>
  <c r="MK17" i="6" s="1"/>
  <c r="MK18" i="6" s="1"/>
  <c r="NE15" i="6"/>
  <c r="NE17" i="6" s="1"/>
  <c r="NE18" i="6" s="1"/>
  <c r="NY15" i="6"/>
  <c r="NY17" i="6" s="1"/>
  <c r="NY18" i="6" s="1"/>
  <c r="BZ17" i="6"/>
  <c r="BZ18" i="6" s="1"/>
  <c r="EI17" i="6"/>
  <c r="EI18" i="6" s="1"/>
  <c r="FM17" i="6"/>
  <c r="FM18" i="6" s="1"/>
  <c r="IF17" i="6"/>
  <c r="IF18" i="6" s="1"/>
  <c r="JL17" i="6"/>
  <c r="JL18" i="6" s="1"/>
  <c r="NS17" i="6"/>
  <c r="NS18" i="6" s="1"/>
  <c r="QN17" i="6"/>
  <c r="QN18" i="6" s="1"/>
  <c r="ET109" i="6"/>
  <c r="ET99" i="6"/>
  <c r="ES85" i="6"/>
  <c r="ET88" i="6"/>
  <c r="ET89" i="6" s="1"/>
  <c r="KU17" i="6"/>
  <c r="KU18" i="6" s="1"/>
  <c r="CX109" i="6"/>
  <c r="CX88" i="6"/>
  <c r="CX89" i="6" s="1"/>
  <c r="CX99" i="6"/>
  <c r="CX83" i="6"/>
  <c r="EL109" i="6"/>
  <c r="EL99" i="6"/>
  <c r="EK85" i="6"/>
  <c r="EL88" i="6"/>
  <c r="EL89" i="6" s="1"/>
  <c r="EL83" i="6"/>
  <c r="AM28" i="6"/>
  <c r="AL39" i="6"/>
  <c r="AL36" i="6" s="1"/>
  <c r="AM30" i="6"/>
  <c r="GN38" i="6"/>
  <c r="GN37" i="6" s="1"/>
  <c r="GO28" i="6"/>
  <c r="JT39" i="6"/>
  <c r="JT36" i="6" s="1"/>
  <c r="JU28" i="6"/>
  <c r="JU31" i="6"/>
  <c r="LH39" i="6"/>
  <c r="LH36" i="6" s="1"/>
  <c r="LI28" i="6"/>
  <c r="LI31" i="6"/>
  <c r="LI30" i="6"/>
  <c r="OA39" i="6"/>
  <c r="OA36" i="6" s="1"/>
  <c r="OB31" i="6"/>
  <c r="OB28" i="6"/>
  <c r="PZ17" i="6"/>
  <c r="PZ18" i="6" s="1"/>
  <c r="NP14" i="6"/>
  <c r="OU15" i="6"/>
  <c r="OU17" i="6" s="1"/>
  <c r="OU18" i="6" s="1"/>
  <c r="PR15" i="6"/>
  <c r="PR17" i="6" s="1"/>
  <c r="PR18" i="6" s="1"/>
  <c r="QP15" i="6"/>
  <c r="QP17" i="6" s="1"/>
  <c r="QP18" i="6" s="1"/>
  <c r="QI15" i="6"/>
  <c r="AX17" i="6"/>
  <c r="AX18" i="6" s="1"/>
  <c r="DC17" i="6"/>
  <c r="DC18" i="6" s="1"/>
  <c r="KX17" i="6"/>
  <c r="KX18" i="6" s="1"/>
  <c r="OZ17" i="6"/>
  <c r="OZ18" i="6" s="1"/>
  <c r="GQ13" i="6"/>
  <c r="GQ15" i="6" s="1"/>
  <c r="HK17" i="6"/>
  <c r="HK18" i="6" s="1"/>
  <c r="IE17" i="6"/>
  <c r="IE18" i="6" s="1"/>
  <c r="IY17" i="6"/>
  <c r="IY18" i="6" s="1"/>
  <c r="JU17" i="6"/>
  <c r="JU18" i="6" s="1"/>
  <c r="KO17" i="6"/>
  <c r="KO18" i="6" s="1"/>
  <c r="LI17" i="6"/>
  <c r="LI18" i="6" s="1"/>
  <c r="NR17" i="6"/>
  <c r="NR18" i="6" s="1"/>
  <c r="OL17" i="6"/>
  <c r="OL18" i="6" s="1"/>
  <c r="PF17" i="6"/>
  <c r="PF18" i="6" s="1"/>
  <c r="PF24" i="6" s="1"/>
  <c r="PF22" i="6" s="1"/>
  <c r="PF21" i="6" s="1"/>
  <c r="QA17" i="6"/>
  <c r="QA18" i="6" s="1"/>
  <c r="GF43" i="6"/>
  <c r="GF42" i="6"/>
  <c r="Z17" i="6"/>
  <c r="Z18" i="6" s="1"/>
  <c r="FO17" i="6"/>
  <c r="FO18" i="6" s="1"/>
  <c r="GZ17" i="6"/>
  <c r="GZ18" i="6" s="1"/>
  <c r="IH17" i="6"/>
  <c r="IH18" i="6" s="1"/>
  <c r="JN17" i="6"/>
  <c r="JN18" i="6" s="1"/>
  <c r="NU17" i="6"/>
  <c r="NU18" i="6" s="1"/>
  <c r="PG17" i="6"/>
  <c r="PG18" i="6" s="1"/>
  <c r="AN39" i="6"/>
  <c r="AN36" i="6" s="1"/>
  <c r="AO28" i="6"/>
  <c r="DB99" i="6"/>
  <c r="DB109" i="6"/>
  <c r="DB83" i="6"/>
  <c r="DB88" i="6"/>
  <c r="DB89" i="6" s="1"/>
  <c r="EP109" i="6"/>
  <c r="EP99" i="6"/>
  <c r="EO85" i="6"/>
  <c r="EP88" i="6"/>
  <c r="EP89" i="6" s="1"/>
  <c r="EP83" i="6"/>
  <c r="AQ28" i="6"/>
  <c r="GR39" i="6"/>
  <c r="GR36" i="6" s="1"/>
  <c r="GS28" i="6"/>
  <c r="JY31" i="6"/>
  <c r="JY28" i="6"/>
  <c r="LM31" i="6"/>
  <c r="LM28" i="6"/>
  <c r="OE39" i="6"/>
  <c r="OF30" i="6"/>
  <c r="OF31" i="6"/>
  <c r="OF28" i="6"/>
  <c r="NT14" i="6"/>
  <c r="DE17" i="6"/>
  <c r="DE18" i="6" s="1"/>
  <c r="FP17" i="6"/>
  <c r="FP18" i="6" s="1"/>
  <c r="JO17" i="6"/>
  <c r="JO18" i="6" s="1"/>
  <c r="KZ17" i="6"/>
  <c r="KZ18" i="6" s="1"/>
  <c r="MM17" i="6"/>
  <c r="MM18" i="6" s="1"/>
  <c r="EN109" i="6"/>
  <c r="EN88" i="6"/>
  <c r="EN89" i="6" s="1"/>
  <c r="EN99" i="6"/>
  <c r="EM85" i="6"/>
  <c r="EN83" i="6"/>
  <c r="ER109" i="6"/>
  <c r="EQ85" i="6"/>
  <c r="ER99" i="6"/>
  <c r="ER88" i="6"/>
  <c r="ER89" i="6" s="1"/>
  <c r="OG39" i="6"/>
  <c r="OH31" i="6"/>
  <c r="OH28" i="6"/>
  <c r="GS13" i="6"/>
  <c r="MZ13" i="6"/>
  <c r="NV14" i="6"/>
  <c r="AB17" i="6"/>
  <c r="AB18" i="6" s="1"/>
  <c r="FX17" i="6"/>
  <c r="FX18" i="6" s="1"/>
  <c r="HB17" i="6"/>
  <c r="HB18" i="6" s="1"/>
  <c r="JV17" i="6"/>
  <c r="JV18" i="6" s="1"/>
  <c r="PI17" i="6"/>
  <c r="PI18" i="6" s="1"/>
  <c r="KB39" i="6"/>
  <c r="KB36" i="6" s="1"/>
  <c r="KB38" i="6"/>
  <c r="KB37" i="6" s="1"/>
  <c r="KC31" i="6"/>
  <c r="KC28" i="6"/>
  <c r="LP39" i="6"/>
  <c r="LP36" i="6" s="1"/>
  <c r="LP38" i="6"/>
  <c r="LP37" i="6" s="1"/>
  <c r="LQ31" i="6"/>
  <c r="LQ28" i="6"/>
  <c r="OI38" i="6"/>
  <c r="OJ31" i="6"/>
  <c r="OJ28" i="6"/>
  <c r="PV15" i="6"/>
  <c r="PV17" i="6" s="1"/>
  <c r="PV18" i="6" s="1"/>
  <c r="BF17" i="6"/>
  <c r="BF18" i="6" s="1"/>
  <c r="CF17" i="6"/>
  <c r="CF18" i="6" s="1"/>
  <c r="DG17" i="6"/>
  <c r="DG18" i="6" s="1"/>
  <c r="LB17" i="6"/>
  <c r="LB18" i="6" s="1"/>
  <c r="MO17" i="6"/>
  <c r="MO18" i="6" s="1"/>
  <c r="OA17" i="6"/>
  <c r="OA18" i="6" s="1"/>
  <c r="DH109" i="6"/>
  <c r="DH88" i="6"/>
  <c r="DH89" i="6" s="1"/>
  <c r="DH99" i="6"/>
  <c r="EV109" i="6"/>
  <c r="EV99" i="6"/>
  <c r="EU85" i="6"/>
  <c r="EV88" i="6"/>
  <c r="EV89" i="6" s="1"/>
  <c r="AW31" i="6"/>
  <c r="AW30" i="6"/>
  <c r="AW28" i="6"/>
  <c r="GX39" i="6"/>
  <c r="GX36" i="6" s="1"/>
  <c r="GY31" i="6"/>
  <c r="GY28" i="6"/>
  <c r="KD39" i="6"/>
  <c r="KD36" i="6" s="1"/>
  <c r="KE31" i="6"/>
  <c r="KE28" i="6"/>
  <c r="MW39" i="6"/>
  <c r="MW36" i="6" s="1"/>
  <c r="MX28" i="6"/>
  <c r="OK39" i="6"/>
  <c r="OL31" i="6"/>
  <c r="OL28" i="6"/>
  <c r="OL27" i="6" s="1"/>
  <c r="AO13" i="6"/>
  <c r="BI13" i="6"/>
  <c r="DR13" i="6"/>
  <c r="FF13" i="6"/>
  <c r="GA13" i="6"/>
  <c r="HO13" i="6"/>
  <c r="JD13" i="6"/>
  <c r="JY13" i="6"/>
  <c r="LM13" i="6"/>
  <c r="NB13" i="6"/>
  <c r="OP13" i="6"/>
  <c r="QG13" i="6"/>
  <c r="J15" i="6"/>
  <c r="J17" i="6" s="1"/>
  <c r="J18" i="6" s="1"/>
  <c r="AD15" i="6"/>
  <c r="AD17" i="6" s="1"/>
  <c r="AD18" i="6" s="1"/>
  <c r="CL15" i="6"/>
  <c r="CL17" i="6" s="1"/>
  <c r="CL18" i="6" s="1"/>
  <c r="EU15" i="6"/>
  <c r="EU17" i="6" s="1"/>
  <c r="EU18" i="6" s="1"/>
  <c r="GJ15" i="6"/>
  <c r="GJ17" i="6" s="1"/>
  <c r="GJ18" i="6" s="1"/>
  <c r="HD15" i="6"/>
  <c r="HD17" i="6" s="1"/>
  <c r="HD18" i="6" s="1"/>
  <c r="IR15" i="6"/>
  <c r="IR17" i="6" s="1"/>
  <c r="IR18" i="6" s="1"/>
  <c r="KH15" i="6"/>
  <c r="KH17" i="6" s="1"/>
  <c r="KH18" i="6" s="1"/>
  <c r="MQ15" i="6"/>
  <c r="MQ17" i="6" s="1"/>
  <c r="MQ18" i="6" s="1"/>
  <c r="OE15" i="6"/>
  <c r="OE17" i="6" s="1"/>
  <c r="OE18" i="6" s="1"/>
  <c r="PW15" i="6"/>
  <c r="PW17" i="6" s="1"/>
  <c r="PW18" i="6" s="1"/>
  <c r="DH17" i="6"/>
  <c r="DH18" i="6" s="1"/>
  <c r="DH26" i="6" s="1"/>
  <c r="EQ17" i="6"/>
  <c r="EQ18" i="6" s="1"/>
  <c r="IN17" i="6"/>
  <c r="IN18" i="6" s="1"/>
  <c r="JV39" i="6"/>
  <c r="JV36" i="6" s="1"/>
  <c r="JW31" i="6"/>
  <c r="JW28" i="6"/>
  <c r="KG28" i="6"/>
  <c r="KG31" i="6"/>
  <c r="EM17" i="6"/>
  <c r="EM18" i="6" s="1"/>
  <c r="HP17" i="6"/>
  <c r="HP18" i="6" s="1"/>
  <c r="IJ17" i="6"/>
  <c r="IJ18" i="6" s="1"/>
  <c r="JF17" i="6"/>
  <c r="JF18" i="6" s="1"/>
  <c r="JZ17" i="6"/>
  <c r="JZ18" i="6" s="1"/>
  <c r="KT17" i="6"/>
  <c r="KT18" i="6" s="1"/>
  <c r="LN17" i="6"/>
  <c r="LN18" i="6" s="1"/>
  <c r="MI17" i="6"/>
  <c r="MI18" i="6" s="1"/>
  <c r="NC17" i="6"/>
  <c r="NC18" i="6" s="1"/>
  <c r="NW17" i="6"/>
  <c r="NW18" i="6" s="1"/>
  <c r="OQ17" i="6"/>
  <c r="OQ18" i="6" s="1"/>
  <c r="PK15" i="6"/>
  <c r="PK17" i="6" s="1"/>
  <c r="PK18" i="6" s="1"/>
  <c r="QH15" i="6"/>
  <c r="QH17" i="6" s="1"/>
  <c r="QH18" i="6" s="1"/>
  <c r="HU14" i="6"/>
  <c r="KY14" i="6"/>
  <c r="OB14" i="6"/>
  <c r="K15" i="6"/>
  <c r="K17" i="6" s="1"/>
  <c r="K18" i="6" s="1"/>
  <c r="CM15" i="6"/>
  <c r="CM17" i="6" s="1"/>
  <c r="CM18" i="6" s="1"/>
  <c r="EV15" i="6"/>
  <c r="EV17" i="6" s="1"/>
  <c r="EV18" i="6" s="1"/>
  <c r="IS15" i="6"/>
  <c r="IS17" i="6" s="1"/>
  <c r="IS18" i="6" s="1"/>
  <c r="MR15" i="6"/>
  <c r="MR17" i="6" s="1"/>
  <c r="MR18" i="6" s="1"/>
  <c r="PA15" i="6"/>
  <c r="PA17" i="6" s="1"/>
  <c r="PA18" i="6" s="1"/>
  <c r="PX15" i="6"/>
  <c r="PX17" i="6" s="1"/>
  <c r="PX18" i="6" s="1"/>
  <c r="CH17" i="6"/>
  <c r="CH18" i="6" s="1"/>
  <c r="LJ17" i="6"/>
  <c r="LJ18" i="6" s="1"/>
  <c r="OC17" i="6"/>
  <c r="OC18" i="6" s="1"/>
  <c r="PO17" i="6"/>
  <c r="PO18" i="6" s="1"/>
  <c r="NX17" i="6"/>
  <c r="NX18" i="6" s="1"/>
  <c r="NX24" i="6" s="1"/>
  <c r="OR13" i="6"/>
  <c r="OR15" i="6" s="1"/>
  <c r="QI17" i="6"/>
  <c r="QI18" i="6" s="1"/>
  <c r="HW14" i="6"/>
  <c r="LA14" i="6"/>
  <c r="L15" i="6"/>
  <c r="L17" i="6" s="1"/>
  <c r="L18" i="6" s="1"/>
  <c r="AF15" i="6"/>
  <c r="AF17" i="6" s="1"/>
  <c r="AF18" i="6" s="1"/>
  <c r="AZ15" i="6"/>
  <c r="AZ17" i="6" s="1"/>
  <c r="AZ18" i="6" s="1"/>
  <c r="BT15" i="6"/>
  <c r="BT17" i="6" s="1"/>
  <c r="BT18" i="6" s="1"/>
  <c r="CN15" i="6"/>
  <c r="CN17" i="6" s="1"/>
  <c r="CN18" i="6" s="1"/>
  <c r="DI15" i="6"/>
  <c r="DI17" i="6" s="1"/>
  <c r="DI18" i="6" s="1"/>
  <c r="EC15" i="6"/>
  <c r="EC17" i="6" s="1"/>
  <c r="EC18" i="6" s="1"/>
  <c r="EW15" i="6"/>
  <c r="EW17" i="6" s="1"/>
  <c r="EW18" i="6" s="1"/>
  <c r="FR15" i="6"/>
  <c r="FR44" i="6" s="1"/>
  <c r="GL15" i="6"/>
  <c r="GL17" i="6" s="1"/>
  <c r="GL18" i="6" s="1"/>
  <c r="HF15" i="6"/>
  <c r="HF17" i="6" s="1"/>
  <c r="HF18" i="6" s="1"/>
  <c r="HZ15" i="6"/>
  <c r="HZ17" i="6" s="1"/>
  <c r="HZ18" i="6" s="1"/>
  <c r="IT15" i="6"/>
  <c r="IT17" i="6" s="1"/>
  <c r="IT18" i="6" s="1"/>
  <c r="JP15" i="6"/>
  <c r="JP17" i="6" s="1"/>
  <c r="JP18" i="6" s="1"/>
  <c r="KJ15" i="6"/>
  <c r="KJ17" i="6" s="1"/>
  <c r="KJ18" i="6" s="1"/>
  <c r="LD15" i="6"/>
  <c r="LD17" i="6" s="1"/>
  <c r="LD18" i="6" s="1"/>
  <c r="LX15" i="6"/>
  <c r="LX17" i="6" s="1"/>
  <c r="LX18" i="6" s="1"/>
  <c r="MS15" i="6"/>
  <c r="MS17" i="6" s="1"/>
  <c r="MS18" i="6" s="1"/>
  <c r="NM15" i="6"/>
  <c r="NM17" i="6" s="1"/>
  <c r="NM18" i="6" s="1"/>
  <c r="OG15" i="6"/>
  <c r="OG17" i="6" s="1"/>
  <c r="OG18" i="6" s="1"/>
  <c r="PB15" i="6"/>
  <c r="PB17" i="6" s="1"/>
  <c r="PB18" i="6" s="1"/>
  <c r="H17" i="6"/>
  <c r="H18" i="6" s="1"/>
  <c r="DO17" i="6"/>
  <c r="DO18" i="6" s="1"/>
  <c r="ES17" i="6"/>
  <c r="ES18" i="6" s="1"/>
  <c r="HL17" i="6"/>
  <c r="HL18" i="6" s="1"/>
  <c r="IP17" i="6"/>
  <c r="IP18" i="6" s="1"/>
  <c r="OD31" i="6"/>
  <c r="OD28" i="6"/>
  <c r="GT39" i="6"/>
  <c r="GT36" i="6" s="1"/>
  <c r="GU28" i="6"/>
  <c r="HY14" i="6"/>
  <c r="OF14" i="6"/>
  <c r="DJ15" i="6"/>
  <c r="DJ17" i="6" s="1"/>
  <c r="DJ18" i="6" s="1"/>
  <c r="FS15" i="6"/>
  <c r="FS17" i="6" s="1"/>
  <c r="FS18" i="6" s="1"/>
  <c r="GM15" i="6"/>
  <c r="GM17" i="6" s="1"/>
  <c r="GM18" i="6" s="1"/>
  <c r="HG15" i="6"/>
  <c r="HG17" i="6" s="1"/>
  <c r="HG18" i="6" s="1"/>
  <c r="IU15" i="6"/>
  <c r="IU17" i="6" s="1"/>
  <c r="IU18" i="6" s="1"/>
  <c r="JQ15" i="6"/>
  <c r="JQ17" i="6" s="1"/>
  <c r="JQ18" i="6" s="1"/>
  <c r="LY15" i="6"/>
  <c r="LY17" i="6" s="1"/>
  <c r="LY18" i="6" s="1"/>
  <c r="MT15" i="6"/>
  <c r="MT17" i="6" s="1"/>
  <c r="MT18" i="6" s="1"/>
  <c r="NN15" i="6"/>
  <c r="NN17" i="6" s="1"/>
  <c r="NN18" i="6" s="1"/>
  <c r="CJ17" i="6"/>
  <c r="CJ18" i="6" s="1"/>
  <c r="MY17" i="6"/>
  <c r="MY18" i="6" s="1"/>
  <c r="EH17" i="6"/>
  <c r="EH18" i="6" s="1"/>
  <c r="EH24" i="6" s="1"/>
  <c r="AR39" i="6"/>
  <c r="AR36" i="6" s="1"/>
  <c r="AS31" i="6"/>
  <c r="AS28" i="6"/>
  <c r="FG17" i="6"/>
  <c r="FG18" i="6" s="1"/>
  <c r="OP31" i="6"/>
  <c r="OP28" i="6"/>
  <c r="OP30" i="6"/>
  <c r="KA13" i="6"/>
  <c r="M15" i="6"/>
  <c r="M17" i="6" s="1"/>
  <c r="M18" i="6" s="1"/>
  <c r="DP140" i="6"/>
  <c r="DP147" i="6" s="1"/>
  <c r="DP109" i="6"/>
  <c r="DP99" i="6"/>
  <c r="DP88" i="6"/>
  <c r="DP89" i="6" s="1"/>
  <c r="FD109" i="6"/>
  <c r="FD99" i="6"/>
  <c r="FD88" i="6"/>
  <c r="FD89" i="6" s="1"/>
  <c r="FC85" i="6"/>
  <c r="BE31" i="6"/>
  <c r="BE28" i="6"/>
  <c r="HF39" i="6"/>
  <c r="HF36" i="6" s="1"/>
  <c r="HG28" i="6"/>
  <c r="HG31" i="6"/>
  <c r="KL38" i="6"/>
  <c r="KL37" i="6" s="1"/>
  <c r="KM31" i="6"/>
  <c r="KM28" i="6"/>
  <c r="NE39" i="6"/>
  <c r="NE36" i="6" s="1"/>
  <c r="OS39" i="6"/>
  <c r="OS38" i="6"/>
  <c r="OT31" i="6"/>
  <c r="OT28" i="6"/>
  <c r="OT30" i="6"/>
  <c r="BM13" i="6"/>
  <c r="DV13" i="6"/>
  <c r="DV15" i="6" s="1"/>
  <c r="HS13" i="6"/>
  <c r="LQ13" i="6"/>
  <c r="LQ15" i="6" s="1"/>
  <c r="NF13" i="6"/>
  <c r="NF15" i="6" s="1"/>
  <c r="OT13" i="6"/>
  <c r="AG14" i="6"/>
  <c r="BU14" i="6"/>
  <c r="GM14" i="6"/>
  <c r="IA14" i="6"/>
  <c r="LE14" i="6"/>
  <c r="OH14" i="6"/>
  <c r="N15" i="6"/>
  <c r="N17" i="6" s="1"/>
  <c r="N18" i="6" s="1"/>
  <c r="AH15" i="6"/>
  <c r="AH17" i="6" s="1"/>
  <c r="AH18" i="6" s="1"/>
  <c r="BB15" i="6"/>
  <c r="BB17" i="6" s="1"/>
  <c r="BB18" i="6" s="1"/>
  <c r="BV15" i="6"/>
  <c r="BV17" i="6" s="1"/>
  <c r="BV18" i="6" s="1"/>
  <c r="CP15" i="6"/>
  <c r="CP17" i="6" s="1"/>
  <c r="CP18" i="6" s="1"/>
  <c r="DK15" i="6"/>
  <c r="DK17" i="6" s="1"/>
  <c r="DK18" i="6" s="1"/>
  <c r="EE15" i="6"/>
  <c r="EE17" i="6" s="1"/>
  <c r="EE18" i="6" s="1"/>
  <c r="EY15" i="6"/>
  <c r="EY17" i="6" s="1"/>
  <c r="EY18" i="6" s="1"/>
  <c r="FT15" i="6"/>
  <c r="FT17" i="6" s="1"/>
  <c r="FT18" i="6" s="1"/>
  <c r="GN15" i="6"/>
  <c r="GN17" i="6" s="1"/>
  <c r="GN18" i="6" s="1"/>
  <c r="HH15" i="6"/>
  <c r="HH17" i="6" s="1"/>
  <c r="HH18" i="6" s="1"/>
  <c r="IB15" i="6"/>
  <c r="IB17" i="6" s="1"/>
  <c r="IB18" i="6" s="1"/>
  <c r="IV15" i="6"/>
  <c r="IV17" i="6" s="1"/>
  <c r="IV18" i="6" s="1"/>
  <c r="JR15" i="6"/>
  <c r="JR44" i="6" s="1"/>
  <c r="KL15" i="6"/>
  <c r="KL17" i="6" s="1"/>
  <c r="KL18" i="6" s="1"/>
  <c r="LF15" i="6"/>
  <c r="LF17" i="6" s="1"/>
  <c r="LF18" i="6" s="1"/>
  <c r="LZ15" i="6"/>
  <c r="LZ17" i="6" s="1"/>
  <c r="LZ18" i="6" s="1"/>
  <c r="MU15" i="6"/>
  <c r="MU17" i="6" s="1"/>
  <c r="MU18" i="6" s="1"/>
  <c r="NO15" i="6"/>
  <c r="NO17" i="6" s="1"/>
  <c r="NO18" i="6" s="1"/>
  <c r="OI15" i="6"/>
  <c r="OI17" i="6" s="1"/>
  <c r="OI18" i="6" s="1"/>
  <c r="AL17" i="6"/>
  <c r="AL18" i="6" s="1"/>
  <c r="GF17" i="6"/>
  <c r="GF18" i="6" s="1"/>
  <c r="KD17" i="6"/>
  <c r="KD18" i="6" s="1"/>
  <c r="EX26" i="6"/>
  <c r="GB17" i="6"/>
  <c r="GB18" i="6" s="1"/>
  <c r="AZ39" i="6"/>
  <c r="AZ36" i="6" s="1"/>
  <c r="BA31" i="6"/>
  <c r="BA28" i="6"/>
  <c r="BA30" i="6"/>
  <c r="DT13" i="6"/>
  <c r="KJ39" i="6"/>
  <c r="KJ36" i="6" s="1"/>
  <c r="KK31" i="6"/>
  <c r="KK28" i="6"/>
  <c r="CO15" i="6"/>
  <c r="CO17" i="6" s="1"/>
  <c r="CO18" i="6" s="1"/>
  <c r="DR140" i="6"/>
  <c r="DR147" i="6" s="1"/>
  <c r="DR109" i="6"/>
  <c r="DQ85" i="6"/>
  <c r="DR83" i="6"/>
  <c r="FF109" i="6"/>
  <c r="FF99" i="6"/>
  <c r="FF88" i="6"/>
  <c r="FF89" i="6" s="1"/>
  <c r="FE85" i="6"/>
  <c r="FF83" i="6"/>
  <c r="BG30" i="6"/>
  <c r="BG31" i="6"/>
  <c r="BG24" i="6" s="1"/>
  <c r="BF39" i="6"/>
  <c r="BF36" i="6" s="1"/>
  <c r="BG28" i="6"/>
  <c r="BG27" i="6" s="1"/>
  <c r="HH38" i="6"/>
  <c r="HH37" i="6" s="1"/>
  <c r="HI31" i="6"/>
  <c r="HI28" i="6"/>
  <c r="KN39" i="6"/>
  <c r="KN36" i="6" s="1"/>
  <c r="KO28" i="6"/>
  <c r="KO27" i="6" s="1"/>
  <c r="KO31" i="6"/>
  <c r="AI14" i="6"/>
  <c r="GO14" i="6"/>
  <c r="IC14" i="6"/>
  <c r="LG14" i="6"/>
  <c r="OJ14" i="6"/>
  <c r="PE15" i="6"/>
  <c r="PE17" i="6" s="1"/>
  <c r="PE18" i="6" s="1"/>
  <c r="QB15" i="6"/>
  <c r="QB17" i="6" s="1"/>
  <c r="QB18" i="6" s="1"/>
  <c r="PL15" i="6"/>
  <c r="PL17" i="6" s="1"/>
  <c r="PL18" i="6" s="1"/>
  <c r="PL24" i="6" s="1"/>
  <c r="OM17" i="6"/>
  <c r="OM18" i="6" s="1"/>
  <c r="LJ39" i="6"/>
  <c r="LJ36" i="6" s="1"/>
  <c r="LK31" i="6"/>
  <c r="LK28" i="6"/>
  <c r="AT39" i="6"/>
  <c r="AT36" i="6" s="1"/>
  <c r="AU31" i="6"/>
  <c r="AU30" i="6"/>
  <c r="AU28" i="6"/>
  <c r="OM39" i="6"/>
  <c r="ON31" i="6"/>
  <c r="ON28" i="6"/>
  <c r="ON30" i="6"/>
  <c r="JG17" i="6"/>
  <c r="JG18" i="6" s="1"/>
  <c r="HD39" i="6"/>
  <c r="HD36" i="6" s="1"/>
  <c r="HE28" i="6"/>
  <c r="HE31" i="6"/>
  <c r="DT109" i="6"/>
  <c r="DT99" i="6"/>
  <c r="DS85" i="6"/>
  <c r="DT88" i="6"/>
  <c r="DT89" i="6" s="1"/>
  <c r="FH109" i="6"/>
  <c r="FH99" i="6"/>
  <c r="FH88" i="6"/>
  <c r="FH89" i="6" s="1"/>
  <c r="FG85" i="6"/>
  <c r="BH39" i="6"/>
  <c r="BH36" i="6" s="1"/>
  <c r="BI31" i="6"/>
  <c r="BI28" i="6"/>
  <c r="HK31" i="6"/>
  <c r="HK28" i="6"/>
  <c r="KP39" i="6"/>
  <c r="KP36" i="6" s="1"/>
  <c r="KQ31" i="6"/>
  <c r="KQ28" i="6"/>
  <c r="BO13" i="6"/>
  <c r="DX13" i="6"/>
  <c r="HU13" i="6"/>
  <c r="LS13" i="6"/>
  <c r="NH13" i="6"/>
  <c r="AK14" i="6"/>
  <c r="GQ14" i="6"/>
  <c r="JU14" i="6"/>
  <c r="LI14" i="6"/>
  <c r="MX14" i="6"/>
  <c r="OL14" i="6"/>
  <c r="P15" i="6"/>
  <c r="P17" i="6" s="1"/>
  <c r="P18" i="6" s="1"/>
  <c r="AJ15" i="6"/>
  <c r="AJ17" i="6" s="1"/>
  <c r="AJ18" i="6" s="1"/>
  <c r="BD15" i="6"/>
  <c r="BD17" i="6" s="1"/>
  <c r="BD18" i="6" s="1"/>
  <c r="BX15" i="6"/>
  <c r="BX17" i="6" s="1"/>
  <c r="BX18" i="6" s="1"/>
  <c r="CR15" i="6"/>
  <c r="CR17" i="6" s="1"/>
  <c r="CR18" i="6" s="1"/>
  <c r="DM15" i="6"/>
  <c r="DM17" i="6" s="1"/>
  <c r="DM18" i="6" s="1"/>
  <c r="EG15" i="6"/>
  <c r="EG17" i="6" s="1"/>
  <c r="EG18" i="6" s="1"/>
  <c r="FA15" i="6"/>
  <c r="FA17" i="6" s="1"/>
  <c r="FA18" i="6" s="1"/>
  <c r="FV15" i="6"/>
  <c r="FV17" i="6" s="1"/>
  <c r="FV18" i="6" s="1"/>
  <c r="GP15" i="6"/>
  <c r="GP17" i="6" s="1"/>
  <c r="GP18" i="6" s="1"/>
  <c r="HJ15" i="6"/>
  <c r="HJ17" i="6" s="1"/>
  <c r="HJ18" i="6" s="1"/>
  <c r="ID15" i="6"/>
  <c r="ID17" i="6" s="1"/>
  <c r="ID18" i="6" s="1"/>
  <c r="IX15" i="6"/>
  <c r="IX17" i="6" s="1"/>
  <c r="IX18" i="6" s="1"/>
  <c r="JT15" i="6"/>
  <c r="JT17" i="6" s="1"/>
  <c r="JT18" i="6" s="1"/>
  <c r="KN15" i="6"/>
  <c r="KN17" i="6" s="1"/>
  <c r="KN18" i="6" s="1"/>
  <c r="LH15" i="6"/>
  <c r="LH17" i="6" s="1"/>
  <c r="LH18" i="6" s="1"/>
  <c r="MB15" i="6"/>
  <c r="MB17" i="6" s="1"/>
  <c r="MB18" i="6" s="1"/>
  <c r="MW15" i="6"/>
  <c r="MW17" i="6" s="1"/>
  <c r="MW18" i="6" s="1"/>
  <c r="NQ15" i="6"/>
  <c r="NQ17" i="6" s="1"/>
  <c r="NQ18" i="6" s="1"/>
  <c r="OK15" i="6"/>
  <c r="OK17" i="6" s="1"/>
  <c r="OK18" i="6" s="1"/>
  <c r="FC17" i="6"/>
  <c r="FC18" i="6" s="1"/>
  <c r="GH17" i="6"/>
  <c r="GH18" i="6" s="1"/>
  <c r="JA17" i="6"/>
  <c r="JA18" i="6" s="1"/>
  <c r="KF17" i="6"/>
  <c r="KF18" i="6" s="1"/>
  <c r="JU26" i="6"/>
  <c r="KH39" i="6"/>
  <c r="KH36" i="6" s="1"/>
  <c r="KI28" i="6"/>
  <c r="KI31" i="6"/>
  <c r="EN13" i="6"/>
  <c r="BB38" i="6"/>
  <c r="BB37" i="6" s="1"/>
  <c r="BC31" i="6"/>
  <c r="BC28" i="6"/>
  <c r="LC14" i="6"/>
  <c r="DV109" i="6"/>
  <c r="DV99" i="6"/>
  <c r="DU85" i="6"/>
  <c r="DV88" i="6"/>
  <c r="DV89" i="6" s="1"/>
  <c r="DV83" i="6"/>
  <c r="FJ109" i="6"/>
  <c r="FJ99" i="6"/>
  <c r="FJ88" i="6"/>
  <c r="FJ89" i="6" s="1"/>
  <c r="FI85" i="6"/>
  <c r="FJ83" i="6"/>
  <c r="BJ38" i="6"/>
  <c r="BJ37" i="6" s="1"/>
  <c r="BK31" i="6"/>
  <c r="BK28" i="6"/>
  <c r="HL39" i="6"/>
  <c r="HL36" i="6" s="1"/>
  <c r="HM28" i="6"/>
  <c r="HM31" i="6"/>
  <c r="KS28" i="6"/>
  <c r="KS31" i="6"/>
  <c r="NK39" i="6"/>
  <c r="NK36" i="6" s="1"/>
  <c r="NL28" i="6"/>
  <c r="AM14" i="6"/>
  <c r="GS14" i="6"/>
  <c r="JW14" i="6"/>
  <c r="LK14" i="6"/>
  <c r="MZ14" i="6"/>
  <c r="ON14" i="6"/>
  <c r="DF109" i="6"/>
  <c r="DF99" i="6"/>
  <c r="DF88" i="6"/>
  <c r="DF89" i="6" s="1"/>
  <c r="DJ109" i="6"/>
  <c r="DJ99" i="6"/>
  <c r="DJ88" i="6"/>
  <c r="DJ89" i="6" s="1"/>
  <c r="DJ83" i="6"/>
  <c r="HC28" i="6"/>
  <c r="HC31" i="6"/>
  <c r="IK13" i="6"/>
  <c r="FB99" i="6"/>
  <c r="FB109" i="6"/>
  <c r="FB88" i="6"/>
  <c r="FB89" i="6" s="1"/>
  <c r="FA85" i="6"/>
  <c r="FB83" i="6"/>
  <c r="DX109" i="6"/>
  <c r="DX88" i="6"/>
  <c r="DX89" i="6" s="1"/>
  <c r="DX99" i="6"/>
  <c r="DW85" i="6"/>
  <c r="FL109" i="6"/>
  <c r="FK85" i="6"/>
  <c r="FL99" i="6"/>
  <c r="FL88" i="6"/>
  <c r="FL89" i="6" s="1"/>
  <c r="BN39" i="6"/>
  <c r="BO31" i="6"/>
  <c r="BO30" i="6"/>
  <c r="BO28" i="6"/>
  <c r="HR77" i="6"/>
  <c r="HO31" i="6"/>
  <c r="HO28" i="6"/>
  <c r="KT38" i="6"/>
  <c r="KT37" i="6" s="1"/>
  <c r="KU31" i="6"/>
  <c r="KU28" i="6"/>
  <c r="KU27" i="6" s="1"/>
  <c r="NM39" i="6"/>
  <c r="NM36" i="6" s="1"/>
  <c r="NN31" i="6"/>
  <c r="NN28" i="6"/>
  <c r="BQ13" i="6"/>
  <c r="LU13" i="6"/>
  <c r="AO14" i="6"/>
  <c r="CC14" i="6"/>
  <c r="GU14" i="6"/>
  <c r="JY14" i="6"/>
  <c r="LM14" i="6"/>
  <c r="OP14" i="6"/>
  <c r="R15" i="6"/>
  <c r="R17" i="6" s="1"/>
  <c r="R18" i="6" s="1"/>
  <c r="CU15" i="6"/>
  <c r="CU17" i="6" s="1"/>
  <c r="CU18" i="6" s="1"/>
  <c r="MZ28" i="6"/>
  <c r="LU77" i="6"/>
  <c r="FW27" i="6"/>
  <c r="NB28" i="6"/>
  <c r="NC27" i="6"/>
  <c r="IY27" i="6"/>
  <c r="NF28" i="6"/>
  <c r="NH28" i="6"/>
  <c r="MA77" i="6"/>
  <c r="NJ28" i="6"/>
  <c r="FM29" i="6"/>
  <c r="IS35" i="6"/>
  <c r="IS34" i="6" s="1"/>
  <c r="IR34" i="6"/>
  <c r="JG27" i="6"/>
  <c r="FV36" i="6"/>
  <c r="MI27" i="6"/>
  <c r="QA27" i="6"/>
  <c r="MD77" i="6"/>
  <c r="ME78" i="6"/>
  <c r="ME79" i="6" s="1"/>
  <c r="MJ27" i="6"/>
  <c r="AJ77" i="6"/>
  <c r="AK30" i="6"/>
  <c r="IY77" i="6"/>
  <c r="IY78" i="6" s="1"/>
  <c r="IY79" i="6" s="1"/>
  <c r="IY29" i="6"/>
  <c r="HJ39" i="6"/>
  <c r="HJ36" i="6" s="1"/>
  <c r="MF36" i="6"/>
  <c r="MF37" i="6"/>
  <c r="MF35" i="6" s="1"/>
  <c r="KW26" i="6"/>
  <c r="LG30" i="6"/>
  <c r="PI36" i="6"/>
  <c r="PI37" i="6"/>
  <c r="PI35" i="6" s="1"/>
  <c r="BD39" i="6"/>
  <c r="BD36" i="6" s="1"/>
  <c r="LK30" i="6"/>
  <c r="LM30" i="6"/>
  <c r="LN29" i="6"/>
  <c r="PF27" i="6"/>
  <c r="LS77" i="6"/>
  <c r="CN34" i="6"/>
  <c r="CO35" i="6"/>
  <c r="CO34" i="6" s="1"/>
  <c r="EC36" i="6"/>
  <c r="ME36" i="6"/>
  <c r="HF38" i="6"/>
  <c r="HF37" i="6" s="1"/>
  <c r="NG38" i="6"/>
  <c r="NG37" i="6" s="1"/>
  <c r="LV77" i="6"/>
  <c r="LW78" i="6"/>
  <c r="LW79" i="6" s="1"/>
  <c r="ED36" i="6"/>
  <c r="JB36" i="6"/>
  <c r="PP36" i="6"/>
  <c r="NM38" i="6"/>
  <c r="NM37" i="6" s="1"/>
  <c r="AV39" i="6"/>
  <c r="AV36" i="6" s="1"/>
  <c r="IB39" i="6"/>
  <c r="IB36" i="6" s="1"/>
  <c r="M28" i="6"/>
  <c r="EE36" i="6"/>
  <c r="PB37" i="6"/>
  <c r="HL38" i="6"/>
  <c r="HL37" i="6" s="1"/>
  <c r="AX38" i="6"/>
  <c r="AX37" i="6" s="1"/>
  <c r="GV39" i="6"/>
  <c r="GV36" i="6" s="1"/>
  <c r="OI39" i="6"/>
  <c r="JH44" i="6"/>
  <c r="JH43" i="6" s="1"/>
  <c r="LX77" i="6"/>
  <c r="LX35" i="6" s="1"/>
  <c r="LY78" i="6"/>
  <c r="LY79" i="6" s="1"/>
  <c r="CP35" i="6"/>
  <c r="IE36" i="6"/>
  <c r="FO37" i="6"/>
  <c r="FO35" i="6" s="1"/>
  <c r="FW42" i="6"/>
  <c r="FW43" i="6"/>
  <c r="KL39" i="6"/>
  <c r="KL36" i="6" s="1"/>
  <c r="MW38" i="6"/>
  <c r="MW37" i="6" s="1"/>
  <c r="OK38" i="6"/>
  <c r="O28" i="6"/>
  <c r="AL29" i="6"/>
  <c r="BF29" i="6"/>
  <c r="BZ29" i="6"/>
  <c r="IE35" i="6"/>
  <c r="IE34" i="6" s="1"/>
  <c r="BB39" i="6"/>
  <c r="BB36" i="6" s="1"/>
  <c r="MV28" i="6"/>
  <c r="LW29" i="6"/>
  <c r="AY30" i="6"/>
  <c r="BS30" i="6"/>
  <c r="CM30" i="6"/>
  <c r="OR30" i="6"/>
  <c r="DL31" i="6"/>
  <c r="EF31" i="6"/>
  <c r="EZ31" i="6"/>
  <c r="PA35" i="6"/>
  <c r="JK36" i="6"/>
  <c r="PW36" i="6"/>
  <c r="EM37" i="6"/>
  <c r="EM35" i="6" s="1"/>
  <c r="FA39" i="6"/>
  <c r="HB39" i="6"/>
  <c r="HB36" i="6" s="1"/>
  <c r="NA39" i="6"/>
  <c r="NA36" i="6" s="1"/>
  <c r="OO39" i="6"/>
  <c r="FO29" i="6"/>
  <c r="PJ36" i="6"/>
  <c r="PJ37" i="6"/>
  <c r="DK36" i="6"/>
  <c r="EI36" i="6"/>
  <c r="IU37" i="6"/>
  <c r="AF38" i="6"/>
  <c r="AF37" i="6" s="1"/>
  <c r="KR39" i="6"/>
  <c r="KR36" i="6" s="1"/>
  <c r="NC39" i="6"/>
  <c r="NC36" i="6" s="1"/>
  <c r="OQ39" i="6"/>
  <c r="MB77" i="6"/>
  <c r="MC78" i="6"/>
  <c r="MC79" i="6" s="1"/>
  <c r="JG36" i="6"/>
  <c r="JG37" i="6"/>
  <c r="CM36" i="6"/>
  <c r="JM36" i="6"/>
  <c r="HZ38" i="6"/>
  <c r="HZ37" i="6" s="1"/>
  <c r="HZ35" i="6" s="1"/>
  <c r="KT39" i="6"/>
  <c r="KT36" i="6" s="1"/>
  <c r="PD35" i="6"/>
  <c r="PD34" i="6" s="1"/>
  <c r="DM36" i="6"/>
  <c r="MD35" i="6"/>
  <c r="OG38" i="6"/>
  <c r="HH39" i="6"/>
  <c r="HH36" i="6" s="1"/>
  <c r="BC30" i="6"/>
  <c r="BW30" i="6"/>
  <c r="CQ30" i="6"/>
  <c r="OV30" i="6"/>
  <c r="DP31" i="6"/>
  <c r="EJ31" i="6"/>
  <c r="FD31" i="6"/>
  <c r="CO36" i="6"/>
  <c r="DN36" i="6"/>
  <c r="NI39" i="6"/>
  <c r="NI36" i="6" s="1"/>
  <c r="FP36" i="6"/>
  <c r="LU36" i="6"/>
  <c r="KD38" i="6"/>
  <c r="KD37" i="6" s="1"/>
  <c r="AD38" i="6"/>
  <c r="AD37" i="6" s="1"/>
  <c r="BJ39" i="6"/>
  <c r="BJ36" i="6" s="1"/>
  <c r="KZ39" i="6"/>
  <c r="KZ36" i="6" s="1"/>
  <c r="NK38" i="6"/>
  <c r="NK37" i="6" s="1"/>
  <c r="BE30" i="6"/>
  <c r="BY30" i="6"/>
  <c r="CS30" i="6"/>
  <c r="OX30" i="6"/>
  <c r="DR31" i="6"/>
  <c r="FF31" i="6"/>
  <c r="CQ36" i="6"/>
  <c r="JQ36" i="6"/>
  <c r="EU37" i="6"/>
  <c r="EU35" i="6" s="1"/>
  <c r="KJ38" i="6"/>
  <c r="KJ37" i="6" s="1"/>
  <c r="LB38" i="6"/>
  <c r="LB37" i="6" s="1"/>
  <c r="PU31" i="6"/>
  <c r="HS36" i="6"/>
  <c r="LW36" i="6"/>
  <c r="EV37" i="6"/>
  <c r="AH39" i="6"/>
  <c r="AH36" i="6" s="1"/>
  <c r="NO39" i="6"/>
  <c r="NO36" i="6" s="1"/>
  <c r="EN36" i="6"/>
  <c r="EN37" i="6"/>
  <c r="IS36" i="6"/>
  <c r="JS36" i="6"/>
  <c r="QK36" i="6"/>
  <c r="AT38" i="6"/>
  <c r="AT37" i="6" s="1"/>
  <c r="KP38" i="6"/>
  <c r="KP37" i="6" s="1"/>
  <c r="AJ39" i="6"/>
  <c r="AJ36" i="6" s="1"/>
  <c r="HN39" i="6"/>
  <c r="HN36" i="6" s="1"/>
  <c r="LF39" i="6"/>
  <c r="LF36" i="6" s="1"/>
  <c r="FT44" i="6"/>
  <c r="CZ36" i="6"/>
  <c r="CZ37" i="6"/>
  <c r="DU36" i="6"/>
  <c r="DU37" i="6"/>
  <c r="LY36" i="6"/>
  <c r="PD36" i="6"/>
  <c r="AZ38" i="6"/>
  <c r="AZ37" i="6" s="1"/>
  <c r="BP39" i="6"/>
  <c r="HP39" i="6"/>
  <c r="HP36" i="6" s="1"/>
  <c r="JT38" i="6"/>
  <c r="JT37" i="6" s="1"/>
  <c r="LH38" i="6"/>
  <c r="LH37" i="6" s="1"/>
  <c r="AO30" i="6"/>
  <c r="BI30" i="6"/>
  <c r="CC30" i="6"/>
  <c r="LQ30" i="6"/>
  <c r="OH30" i="6"/>
  <c r="PB30" i="6"/>
  <c r="DV31" i="6"/>
  <c r="EP31" i="6"/>
  <c r="FJ31" i="6"/>
  <c r="PY31" i="6"/>
  <c r="BW36" i="6"/>
  <c r="BR38" i="6"/>
  <c r="NU39" i="6"/>
  <c r="NU36" i="6" s="1"/>
  <c r="AX29" i="6"/>
  <c r="BR29" i="6"/>
  <c r="MA36" i="6"/>
  <c r="GN39" i="6"/>
  <c r="GN36" i="6" s="1"/>
  <c r="JX39" i="6"/>
  <c r="JX36" i="6" s="1"/>
  <c r="LL39" i="6"/>
  <c r="LL36" i="6" s="1"/>
  <c r="NW39" i="6"/>
  <c r="NW36" i="6" s="1"/>
  <c r="OZ29" i="6"/>
  <c r="AQ30" i="6"/>
  <c r="BK30" i="6"/>
  <c r="CE30" i="6"/>
  <c r="IW30" i="6"/>
  <c r="OJ30" i="6"/>
  <c r="PD30" i="6"/>
  <c r="DD31" i="6"/>
  <c r="FL31" i="6"/>
  <c r="IK36" i="6"/>
  <c r="BY36" i="6"/>
  <c r="IW36" i="6"/>
  <c r="GP39" i="6"/>
  <c r="GP36" i="6" s="1"/>
  <c r="JZ39" i="6"/>
  <c r="JZ36" i="6" s="1"/>
  <c r="LN39" i="6"/>
  <c r="LN36" i="6" s="1"/>
  <c r="QC31" i="6"/>
  <c r="CR33" i="6"/>
  <c r="EA36" i="6"/>
  <c r="MC36" i="6"/>
  <c r="PH36" i="6"/>
  <c r="MG37" i="6"/>
  <c r="LD38" i="6"/>
  <c r="LD37" i="6" s="1"/>
  <c r="AP39" i="6"/>
  <c r="AP36" i="6" s="1"/>
  <c r="HV39" i="6"/>
  <c r="HV36" i="6" s="1"/>
  <c r="AS30" i="6"/>
  <c r="BM30" i="6"/>
  <c r="CG30" i="6"/>
  <c r="OL30" i="6"/>
  <c r="PF30" i="6"/>
  <c r="QG36" i="6"/>
  <c r="IY36" i="6"/>
  <c r="HX38" i="6"/>
  <c r="HX37" i="6" s="1"/>
  <c r="HX35" i="6" s="1"/>
  <c r="OC39" i="6"/>
  <c r="OC36" i="6" s="1"/>
  <c r="GA42" i="6"/>
  <c r="JO44" i="6"/>
  <c r="JN44" i="6" s="1"/>
  <c r="JN43" i="6" s="1"/>
  <c r="JO47" i="6"/>
  <c r="QG64" i="6"/>
  <c r="QG51" i="6"/>
  <c r="QG48" i="6"/>
  <c r="DH53" i="6"/>
  <c r="Y64" i="6"/>
  <c r="Y48" i="6"/>
  <c r="Y51" i="6"/>
  <c r="AA64" i="6"/>
  <c r="AA48" i="6"/>
  <c r="AA53" i="6"/>
  <c r="AA51" i="6"/>
  <c r="BO64" i="6"/>
  <c r="BO48" i="6"/>
  <c r="BO53" i="6"/>
  <c r="BO51" i="6"/>
  <c r="DD64" i="6"/>
  <c r="DD48" i="6"/>
  <c r="DD53" i="6"/>
  <c r="DD51" i="6"/>
  <c r="ER64" i="6"/>
  <c r="ER48" i="6"/>
  <c r="ER53" i="6"/>
  <c r="ER51" i="6"/>
  <c r="GG64" i="6"/>
  <c r="GG48" i="6"/>
  <c r="GG53" i="6"/>
  <c r="GG51" i="6"/>
  <c r="HU64" i="6"/>
  <c r="HU48" i="6"/>
  <c r="HU53" i="6"/>
  <c r="HU51" i="6"/>
  <c r="JK64" i="6"/>
  <c r="JK48" i="6"/>
  <c r="JK53" i="6"/>
  <c r="JK51" i="6"/>
  <c r="KY64" i="6"/>
  <c r="KY111" i="6" s="1"/>
  <c r="KY48" i="6"/>
  <c r="KY53" i="6"/>
  <c r="KY51" i="6"/>
  <c r="MN64" i="6"/>
  <c r="MN48" i="6"/>
  <c r="MN53" i="6"/>
  <c r="MN51" i="6"/>
  <c r="OB64" i="6"/>
  <c r="OB48" i="6"/>
  <c r="OB53" i="6"/>
  <c r="OB51" i="6"/>
  <c r="GC42" i="6"/>
  <c r="FR43" i="6"/>
  <c r="FY43" i="6"/>
  <c r="JL44" i="6"/>
  <c r="JL42" i="6" s="1"/>
  <c r="GE42" i="6"/>
  <c r="JP44" i="6"/>
  <c r="JP43" i="6" s="1"/>
  <c r="QC80" i="6"/>
  <c r="QC92" i="6"/>
  <c r="QC71" i="6"/>
  <c r="FT39" i="6"/>
  <c r="JR39" i="6"/>
  <c r="EV53" i="6"/>
  <c r="MR53" i="6"/>
  <c r="AQ53" i="6"/>
  <c r="CE53" i="6"/>
  <c r="DT53" i="6"/>
  <c r="FH53" i="6"/>
  <c r="GW53" i="6"/>
  <c r="FV44" i="6"/>
  <c r="FV43" i="6" s="1"/>
  <c r="AS53" i="6"/>
  <c r="AS47" i="6"/>
  <c r="CG53" i="6"/>
  <c r="CG47" i="6"/>
  <c r="DV53" i="6"/>
  <c r="DV47" i="6"/>
  <c r="FJ53" i="6"/>
  <c r="FJ47" i="6"/>
  <c r="GY53" i="6"/>
  <c r="IM53" i="6"/>
  <c r="IM47" i="6"/>
  <c r="AM53" i="6"/>
  <c r="AM64" i="6"/>
  <c r="AM48" i="6"/>
  <c r="CA53" i="6"/>
  <c r="CA64" i="6"/>
  <c r="CA48" i="6"/>
  <c r="DP64" i="6"/>
  <c r="DP53" i="6"/>
  <c r="DP48" i="6"/>
  <c r="FD53" i="6"/>
  <c r="FD64" i="6"/>
  <c r="FD48" i="6"/>
  <c r="GS53" i="6"/>
  <c r="GS64" i="6"/>
  <c r="GS48" i="6"/>
  <c r="IG64" i="6"/>
  <c r="IG53" i="6"/>
  <c r="IG48" i="6"/>
  <c r="JW53" i="6"/>
  <c r="JW64" i="6"/>
  <c r="JW48" i="6"/>
  <c r="LK53" i="6"/>
  <c r="LK64" i="6"/>
  <c r="LK48" i="6"/>
  <c r="MZ64" i="6"/>
  <c r="MZ53" i="6"/>
  <c r="MZ51" i="6"/>
  <c r="MZ48" i="6"/>
  <c r="ON53" i="6"/>
  <c r="ON51" i="6"/>
  <c r="ON64" i="6"/>
  <c r="ON48" i="6"/>
  <c r="FX44" i="6"/>
  <c r="FX42" i="6" s="1"/>
  <c r="AO51" i="6"/>
  <c r="AO64" i="6"/>
  <c r="AO48" i="6"/>
  <c r="CC51" i="6"/>
  <c r="CC64" i="6"/>
  <c r="CC48" i="6"/>
  <c r="DR64" i="6"/>
  <c r="DR51" i="6"/>
  <c r="DR48" i="6"/>
  <c r="FF64" i="6"/>
  <c r="FF51" i="6"/>
  <c r="FF48" i="6"/>
  <c r="GU51" i="6"/>
  <c r="GU64" i="6"/>
  <c r="GU48" i="6"/>
  <c r="II64" i="6"/>
  <c r="II51" i="6"/>
  <c r="II48" i="6"/>
  <c r="JY64" i="6"/>
  <c r="JY51" i="6"/>
  <c r="JY48" i="6"/>
  <c r="LM51" i="6"/>
  <c r="LM64" i="6"/>
  <c r="LM48" i="6"/>
  <c r="NB64" i="6"/>
  <c r="NB111" i="6" s="1"/>
  <c r="NB51" i="6"/>
  <c r="NB48" i="6"/>
  <c r="OP51" i="6"/>
  <c r="OP64" i="6"/>
  <c r="OP48" i="6"/>
  <c r="FZ44" i="6"/>
  <c r="FH64" i="6"/>
  <c r="FH48" i="6"/>
  <c r="GW64" i="6"/>
  <c r="GW48" i="6"/>
  <c r="IK64" i="6"/>
  <c r="IK48" i="6"/>
  <c r="KA64" i="6"/>
  <c r="KA48" i="6"/>
  <c r="LO64" i="6"/>
  <c r="LO48" i="6"/>
  <c r="ND64" i="6"/>
  <c r="ND48" i="6"/>
  <c r="OR64" i="6"/>
  <c r="OR48" i="6"/>
  <c r="FR42" i="6"/>
  <c r="GI43" i="6"/>
  <c r="FY48" i="6"/>
  <c r="FS42" i="6"/>
  <c r="JM42" i="6"/>
  <c r="Y53" i="6"/>
  <c r="GB39" i="6"/>
  <c r="JF39" i="6"/>
  <c r="JP42" i="6"/>
  <c r="JG43" i="6"/>
  <c r="AE53" i="6"/>
  <c r="HY53" i="6"/>
  <c r="BM64" i="6"/>
  <c r="BM48" i="6"/>
  <c r="BM51" i="6"/>
  <c r="FU42" i="6"/>
  <c r="FY53" i="6"/>
  <c r="M64" i="6"/>
  <c r="M53" i="6"/>
  <c r="BA64" i="6"/>
  <c r="BA53" i="6"/>
  <c r="CO64" i="6"/>
  <c r="CO53" i="6"/>
  <c r="ED64" i="6"/>
  <c r="ED53" i="6"/>
  <c r="FS64" i="6"/>
  <c r="FS53" i="6"/>
  <c r="HG64" i="6"/>
  <c r="HG53" i="6"/>
  <c r="IU64" i="6"/>
  <c r="IU53" i="6"/>
  <c r="KK64" i="6"/>
  <c r="KK53" i="6"/>
  <c r="LY64" i="6"/>
  <c r="LY53" i="6"/>
  <c r="NN64" i="6"/>
  <c r="NN53" i="6"/>
  <c r="PB64" i="6"/>
  <c r="PB53" i="6"/>
  <c r="AC47" i="6"/>
  <c r="IU47" i="6"/>
  <c r="NN47" i="6"/>
  <c r="IG51" i="6"/>
  <c r="O64" i="6"/>
  <c r="O53" i="6"/>
  <c r="BC64" i="6"/>
  <c r="BC53" i="6"/>
  <c r="CQ64" i="6"/>
  <c r="CQ53" i="6"/>
  <c r="EF64" i="6"/>
  <c r="EF53" i="6"/>
  <c r="FU64" i="6"/>
  <c r="FU53" i="6"/>
  <c r="HI64" i="6"/>
  <c r="HI53" i="6"/>
  <c r="IW64" i="6"/>
  <c r="IW53" i="6"/>
  <c r="KM64" i="6"/>
  <c r="KM53" i="6"/>
  <c r="MA64" i="6"/>
  <c r="MA53" i="6"/>
  <c r="NP53" i="6"/>
  <c r="NP64" i="6"/>
  <c r="PD64" i="6"/>
  <c r="PD53" i="6"/>
  <c r="AC38" i="6"/>
  <c r="AB38" i="6" s="1"/>
  <c r="AB37" i="6" s="1"/>
  <c r="AW38" i="6"/>
  <c r="AV38" i="6" s="1"/>
  <c r="AV37" i="6" s="1"/>
  <c r="CK38" i="6"/>
  <c r="CJ38" i="6" s="1"/>
  <c r="DF38" i="6"/>
  <c r="DE38" i="6" s="1"/>
  <c r="DE37" i="6" s="1"/>
  <c r="DZ38" i="6"/>
  <c r="DY38" i="6" s="1"/>
  <c r="DY36" i="6" s="1"/>
  <c r="ET38" i="6"/>
  <c r="ES38" i="6" s="1"/>
  <c r="ES37" i="6" s="1"/>
  <c r="ES35" i="6" s="1"/>
  <c r="FN38" i="6"/>
  <c r="FM38" i="6" s="1"/>
  <c r="FM36" i="6" s="1"/>
  <c r="GI38" i="6"/>
  <c r="GH38" i="6" s="1"/>
  <c r="GH37" i="6" s="1"/>
  <c r="HC38" i="6"/>
  <c r="HB38" i="6" s="1"/>
  <c r="HB37" i="6" s="1"/>
  <c r="IQ38" i="6"/>
  <c r="IP38" i="6" s="1"/>
  <c r="IP37" i="6" s="1"/>
  <c r="IP35" i="6" s="1"/>
  <c r="LU38" i="6"/>
  <c r="LT38" i="6" s="1"/>
  <c r="LT37" i="6" s="1"/>
  <c r="MP38" i="6"/>
  <c r="MO38" i="6" s="1"/>
  <c r="MO37" i="6" s="1"/>
  <c r="NJ38" i="6"/>
  <c r="NI38" i="6" s="1"/>
  <c r="NI37" i="6" s="1"/>
  <c r="OD38" i="6"/>
  <c r="OC38" i="6" s="1"/>
  <c r="OC37" i="6" s="1"/>
  <c r="OX38" i="6"/>
  <c r="OW38" i="6" s="1"/>
  <c r="PS38" i="6"/>
  <c r="PR38" i="6" s="1"/>
  <c r="PR37" i="6" s="1"/>
  <c r="PR40" i="6" s="1"/>
  <c r="QO38" i="6"/>
  <c r="QN38" i="6" s="1"/>
  <c r="QN37" i="6" s="1"/>
  <c r="QN40" i="6" s="1"/>
  <c r="JI43" i="6"/>
  <c r="JS42" i="6"/>
  <c r="BY47" i="6"/>
  <c r="ED47" i="6"/>
  <c r="LI47" i="6"/>
  <c r="BM53" i="6"/>
  <c r="Q64" i="6"/>
  <c r="Q48" i="6"/>
  <c r="Q47" i="6" s="1"/>
  <c r="BE64" i="6"/>
  <c r="BE48" i="6"/>
  <c r="BE47" i="6" s="1"/>
  <c r="CS48" i="6"/>
  <c r="CS47" i="6" s="1"/>
  <c r="CS64" i="6"/>
  <c r="EH48" i="6"/>
  <c r="EH47" i="6" s="1"/>
  <c r="EH64" i="6"/>
  <c r="FW64" i="6"/>
  <c r="FW48" i="6"/>
  <c r="FW47" i="6" s="1"/>
  <c r="HK64" i="6"/>
  <c r="HK48" i="6"/>
  <c r="HK47" i="6" s="1"/>
  <c r="IY48" i="6"/>
  <c r="IY47" i="6" s="1"/>
  <c r="IY64" i="6"/>
  <c r="KO64" i="6"/>
  <c r="KO48" i="6"/>
  <c r="KO47" i="6" s="1"/>
  <c r="MC48" i="6"/>
  <c r="MC47" i="6" s="1"/>
  <c r="MC64" i="6"/>
  <c r="NR48" i="6"/>
  <c r="NR47" i="6" s="1"/>
  <c r="NR64" i="6"/>
  <c r="PF64" i="6"/>
  <c r="PF48" i="6"/>
  <c r="PF47" i="6" s="1"/>
  <c r="DF47" i="6"/>
  <c r="CE48" i="6"/>
  <c r="GQ47" i="6"/>
  <c r="BS53" i="6"/>
  <c r="JO53" i="6"/>
  <c r="JO38" i="6"/>
  <c r="JN38" i="6" s="1"/>
  <c r="JN37" i="6" s="1"/>
  <c r="JK43" i="6"/>
  <c r="G43" i="6"/>
  <c r="QA47" i="6"/>
  <c r="GH39" i="6"/>
  <c r="DP51" i="6"/>
  <c r="W64" i="6"/>
  <c r="W51" i="6"/>
  <c r="BK64" i="6"/>
  <c r="BK51" i="6"/>
  <c r="CZ64" i="6"/>
  <c r="CZ51" i="6"/>
  <c r="EN64" i="6"/>
  <c r="EN51" i="6"/>
  <c r="GC64" i="6"/>
  <c r="GC51" i="6"/>
  <c r="HQ64" i="6"/>
  <c r="HQ51" i="6"/>
  <c r="JG64" i="6"/>
  <c r="JG111" i="6" s="1"/>
  <c r="JG51" i="6"/>
  <c r="KU64" i="6"/>
  <c r="KU51" i="6"/>
  <c r="MJ64" i="6"/>
  <c r="MJ51" i="6"/>
  <c r="NX64" i="6"/>
  <c r="NX51" i="6"/>
  <c r="G92" i="6"/>
  <c r="G93" i="6" s="1"/>
  <c r="G71" i="6"/>
  <c r="AU92" i="6"/>
  <c r="AU93" i="6" s="1"/>
  <c r="AU71" i="6"/>
  <c r="CI92" i="6"/>
  <c r="CI93" i="6" s="1"/>
  <c r="CI80" i="6"/>
  <c r="CI71" i="6"/>
  <c r="DX92" i="6"/>
  <c r="DX93" i="6" s="1"/>
  <c r="DX71" i="6"/>
  <c r="FL92" i="6"/>
  <c r="FL93" i="6" s="1"/>
  <c r="FL80" i="6"/>
  <c r="FL71" i="6"/>
  <c r="HC93" i="6"/>
  <c r="KG93" i="6"/>
  <c r="DB51" i="6"/>
  <c r="EP51" i="6"/>
  <c r="GE51" i="6"/>
  <c r="I92" i="6"/>
  <c r="I93" i="6" s="1"/>
  <c r="I71" i="6"/>
  <c r="AW92" i="6"/>
  <c r="AW93" i="6" s="1"/>
  <c r="AW71" i="6"/>
  <c r="CK92" i="6"/>
  <c r="CK93" i="6" s="1"/>
  <c r="CK71" i="6"/>
  <c r="CK80" i="6"/>
  <c r="DZ92" i="6"/>
  <c r="DZ93" i="6" s="1"/>
  <c r="DZ71" i="6"/>
  <c r="FN92" i="6"/>
  <c r="FN93" i="6" s="1"/>
  <c r="FN80" i="6"/>
  <c r="FN71" i="6"/>
  <c r="HE92" i="6"/>
  <c r="HE93" i="6" s="1"/>
  <c r="HE71" i="6"/>
  <c r="HE80" i="6"/>
  <c r="IS92" i="6"/>
  <c r="IS93" i="6" s="1"/>
  <c r="IS80" i="6"/>
  <c r="IS71" i="6"/>
  <c r="KI92" i="6"/>
  <c r="KI93" i="6" s="1"/>
  <c r="KI71" i="6"/>
  <c r="KI80" i="6"/>
  <c r="LW92" i="6"/>
  <c r="LW93" i="6" s="1"/>
  <c r="LW71" i="6"/>
  <c r="NL92" i="6"/>
  <c r="NL93" i="6" s="1"/>
  <c r="NL80" i="6"/>
  <c r="NL71" i="6"/>
  <c r="OZ92" i="6"/>
  <c r="OZ93" i="6" s="1"/>
  <c r="OZ71" i="6"/>
  <c r="OZ80" i="6"/>
  <c r="DT83" i="6"/>
  <c r="FH83" i="6"/>
  <c r="KC47" i="6"/>
  <c r="LQ47" i="6"/>
  <c r="NF47" i="6"/>
  <c r="OT47" i="6"/>
  <c r="QK47" i="6"/>
  <c r="K92" i="6"/>
  <c r="K93" i="6" s="1"/>
  <c r="K71" i="6"/>
  <c r="AY71" i="6"/>
  <c r="CM92" i="6"/>
  <c r="CM93" i="6" s="1"/>
  <c r="CM71" i="6"/>
  <c r="EB92" i="6"/>
  <c r="EB93" i="6" s="1"/>
  <c r="EB71" i="6"/>
  <c r="FP92" i="6"/>
  <c r="FP93" i="6" s="1"/>
  <c r="FP80" i="6"/>
  <c r="FP71" i="6"/>
  <c r="IF77" i="6"/>
  <c r="BG109" i="6"/>
  <c r="BG99" i="6"/>
  <c r="BF85" i="6"/>
  <c r="BG88" i="6"/>
  <c r="BG89" i="6" s="1"/>
  <c r="QQ58" i="6"/>
  <c r="AC64" i="6"/>
  <c r="GI64" i="6"/>
  <c r="GI111" i="6" s="1"/>
  <c r="M92" i="6"/>
  <c r="M93" i="6" s="1"/>
  <c r="M71" i="6"/>
  <c r="BA71" i="6"/>
  <c r="CO92" i="6"/>
  <c r="CO93" i="6" s="1"/>
  <c r="CO71" i="6"/>
  <c r="ED92" i="6"/>
  <c r="ED93" i="6" s="1"/>
  <c r="ED71" i="6"/>
  <c r="FS93" i="6"/>
  <c r="IW93" i="6"/>
  <c r="HK93" i="6"/>
  <c r="IY93" i="6"/>
  <c r="KO93" i="6"/>
  <c r="NR93" i="6"/>
  <c r="DZ83" i="6"/>
  <c r="FN83" i="6"/>
  <c r="JM101" i="6"/>
  <c r="JM100" i="6"/>
  <c r="PL100" i="6"/>
  <c r="PL101" i="6"/>
  <c r="Q93" i="6"/>
  <c r="CS93" i="6"/>
  <c r="EH92" i="6"/>
  <c r="EH93" i="6" s="1"/>
  <c r="HM92" i="6"/>
  <c r="HM93" i="6" s="1"/>
  <c r="HM71" i="6"/>
  <c r="HM80" i="6"/>
  <c r="S92" i="6"/>
  <c r="S93" i="6" s="1"/>
  <c r="S71" i="6"/>
  <c r="BG92" i="6"/>
  <c r="BG93" i="6" s="1"/>
  <c r="BG71" i="6"/>
  <c r="CV92" i="6"/>
  <c r="CV93" i="6" s="1"/>
  <c r="CV80" i="6"/>
  <c r="CV71" i="6"/>
  <c r="EJ92" i="6"/>
  <c r="EJ93" i="6" s="1"/>
  <c r="EJ71" i="6"/>
  <c r="FY92" i="6"/>
  <c r="FY93" i="6" s="1"/>
  <c r="FY71" i="6"/>
  <c r="HO93" i="6"/>
  <c r="PU122" i="6"/>
  <c r="PU124" i="6" s="1"/>
  <c r="PU125" i="6" s="1"/>
  <c r="PU109" i="6"/>
  <c r="HQ71" i="6"/>
  <c r="JG92" i="6"/>
  <c r="JG93" i="6" s="1"/>
  <c r="JG71" i="6"/>
  <c r="KU80" i="6"/>
  <c r="KU71" i="6"/>
  <c r="KU92" i="6"/>
  <c r="KU93" i="6" s="1"/>
  <c r="MJ92" i="6"/>
  <c r="MJ93" i="6" s="1"/>
  <c r="MJ71" i="6"/>
  <c r="NX71" i="6"/>
  <c r="NX92" i="6"/>
  <c r="NX93" i="6" s="1"/>
  <c r="PL92" i="6"/>
  <c r="PL93" i="6" s="1"/>
  <c r="PL80" i="6"/>
  <c r="PL71" i="6"/>
  <c r="HQ80" i="6"/>
  <c r="HY140" i="6"/>
  <c r="HY147" i="6" s="1"/>
  <c r="HY109" i="6"/>
  <c r="HY99" i="6"/>
  <c r="HY88" i="6"/>
  <c r="HY89" i="6" s="1"/>
  <c r="HX85" i="6"/>
  <c r="CM109" i="6"/>
  <c r="CM99" i="6"/>
  <c r="CL85" i="6"/>
  <c r="CM88" i="6"/>
  <c r="CM89" i="6" s="1"/>
  <c r="PJ109" i="6"/>
  <c r="PJ99" i="6"/>
  <c r="PJ88" i="6"/>
  <c r="PJ89" i="6" s="1"/>
  <c r="PI85" i="6"/>
  <c r="PY122" i="6"/>
  <c r="PY124" i="6" s="1"/>
  <c r="PY125" i="6" s="1"/>
  <c r="PY151" i="6" s="1"/>
  <c r="PY109" i="6"/>
  <c r="ET64" i="6"/>
  <c r="W92" i="6"/>
  <c r="W71" i="6"/>
  <c r="BK71" i="6"/>
  <c r="BK92" i="6"/>
  <c r="BK93" i="6" s="1"/>
  <c r="CZ71" i="6"/>
  <c r="EN80" i="6"/>
  <c r="EN92" i="6"/>
  <c r="EN93" i="6" s="1"/>
  <c r="EN71" i="6"/>
  <c r="GC92" i="6"/>
  <c r="GC71" i="6"/>
  <c r="NN79" i="6"/>
  <c r="NR78" i="6"/>
  <c r="MN101" i="6"/>
  <c r="MN100" i="6"/>
  <c r="AC53" i="6"/>
  <c r="BQ53" i="6"/>
  <c r="DF53" i="6"/>
  <c r="ET53" i="6"/>
  <c r="GI53" i="6"/>
  <c r="HW53" i="6"/>
  <c r="JM53" i="6"/>
  <c r="LA53" i="6"/>
  <c r="MP53" i="6"/>
  <c r="OD53" i="6"/>
  <c r="PS53" i="6"/>
  <c r="QC122" i="6"/>
  <c r="QC124" i="6" s="1"/>
  <c r="QC125" i="6" s="1"/>
  <c r="QC151" i="6" s="1"/>
  <c r="QC109" i="6"/>
  <c r="NL79" i="6"/>
  <c r="NP78" i="6"/>
  <c r="KS80" i="6"/>
  <c r="QI122" i="6"/>
  <c r="QI124" i="6" s="1"/>
  <c r="QI125" i="6" s="1"/>
  <c r="QI151" i="6" s="1"/>
  <c r="QI109" i="6"/>
  <c r="DX78" i="6"/>
  <c r="DX80" i="6" s="1"/>
  <c r="DV79" i="6"/>
  <c r="AA93" i="6"/>
  <c r="DD92" i="6"/>
  <c r="DD93" i="6" s="1"/>
  <c r="GG93" i="6"/>
  <c r="AG53" i="6"/>
  <c r="BU53" i="6"/>
  <c r="DJ53" i="6"/>
  <c r="EX53" i="6"/>
  <c r="GM53" i="6"/>
  <c r="IA53" i="6"/>
  <c r="JQ53" i="6"/>
  <c r="LE53" i="6"/>
  <c r="MT53" i="6"/>
  <c r="OH53" i="6"/>
  <c r="QM122" i="6"/>
  <c r="QM124" i="6" s="1"/>
  <c r="QM125" i="6" s="1"/>
  <c r="QM109" i="6"/>
  <c r="GY92" i="6"/>
  <c r="GY93" i="6" s="1"/>
  <c r="GY80" i="6"/>
  <c r="LI111" i="6"/>
  <c r="LI110" i="6"/>
  <c r="QQ122" i="6"/>
  <c r="QQ124" i="6" s="1"/>
  <c r="QQ125" i="6" s="1"/>
  <c r="QQ109" i="6"/>
  <c r="BS64" i="6"/>
  <c r="BS93" i="6"/>
  <c r="PU55" i="6"/>
  <c r="PU51" i="6" s="1"/>
  <c r="DF64" i="6"/>
  <c r="BU93" i="6"/>
  <c r="JU93" i="6"/>
  <c r="QG93" i="6"/>
  <c r="HT77" i="6"/>
  <c r="GC88" i="6"/>
  <c r="GC89" i="6" s="1"/>
  <c r="GC83" i="6"/>
  <c r="GC99" i="6" s="1"/>
  <c r="DB48" i="6"/>
  <c r="EP48" i="6"/>
  <c r="GE48" i="6"/>
  <c r="HS48" i="6"/>
  <c r="JI48" i="6"/>
  <c r="KW48" i="6"/>
  <c r="ML48" i="6"/>
  <c r="NZ48" i="6"/>
  <c r="PN48" i="6"/>
  <c r="PY55" i="6"/>
  <c r="PY51" i="6" s="1"/>
  <c r="PY58" i="6"/>
  <c r="PY70" i="6"/>
  <c r="IG92" i="6"/>
  <c r="IG93" i="6" s="1"/>
  <c r="IG71" i="6"/>
  <c r="JW80" i="6"/>
  <c r="JW92" i="6"/>
  <c r="JW93" i="6" s="1"/>
  <c r="JW71" i="6"/>
  <c r="LK92" i="6"/>
  <c r="LK93" i="6" s="1"/>
  <c r="LK71" i="6"/>
  <c r="MZ80" i="6"/>
  <c r="MZ71" i="6"/>
  <c r="MZ92" i="6"/>
  <c r="MZ93" i="6" s="1"/>
  <c r="ON71" i="6"/>
  <c r="PU59" i="6"/>
  <c r="QC132" i="6"/>
  <c r="QC99" i="6"/>
  <c r="QC88" i="6"/>
  <c r="QC89" i="6" s="1"/>
  <c r="QB85" i="6"/>
  <c r="AM92" i="6"/>
  <c r="AM93" i="6" s="1"/>
  <c r="AM71" i="6"/>
  <c r="CA92" i="6"/>
  <c r="CA93" i="6" s="1"/>
  <c r="CA80" i="6"/>
  <c r="CA71" i="6"/>
  <c r="DP80" i="6"/>
  <c r="DP92" i="6"/>
  <c r="DP93" i="6" s="1"/>
  <c r="DP71" i="6"/>
  <c r="FD92" i="6"/>
  <c r="FD93" i="6" s="1"/>
  <c r="FD80" i="6"/>
  <c r="FD71" i="6"/>
  <c r="GS80" i="6"/>
  <c r="GS71" i="6"/>
  <c r="GS92" i="6"/>
  <c r="GS93" i="6" s="1"/>
  <c r="LA78" i="6"/>
  <c r="LA79" i="6" s="1"/>
  <c r="BQ48" i="6"/>
  <c r="BQ47" i="6" s="1"/>
  <c r="HW48" i="6"/>
  <c r="HW47" i="6" s="1"/>
  <c r="JM48" i="6"/>
  <c r="JM47" i="6" s="1"/>
  <c r="LA48" i="6"/>
  <c r="LA47" i="6" s="1"/>
  <c r="QC55" i="6"/>
  <c r="QC143" i="6"/>
  <c r="QC91" i="6"/>
  <c r="QC58" i="6"/>
  <c r="QQ70" i="6"/>
  <c r="O103" i="6"/>
  <c r="O104" i="6" s="1"/>
  <c r="O102" i="6"/>
  <c r="QI55" i="6"/>
  <c r="QM143" i="6"/>
  <c r="QM91" i="6"/>
  <c r="QM70" i="6"/>
  <c r="QI58" i="6"/>
  <c r="CG93" i="6"/>
  <c r="FJ92" i="6"/>
  <c r="FJ93" i="6" s="1"/>
  <c r="HA92" i="6"/>
  <c r="HA93" i="6" s="1"/>
  <c r="HA80" i="6"/>
  <c r="HA71" i="6"/>
  <c r="IO92" i="6"/>
  <c r="IO93" i="6" s="1"/>
  <c r="IO71" i="6"/>
  <c r="KE92" i="6"/>
  <c r="KE93" i="6" s="1"/>
  <c r="KE80" i="6"/>
  <c r="KE71" i="6"/>
  <c r="CO109" i="6"/>
  <c r="CO99" i="6"/>
  <c r="CO83" i="6"/>
  <c r="CN85" i="6"/>
  <c r="CO88" i="6"/>
  <c r="CO89" i="6" s="1"/>
  <c r="NL132" i="6"/>
  <c r="NL99" i="6"/>
  <c r="NL122" i="6"/>
  <c r="NL124" i="6" s="1"/>
  <c r="NL125" i="6" s="1"/>
  <c r="AG93" i="6"/>
  <c r="DJ92" i="6"/>
  <c r="DJ93" i="6" s="1"/>
  <c r="EX92" i="6"/>
  <c r="EX93" i="6" s="1"/>
  <c r="GM92" i="6"/>
  <c r="GM93" i="6" s="1"/>
  <c r="GM80" i="6"/>
  <c r="IA92" i="6"/>
  <c r="IA93" i="6" s="1"/>
  <c r="IA80" i="6"/>
  <c r="MT93" i="6"/>
  <c r="OH92" i="6"/>
  <c r="OH93" i="6" s="1"/>
  <c r="PW92" i="6"/>
  <c r="PW93" i="6" s="1"/>
  <c r="PW80" i="6"/>
  <c r="AA71" i="6"/>
  <c r="DD71" i="6"/>
  <c r="ER71" i="6"/>
  <c r="GG71" i="6"/>
  <c r="HU71" i="6"/>
  <c r="JK71" i="6"/>
  <c r="MN71" i="6"/>
  <c r="OB71" i="6"/>
  <c r="PP71" i="6"/>
  <c r="IG78" i="6"/>
  <c r="IG79" i="6" s="1"/>
  <c r="NP80" i="6"/>
  <c r="QO80" i="6"/>
  <c r="CV83" i="6"/>
  <c r="EJ83" i="6"/>
  <c r="FY101" i="6"/>
  <c r="FY100" i="6"/>
  <c r="HY83" i="6"/>
  <c r="M109" i="6"/>
  <c r="M88" i="6"/>
  <c r="M89" i="6" s="1"/>
  <c r="GI101" i="6"/>
  <c r="GI100" i="6"/>
  <c r="HU109" i="6"/>
  <c r="HU88" i="6"/>
  <c r="HU89" i="6" s="1"/>
  <c r="HU83" i="6"/>
  <c r="IY99" i="6"/>
  <c r="IX85" i="6"/>
  <c r="FU92" i="6"/>
  <c r="FU93" i="6" s="1"/>
  <c r="HU99" i="6"/>
  <c r="GI110" i="6"/>
  <c r="PU139" i="6"/>
  <c r="PU132" i="6"/>
  <c r="PU99" i="6"/>
  <c r="PU88" i="6"/>
  <c r="PU89" i="6" s="1"/>
  <c r="PT85" i="6"/>
  <c r="AI92" i="6"/>
  <c r="AI93" i="6" s="1"/>
  <c r="AI80" i="6"/>
  <c r="BW92" i="6"/>
  <c r="BW93" i="6" s="1"/>
  <c r="DL92" i="6"/>
  <c r="DL93" i="6" s="1"/>
  <c r="EZ92" i="6"/>
  <c r="EZ93" i="6" s="1"/>
  <c r="IC93" i="6"/>
  <c r="JS92" i="6"/>
  <c r="JS93" i="6" s="1"/>
  <c r="JS80" i="6"/>
  <c r="LG92" i="6"/>
  <c r="LG93" i="6" s="1"/>
  <c r="MV92" i="6"/>
  <c r="MV93" i="6" s="1"/>
  <c r="MV80" i="6"/>
  <c r="OJ92" i="6"/>
  <c r="OJ93" i="6" s="1"/>
  <c r="AC71" i="6"/>
  <c r="BQ71" i="6"/>
  <c r="GI71" i="6"/>
  <c r="HW71" i="6"/>
  <c r="OD71" i="6"/>
  <c r="PS71" i="6"/>
  <c r="IP77" i="6"/>
  <c r="KO80" i="6"/>
  <c r="GK109" i="6"/>
  <c r="GK99" i="6"/>
  <c r="GJ85" i="6"/>
  <c r="KO109" i="6"/>
  <c r="KN85" i="6"/>
  <c r="OL109" i="6"/>
  <c r="OL88" i="6"/>
  <c r="OL89" i="6" s="1"/>
  <c r="FW92" i="6"/>
  <c r="FW93" i="6" s="1"/>
  <c r="Y100" i="6"/>
  <c r="IY109" i="6"/>
  <c r="PY132" i="6"/>
  <c r="PY99" i="6"/>
  <c r="FB92" i="6"/>
  <c r="FB93" i="6" s="1"/>
  <c r="IE80" i="6"/>
  <c r="IE92" i="6"/>
  <c r="IE93" i="6" s="1"/>
  <c r="LI93" i="6"/>
  <c r="OL92" i="6"/>
  <c r="OL93" i="6" s="1"/>
  <c r="QA80" i="6"/>
  <c r="HO80" i="6"/>
  <c r="KQ80" i="6"/>
  <c r="AU83" i="6"/>
  <c r="KA84" i="6"/>
  <c r="KA83" i="6" s="1"/>
  <c r="NT84" i="6"/>
  <c r="NT83" i="6" s="1"/>
  <c r="GM109" i="6"/>
  <c r="GM99" i="6"/>
  <c r="GM83" i="6"/>
  <c r="KQ140" i="6"/>
  <c r="KQ147" i="6" s="1"/>
  <c r="KQ109" i="6"/>
  <c r="KQ99" i="6"/>
  <c r="KQ88" i="6"/>
  <c r="KQ89" i="6" s="1"/>
  <c r="KP85" i="6"/>
  <c r="NK85" i="6"/>
  <c r="K101" i="6"/>
  <c r="K100" i="6"/>
  <c r="IM100" i="6"/>
  <c r="IM101" i="6"/>
  <c r="JM109" i="6"/>
  <c r="OT93" i="6"/>
  <c r="AY84" i="6"/>
  <c r="AY85" i="6"/>
  <c r="CM83" i="6"/>
  <c r="HQ85" i="6"/>
  <c r="HQ92" i="6" s="1"/>
  <c r="HQ93" i="6" s="1"/>
  <c r="HQ84" i="6"/>
  <c r="KA109" i="6"/>
  <c r="KA99" i="6"/>
  <c r="NT109" i="6"/>
  <c r="NT99" i="6"/>
  <c r="NT88" i="6"/>
  <c r="NT89" i="6" s="1"/>
  <c r="M100" i="6"/>
  <c r="M101" i="6"/>
  <c r="JG101" i="6"/>
  <c r="JG100" i="6"/>
  <c r="LG110" i="6"/>
  <c r="LG111" i="6"/>
  <c r="QI132" i="6"/>
  <c r="QI139" i="6"/>
  <c r="QI99" i="6"/>
  <c r="QH85" i="6"/>
  <c r="AO93" i="6"/>
  <c r="CC93" i="6"/>
  <c r="DR92" i="6"/>
  <c r="DR93" i="6" s="1"/>
  <c r="DR80" i="6"/>
  <c r="FF92" i="6"/>
  <c r="FF93" i="6" s="1"/>
  <c r="FF80" i="6"/>
  <c r="JY93" i="6"/>
  <c r="LM93" i="6"/>
  <c r="NB93" i="6"/>
  <c r="OP93" i="6"/>
  <c r="AI71" i="6"/>
  <c r="BW71" i="6"/>
  <c r="DL71" i="6"/>
  <c r="EZ71" i="6"/>
  <c r="GO71" i="6"/>
  <c r="IC71" i="6"/>
  <c r="JS71" i="6"/>
  <c r="LG71" i="6"/>
  <c r="MV71" i="6"/>
  <c r="OJ71" i="6"/>
  <c r="IO78" i="6"/>
  <c r="IO79" i="6" s="1"/>
  <c r="DD83" i="6"/>
  <c r="ER83" i="6"/>
  <c r="BI140" i="6"/>
  <c r="BI147" i="6" s="1"/>
  <c r="BI109" i="6"/>
  <c r="BI99" i="6"/>
  <c r="BH85" i="6"/>
  <c r="KU140" i="6"/>
  <c r="KU147" i="6" s="1"/>
  <c r="KU99" i="6"/>
  <c r="KU109" i="6"/>
  <c r="KT85" i="6"/>
  <c r="LW109" i="6"/>
  <c r="LW99" i="6"/>
  <c r="LW83" i="6"/>
  <c r="LW88" i="6"/>
  <c r="LW89" i="6" s="1"/>
  <c r="PX85" i="6"/>
  <c r="O92" i="6"/>
  <c r="O93" i="6" s="1"/>
  <c r="PD92" i="6"/>
  <c r="PD93" i="6" s="1"/>
  <c r="HS96" i="6"/>
  <c r="HS84" i="6" s="1"/>
  <c r="KC84" i="6"/>
  <c r="KC85" i="6"/>
  <c r="KC92" i="6" s="1"/>
  <c r="KC93" i="6" s="1"/>
  <c r="NV85" i="6"/>
  <c r="NV92" i="6" s="1"/>
  <c r="NV93" i="6" s="1"/>
  <c r="NV84" i="6"/>
  <c r="JI101" i="6"/>
  <c r="JI100" i="6"/>
  <c r="QM132" i="6"/>
  <c r="QM99" i="6"/>
  <c r="CE93" i="6"/>
  <c r="DT80" i="6"/>
  <c r="DT92" i="6"/>
  <c r="DT93" i="6" s="1"/>
  <c r="FH92" i="6"/>
  <c r="FH93" i="6" s="1"/>
  <c r="FH80" i="6"/>
  <c r="GW80" i="6"/>
  <c r="GW92" i="6"/>
  <c r="GW93" i="6" s="1"/>
  <c r="IK80" i="6"/>
  <c r="IK92" i="6"/>
  <c r="IK93" i="6" s="1"/>
  <c r="KA80" i="6"/>
  <c r="KA92" i="6"/>
  <c r="KA93" i="6" s="1"/>
  <c r="ND93" i="6"/>
  <c r="OR93" i="6"/>
  <c r="QI70" i="6"/>
  <c r="AK71" i="6"/>
  <c r="BY71" i="6"/>
  <c r="DN71" i="6"/>
  <c r="FB71" i="6"/>
  <c r="GQ71" i="6"/>
  <c r="IE71" i="6"/>
  <c r="JU71" i="6"/>
  <c r="LI71" i="6"/>
  <c r="MX71" i="6"/>
  <c r="OL71" i="6"/>
  <c r="QA71" i="6"/>
  <c r="HZ77" i="6"/>
  <c r="HW80" i="6"/>
  <c r="U101" i="6"/>
  <c r="U100" i="6"/>
  <c r="DF83" i="6"/>
  <c r="ET83" i="6"/>
  <c r="ME83" i="6"/>
  <c r="GX85" i="6"/>
  <c r="NN140" i="6"/>
  <c r="NN147" i="6" s="1"/>
  <c r="NN109" i="6"/>
  <c r="NN99" i="6"/>
  <c r="OR109" i="6"/>
  <c r="OR99" i="6"/>
  <c r="OQ85" i="6"/>
  <c r="CZ85" i="6"/>
  <c r="ND111" i="6"/>
  <c r="ND110" i="6"/>
  <c r="QQ132" i="6"/>
  <c r="QQ139" i="6"/>
  <c r="QQ99" i="6"/>
  <c r="QP85" i="6"/>
  <c r="QQ88" i="6"/>
  <c r="QQ89" i="6" s="1"/>
  <c r="DV92" i="6"/>
  <c r="DV93" i="6" s="1"/>
  <c r="IM80" i="6"/>
  <c r="NF80" i="6"/>
  <c r="QK80" i="6"/>
  <c r="QK92" i="6"/>
  <c r="QK93" i="6" s="1"/>
  <c r="EX80" i="6"/>
  <c r="W100" i="6"/>
  <c r="W101" i="6"/>
  <c r="DH83" i="6"/>
  <c r="EV83" i="6"/>
  <c r="GK83" i="6"/>
  <c r="KW140" i="6"/>
  <c r="KW147" i="6" s="1"/>
  <c r="KW109" i="6"/>
  <c r="KW99" i="6"/>
  <c r="KW88" i="6"/>
  <c r="KW89" i="6" s="1"/>
  <c r="PY88" i="6"/>
  <c r="PY89" i="6" s="1"/>
  <c r="PP92" i="6"/>
  <c r="PP93" i="6" s="1"/>
  <c r="KO99" i="6"/>
  <c r="LS92" i="6"/>
  <c r="LS93" i="6" s="1"/>
  <c r="OV93" i="6"/>
  <c r="QI79" i="6"/>
  <c r="EZ80" i="6"/>
  <c r="IC80" i="6"/>
  <c r="Y103" i="6"/>
  <c r="Y104" i="6" s="1"/>
  <c r="Y102" i="6"/>
  <c r="JK109" i="6"/>
  <c r="JK99" i="6"/>
  <c r="JK83" i="6"/>
  <c r="QI88" i="6"/>
  <c r="QI89" i="6" s="1"/>
  <c r="IM92" i="6"/>
  <c r="IM93" i="6" s="1"/>
  <c r="QA92" i="6"/>
  <c r="QA93" i="6" s="1"/>
  <c r="BO99" i="6"/>
  <c r="LU93" i="6"/>
  <c r="QO93" i="6"/>
  <c r="FB80" i="6"/>
  <c r="HA109" i="6"/>
  <c r="HA99" i="6"/>
  <c r="IE140" i="6"/>
  <c r="IE109" i="6"/>
  <c r="IE88" i="6"/>
  <c r="IE89" i="6" s="1"/>
  <c r="IE99" i="6"/>
  <c r="ID85" i="6"/>
  <c r="NR140" i="6"/>
  <c r="NR147" i="6" s="1"/>
  <c r="NR99" i="6"/>
  <c r="NR88" i="6"/>
  <c r="NR89" i="6" s="1"/>
  <c r="NR109" i="6"/>
  <c r="BQ101" i="6"/>
  <c r="BQ100" i="6"/>
  <c r="FJ80" i="6"/>
  <c r="II80" i="6"/>
  <c r="AI109" i="6"/>
  <c r="AI99" i="6"/>
  <c r="BO109" i="6"/>
  <c r="BO88" i="6"/>
  <c r="BO89" i="6" s="1"/>
  <c r="JQ109" i="6"/>
  <c r="JQ83" i="6"/>
  <c r="JQ88" i="6"/>
  <c r="JQ89" i="6" s="1"/>
  <c r="JQ99" i="6"/>
  <c r="ME109" i="6"/>
  <c r="ME99" i="6"/>
  <c r="MD85" i="6"/>
  <c r="ME88" i="6"/>
  <c r="ME89" i="6" s="1"/>
  <c r="NS85" i="6"/>
  <c r="AI88" i="6"/>
  <c r="AI89" i="6" s="1"/>
  <c r="QM88" i="6"/>
  <c r="QM89" i="6" s="1"/>
  <c r="BE92" i="6"/>
  <c r="BE93" i="6" s="1"/>
  <c r="MG100" i="6"/>
  <c r="MG101" i="6"/>
  <c r="HG80" i="6"/>
  <c r="IU80" i="6"/>
  <c r="KK92" i="6"/>
  <c r="KK93" i="6" s="1"/>
  <c r="KK80" i="6"/>
  <c r="LY92" i="6"/>
  <c r="LY93" i="6" s="1"/>
  <c r="LY80" i="6"/>
  <c r="NN92" i="6"/>
  <c r="NN93" i="6" s="1"/>
  <c r="NN80" i="6"/>
  <c r="PB92" i="6"/>
  <c r="PB93" i="6" s="1"/>
  <c r="LS71" i="6"/>
  <c r="NH71" i="6"/>
  <c r="OV71" i="6"/>
  <c r="AC80" i="6"/>
  <c r="DP83" i="6"/>
  <c r="FD83" i="6"/>
  <c r="MP83" i="6"/>
  <c r="MP103" i="6" s="1"/>
  <c r="AM140" i="6"/>
  <c r="AM109" i="6"/>
  <c r="AM99" i="6"/>
  <c r="AM88" i="6"/>
  <c r="AM89" i="6" s="1"/>
  <c r="HE109" i="6"/>
  <c r="HE99" i="6"/>
  <c r="HE88" i="6"/>
  <c r="HE89" i="6" s="1"/>
  <c r="NX109" i="6"/>
  <c r="NX99" i="6"/>
  <c r="NX88" i="6"/>
  <c r="NX89" i="6" s="1"/>
  <c r="NW85" i="6"/>
  <c r="JK92" i="6"/>
  <c r="JK93" i="6" s="1"/>
  <c r="BM96" i="6"/>
  <c r="GQ84" i="6"/>
  <c r="GQ85" i="6"/>
  <c r="MC96" i="6"/>
  <c r="BC92" i="6"/>
  <c r="BC93" i="6" s="1"/>
  <c r="EF92" i="6"/>
  <c r="EF93" i="6" s="1"/>
  <c r="HI92" i="6"/>
  <c r="HI93" i="6" s="1"/>
  <c r="HI80" i="6"/>
  <c r="KM92" i="6"/>
  <c r="KM93" i="6" s="1"/>
  <c r="KM80" i="6"/>
  <c r="NP93" i="6"/>
  <c r="HC71" i="6"/>
  <c r="IQ71" i="6"/>
  <c r="KG71" i="6"/>
  <c r="LU71" i="6"/>
  <c r="NJ71" i="6"/>
  <c r="OX71" i="6"/>
  <c r="QO71" i="6"/>
  <c r="AE80" i="6"/>
  <c r="IQ80" i="6"/>
  <c r="S100" i="6"/>
  <c r="S101" i="6"/>
  <c r="AO109" i="6"/>
  <c r="AO99" i="6"/>
  <c r="AO88" i="6"/>
  <c r="AO89" i="6" s="1"/>
  <c r="BU140" i="6"/>
  <c r="BU147" i="6" s="1"/>
  <c r="BU99" i="6"/>
  <c r="BU109" i="6"/>
  <c r="BU83" i="6"/>
  <c r="JU109" i="6"/>
  <c r="JU88" i="6"/>
  <c r="JU89" i="6" s="1"/>
  <c r="JU99" i="6"/>
  <c r="JT85" i="6"/>
  <c r="PB109" i="6"/>
  <c r="PB99" i="6"/>
  <c r="PB88" i="6"/>
  <c r="PB89" i="6" s="1"/>
  <c r="IY88" i="6"/>
  <c r="IY89" i="6" s="1"/>
  <c r="NB101" i="6"/>
  <c r="NB100" i="6"/>
  <c r="Q80" i="6"/>
  <c r="HK80" i="6"/>
  <c r="IY80" i="6"/>
  <c r="AG80" i="6"/>
  <c r="PH80" i="6"/>
  <c r="GE101" i="6"/>
  <c r="GE100" i="6"/>
  <c r="JW109" i="6"/>
  <c r="JW99" i="6"/>
  <c r="JW88" i="6"/>
  <c r="JW89" i="6" s="1"/>
  <c r="QK140" i="6"/>
  <c r="QK147" i="6" s="1"/>
  <c r="QK109" i="6"/>
  <c r="QK83" i="6"/>
  <c r="QJ85" i="6"/>
  <c r="AU88" i="6"/>
  <c r="AU89" i="6" s="1"/>
  <c r="CQ92" i="6"/>
  <c r="CQ93" i="6" s="1"/>
  <c r="BQ88" i="6"/>
  <c r="BQ89" i="6" s="1"/>
  <c r="BQ109" i="6"/>
  <c r="BP85" i="6"/>
  <c r="GU84" i="6"/>
  <c r="GU85" i="6"/>
  <c r="II84" i="6"/>
  <c r="II85" i="6"/>
  <c r="KS85" i="6"/>
  <c r="KS92" i="6" s="1"/>
  <c r="KS93" i="6" s="1"/>
  <c r="KS84" i="6"/>
  <c r="ON84" i="6"/>
  <c r="ON85" i="6"/>
  <c r="ON92" i="6" s="1"/>
  <c r="ON93" i="6" s="1"/>
  <c r="ND100" i="6"/>
  <c r="ND101" i="6"/>
  <c r="JB92" i="6"/>
  <c r="JB93" i="6" s="1"/>
  <c r="JB80" i="6"/>
  <c r="KQ93" i="6"/>
  <c r="ME93" i="6"/>
  <c r="NT93" i="6"/>
  <c r="PH93" i="6"/>
  <c r="FS71" i="6"/>
  <c r="HG71" i="6"/>
  <c r="IU71" i="6"/>
  <c r="KK71" i="6"/>
  <c r="LY71" i="6"/>
  <c r="NN71" i="6"/>
  <c r="PB71" i="6"/>
  <c r="DD80" i="6"/>
  <c r="GI80" i="6"/>
  <c r="JD80" i="6"/>
  <c r="ME80" i="6"/>
  <c r="AS109" i="6"/>
  <c r="AS140" i="6"/>
  <c r="AS147" i="6" s="1"/>
  <c r="AR85" i="6"/>
  <c r="CA109" i="6"/>
  <c r="CA140" i="6"/>
  <c r="CA147" i="6" s="1"/>
  <c r="CA99" i="6"/>
  <c r="BZ85" i="6"/>
  <c r="FS109" i="6"/>
  <c r="FS99" i="6"/>
  <c r="FS88" i="6"/>
  <c r="FS89" i="6" s="1"/>
  <c r="JY109" i="6"/>
  <c r="JY99" i="6"/>
  <c r="LI88" i="6"/>
  <c r="LI89" i="6" s="1"/>
  <c r="LI140" i="6"/>
  <c r="LI147" i="6" s="1"/>
  <c r="LI99" i="6"/>
  <c r="LH85" i="6"/>
  <c r="ML109" i="6"/>
  <c r="ML99" i="6"/>
  <c r="QL85" i="6"/>
  <c r="AE109" i="6"/>
  <c r="AE88" i="6"/>
  <c r="AE89" i="6" s="1"/>
  <c r="AE99" i="6"/>
  <c r="AD85" i="6"/>
  <c r="BS109" i="6"/>
  <c r="BS99" i="6"/>
  <c r="BS88" i="6"/>
  <c r="BS89" i="6" s="1"/>
  <c r="BR85" i="6"/>
  <c r="GW140" i="6"/>
  <c r="GW147" i="6" s="1"/>
  <c r="GW109" i="6"/>
  <c r="GW99" i="6"/>
  <c r="GW88" i="6"/>
  <c r="GW89" i="6" s="1"/>
  <c r="IK109" i="6"/>
  <c r="IK99" i="6"/>
  <c r="IJ85" i="6"/>
  <c r="IK88" i="6"/>
  <c r="IK89" i="6" s="1"/>
  <c r="MZ83" i="6"/>
  <c r="NJ100" i="6"/>
  <c r="U109" i="6"/>
  <c r="U93" i="6"/>
  <c r="CX92" i="6"/>
  <c r="CX93" i="6" s="1"/>
  <c r="EL92" i="6"/>
  <c r="EL93" i="6" s="1"/>
  <c r="JD93" i="6"/>
  <c r="MG93" i="6"/>
  <c r="PJ92" i="6"/>
  <c r="PJ93" i="6" s="1"/>
  <c r="BC71" i="6"/>
  <c r="CQ71" i="6"/>
  <c r="EF71" i="6"/>
  <c r="HI71" i="6"/>
  <c r="IW71" i="6"/>
  <c r="KM71" i="6"/>
  <c r="MA71" i="6"/>
  <c r="NP71" i="6"/>
  <c r="HU78" i="6"/>
  <c r="HU79" i="6" s="1"/>
  <c r="DJ80" i="6"/>
  <c r="GK80" i="6"/>
  <c r="MG80" i="6"/>
  <c r="ML83" i="6"/>
  <c r="DX83" i="6"/>
  <c r="FL83" i="6"/>
  <c r="CC109" i="6"/>
  <c r="CB85" i="6"/>
  <c r="CC99" i="6"/>
  <c r="HK109" i="6"/>
  <c r="HK140" i="6"/>
  <c r="HK88" i="6"/>
  <c r="HK89" i="6" s="1"/>
  <c r="HK99" i="6"/>
  <c r="HJ85" i="6"/>
  <c r="IO140" i="6"/>
  <c r="IO147" i="6" s="1"/>
  <c r="IO109" i="6"/>
  <c r="IO99" i="6"/>
  <c r="IO88" i="6"/>
  <c r="IO89" i="6" s="1"/>
  <c r="LK109" i="6"/>
  <c r="LK140" i="6"/>
  <c r="LK147" i="6" s="1"/>
  <c r="LK99" i="6"/>
  <c r="LJ85" i="6"/>
  <c r="LK88" i="6"/>
  <c r="LK89" i="6" s="1"/>
  <c r="MN109" i="6"/>
  <c r="MN83" i="6"/>
  <c r="BI88" i="6"/>
  <c r="BI89" i="6" s="1"/>
  <c r="JK88" i="6"/>
  <c r="JK89" i="6" s="1"/>
  <c r="NL88" i="6"/>
  <c r="NL89" i="6" s="1"/>
  <c r="OJ100" i="6"/>
  <c r="AU140" i="6"/>
  <c r="AU147" i="6" s="1"/>
  <c r="AU109" i="6"/>
  <c r="AU99" i="6"/>
  <c r="MP109" i="6"/>
  <c r="MP99" i="6"/>
  <c r="MP88" i="6"/>
  <c r="MP89" i="6" s="1"/>
  <c r="OD101" i="6"/>
  <c r="OD100" i="6"/>
  <c r="DN92" i="6"/>
  <c r="DN93" i="6" s="1"/>
  <c r="OL101" i="6"/>
  <c r="OL100" i="6"/>
  <c r="AS132" i="6"/>
  <c r="AS122" i="6"/>
  <c r="AS124" i="6" s="1"/>
  <c r="AS125" i="6" s="1"/>
  <c r="AS99" i="6"/>
  <c r="Y109" i="6"/>
  <c r="Y93" i="6"/>
  <c r="DB92" i="6"/>
  <c r="DB93" i="6" s="1"/>
  <c r="EP92" i="6"/>
  <c r="EP93" i="6" s="1"/>
  <c r="GE93" i="6"/>
  <c r="GE109" i="6"/>
  <c r="HS80" i="6"/>
  <c r="JI93" i="6"/>
  <c r="KW92" i="6"/>
  <c r="KW93" i="6" s="1"/>
  <c r="KW80" i="6"/>
  <c r="ML93" i="6"/>
  <c r="NZ92" i="6"/>
  <c r="NZ93" i="6" s="1"/>
  <c r="PN92" i="6"/>
  <c r="PN93" i="6" s="1"/>
  <c r="PN80" i="6"/>
  <c r="JB71" i="6"/>
  <c r="KQ71" i="6"/>
  <c r="ME71" i="6"/>
  <c r="NT71" i="6"/>
  <c r="PH71" i="6"/>
  <c r="ND80" i="6"/>
  <c r="PL83" i="6"/>
  <c r="FY111" i="6"/>
  <c r="IS109" i="6"/>
  <c r="IS140" i="6"/>
  <c r="IS147" i="6" s="1"/>
  <c r="IS99" i="6"/>
  <c r="IS88" i="6"/>
  <c r="IS89" i="6" s="1"/>
  <c r="CA88" i="6"/>
  <c r="CA89" i="6" s="1"/>
  <c r="FY88" i="6"/>
  <c r="FY89" i="6" s="1"/>
  <c r="JY88" i="6"/>
  <c r="JY89" i="6" s="1"/>
  <c r="MA92" i="6"/>
  <c r="MA93" i="6" s="1"/>
  <c r="AK85" i="6"/>
  <c r="AK92" i="6" s="1"/>
  <c r="AK93" i="6" s="1"/>
  <c r="AK84" i="6"/>
  <c r="AK83" i="6" s="1"/>
  <c r="BY85" i="6"/>
  <c r="BY92" i="6" s="1"/>
  <c r="BY93" i="6" s="1"/>
  <c r="BY84" i="6"/>
  <c r="HC140" i="6"/>
  <c r="HC147" i="6" s="1"/>
  <c r="HC99" i="6"/>
  <c r="HC109" i="6"/>
  <c r="HC88" i="6"/>
  <c r="HC89" i="6" s="1"/>
  <c r="HB85" i="6"/>
  <c r="IQ109" i="6"/>
  <c r="IQ140" i="6"/>
  <c r="IQ147" i="6" s="1"/>
  <c r="IQ88" i="6"/>
  <c r="IQ89" i="6" s="1"/>
  <c r="IQ99" i="6"/>
  <c r="IP85" i="6"/>
  <c r="LA140" i="6"/>
  <c r="LA147" i="6" s="1"/>
  <c r="LA109" i="6"/>
  <c r="LA99" i="6"/>
  <c r="KZ85" i="6"/>
  <c r="NF84" i="6"/>
  <c r="NF85" i="6"/>
  <c r="OV109" i="6"/>
  <c r="OV99" i="6"/>
  <c r="OU85" i="6"/>
  <c r="OV88" i="6"/>
  <c r="OV89" i="6" s="1"/>
  <c r="DR132" i="6"/>
  <c r="DR122" i="6"/>
  <c r="DR124" i="6" s="1"/>
  <c r="DR125" i="6" s="1"/>
  <c r="DR151" i="6" s="1"/>
  <c r="DR99" i="6"/>
  <c r="DR88" i="6"/>
  <c r="DR89" i="6" s="1"/>
  <c r="BO92" i="6"/>
  <c r="BO93" i="6" s="1"/>
  <c r="ER92" i="6"/>
  <c r="ER93" i="6" s="1"/>
  <c r="HU93" i="6"/>
  <c r="KY92" i="6"/>
  <c r="KY93" i="6" s="1"/>
  <c r="KY80" i="6"/>
  <c r="OB93" i="6"/>
  <c r="U71" i="6"/>
  <c r="BI71" i="6"/>
  <c r="CX71" i="6"/>
  <c r="EL71" i="6"/>
  <c r="GA71" i="6"/>
  <c r="HO71" i="6"/>
  <c r="JD71" i="6"/>
  <c r="KS71" i="6"/>
  <c r="MG71" i="6"/>
  <c r="NV71" i="6"/>
  <c r="PJ71" i="6"/>
  <c r="DV80" i="6"/>
  <c r="GU80" i="6"/>
  <c r="JY80" i="6"/>
  <c r="NH80" i="6"/>
  <c r="QG80" i="6"/>
  <c r="CG109" i="6"/>
  <c r="CG99" i="6"/>
  <c r="CG88" i="6"/>
  <c r="CG89" i="6" s="1"/>
  <c r="CF85" i="6"/>
  <c r="KI109" i="6"/>
  <c r="KI83" i="6"/>
  <c r="LO85" i="6"/>
  <c r="LO140" i="6" s="1"/>
  <c r="LO147" i="6" s="1"/>
  <c r="PL140" i="6"/>
  <c r="PL147" i="6" s="1"/>
  <c r="PL109" i="6"/>
  <c r="PL88" i="6"/>
  <c r="PL89" i="6" s="1"/>
  <c r="PK85" i="6"/>
  <c r="S109" i="6"/>
  <c r="S88" i="6"/>
  <c r="S89" i="6" s="1"/>
  <c r="KA88" i="6"/>
  <c r="KA89" i="6" s="1"/>
  <c r="AM83" i="6"/>
  <c r="CA83" i="6"/>
  <c r="HE83" i="6"/>
  <c r="IS83" i="6"/>
  <c r="NH99" i="6"/>
  <c r="NH88" i="6"/>
  <c r="NH89" i="6" s="1"/>
  <c r="NH109" i="6"/>
  <c r="OX140" i="6"/>
  <c r="OX147" i="6" s="1"/>
  <c r="OX109" i="6"/>
  <c r="OX88" i="6"/>
  <c r="OX89" i="6" s="1"/>
  <c r="OW85" i="6"/>
  <c r="OX99" i="6"/>
  <c r="FU101" i="6"/>
  <c r="FU100" i="6"/>
  <c r="QG101" i="6"/>
  <c r="QG100" i="6"/>
  <c r="GY132" i="6"/>
  <c r="GY122" i="6"/>
  <c r="GY124" i="6" s="1"/>
  <c r="GY125" i="6" s="1"/>
  <c r="GY99" i="6"/>
  <c r="GY88" i="6"/>
  <c r="GY89" i="6" s="1"/>
  <c r="AC93" i="6"/>
  <c r="BQ93" i="6"/>
  <c r="DF92" i="6"/>
  <c r="DF93" i="6" s="1"/>
  <c r="DF80" i="6"/>
  <c r="ET92" i="6"/>
  <c r="ET93" i="6" s="1"/>
  <c r="ET80" i="6"/>
  <c r="GI93" i="6"/>
  <c r="HW93" i="6"/>
  <c r="JM92" i="6"/>
  <c r="JM93" i="6" s="1"/>
  <c r="LA92" i="6"/>
  <c r="LA93" i="6" s="1"/>
  <c r="LA80" i="6"/>
  <c r="MP92" i="6"/>
  <c r="MP93" i="6" s="1"/>
  <c r="OD93" i="6"/>
  <c r="PS93" i="6"/>
  <c r="KC80" i="6"/>
  <c r="NJ80" i="6"/>
  <c r="JY83" i="6"/>
  <c r="I109" i="6"/>
  <c r="I99" i="6"/>
  <c r="I88" i="6"/>
  <c r="I89" i="6" s="1"/>
  <c r="MX109" i="6"/>
  <c r="MX88" i="6"/>
  <c r="MX89" i="6" s="1"/>
  <c r="MX99" i="6"/>
  <c r="MW85" i="6"/>
  <c r="OH109" i="6"/>
  <c r="OH99" i="6"/>
  <c r="OH88" i="6"/>
  <c r="OH89" i="6" s="1"/>
  <c r="OH83" i="6"/>
  <c r="PN99" i="6"/>
  <c r="PN109" i="6"/>
  <c r="PN88" i="6"/>
  <c r="PN89" i="6" s="1"/>
  <c r="MN92" i="6"/>
  <c r="MN93" i="6" s="1"/>
  <c r="HG85" i="6"/>
  <c r="HG140" i="6" s="1"/>
  <c r="HG147" i="6" s="1"/>
  <c r="HG84" i="6"/>
  <c r="IU96" i="6"/>
  <c r="LE85" i="6"/>
  <c r="LE92" i="6" s="1"/>
  <c r="LE93" i="6" s="1"/>
  <c r="LE84" i="6"/>
  <c r="NJ109" i="6"/>
  <c r="NJ88" i="6"/>
  <c r="NJ89" i="6" s="1"/>
  <c r="GO100" i="6"/>
  <c r="GO101" i="6"/>
  <c r="QK99" i="6"/>
  <c r="CI109" i="6"/>
  <c r="KI132" i="6"/>
  <c r="KI122" i="6"/>
  <c r="KI124" i="6" s="1"/>
  <c r="KI125" i="6" s="1"/>
  <c r="KI151" i="6" s="1"/>
  <c r="KI99" i="6"/>
  <c r="KI88" i="6"/>
  <c r="KI89" i="6" s="1"/>
  <c r="AE93" i="6"/>
  <c r="DH92" i="6"/>
  <c r="DH93" i="6" s="1"/>
  <c r="DH80" i="6"/>
  <c r="EV92" i="6"/>
  <c r="EV93" i="6" s="1"/>
  <c r="EV80" i="6"/>
  <c r="GK93" i="6"/>
  <c r="HY92" i="6"/>
  <c r="HY93" i="6" s="1"/>
  <c r="MR103" i="6"/>
  <c r="MR92" i="6"/>
  <c r="MR93" i="6" s="1"/>
  <c r="PU70" i="6"/>
  <c r="Y71" i="6"/>
  <c r="BM71" i="6"/>
  <c r="DB71" i="6"/>
  <c r="EP71" i="6"/>
  <c r="GE71" i="6"/>
  <c r="HS71" i="6"/>
  <c r="JI71" i="6"/>
  <c r="KW71" i="6"/>
  <c r="ML71" i="6"/>
  <c r="NZ71" i="6"/>
  <c r="PN71" i="6"/>
  <c r="HC80" i="6"/>
  <c r="KG80" i="6"/>
  <c r="EH83" i="6"/>
  <c r="K109" i="6"/>
  <c r="K83" i="6"/>
  <c r="K88" i="6"/>
  <c r="K89" i="6" s="1"/>
  <c r="BA85" i="6"/>
  <c r="BA140" i="6" s="1"/>
  <c r="BA147" i="6" s="1"/>
  <c r="CI101" i="6"/>
  <c r="CI100" i="6"/>
  <c r="HT85" i="6"/>
  <c r="LQ85" i="6"/>
  <c r="MZ109" i="6"/>
  <c r="MZ99" i="6"/>
  <c r="MR99" i="6"/>
  <c r="MR88" i="6"/>
  <c r="GK88" i="6"/>
  <c r="GK89" i="6" s="1"/>
  <c r="KO88" i="6"/>
  <c r="KO89" i="6" s="1"/>
  <c r="MX92" i="6"/>
  <c r="MX93" i="6" s="1"/>
  <c r="CK110" i="6"/>
  <c r="CK111" i="6"/>
  <c r="G110" i="6"/>
  <c r="G111" i="6"/>
  <c r="FW110" i="6"/>
  <c r="FW111" i="6"/>
  <c r="HW109" i="6"/>
  <c r="HW99" i="6"/>
  <c r="MJ109" i="6"/>
  <c r="MJ99" i="6"/>
  <c r="NP140" i="6"/>
  <c r="NP147" i="6" s="1"/>
  <c r="NP109" i="6"/>
  <c r="PD101" i="6"/>
  <c r="PD100" i="6"/>
  <c r="QA109" i="6"/>
  <c r="QA88" i="6"/>
  <c r="QA89" i="6" s="1"/>
  <c r="JG88" i="6"/>
  <c r="JG89" i="6" s="1"/>
  <c r="OJ88" i="6"/>
  <c r="OJ89" i="6" s="1"/>
  <c r="BK99" i="6"/>
  <c r="JB99" i="6"/>
  <c r="MV99" i="6"/>
  <c r="HI111" i="6"/>
  <c r="LE124" i="6"/>
  <c r="LE125" i="6" s="1"/>
  <c r="LE151" i="6" s="1"/>
  <c r="IA109" i="6"/>
  <c r="IA99" i="6"/>
  <c r="PH111" i="6"/>
  <c r="PH110" i="6"/>
  <c r="QG140" i="6"/>
  <c r="QG109" i="6"/>
  <c r="CQ88" i="6"/>
  <c r="CQ89" i="6" s="1"/>
  <c r="NB88" i="6"/>
  <c r="NB89" i="6" s="1"/>
  <c r="FW99" i="6"/>
  <c r="Q109" i="6"/>
  <c r="Q99" i="6"/>
  <c r="AW140" i="6"/>
  <c r="AW147" i="6" s="1"/>
  <c r="AW109" i="6"/>
  <c r="AW88" i="6"/>
  <c r="AW89" i="6" s="1"/>
  <c r="CK99" i="6"/>
  <c r="CK88" i="6"/>
  <c r="CK89" i="6" s="1"/>
  <c r="GG109" i="6"/>
  <c r="GG99" i="6"/>
  <c r="KY110" i="6"/>
  <c r="LS109" i="6"/>
  <c r="LS99" i="6"/>
  <c r="MT109" i="6"/>
  <c r="MT99" i="6"/>
  <c r="G88" i="6"/>
  <c r="G89" i="6" s="1"/>
  <c r="HW88" i="6"/>
  <c r="HW89" i="6" s="1"/>
  <c r="ND88" i="6"/>
  <c r="ND89" i="6" s="1"/>
  <c r="CE99" i="6"/>
  <c r="JS99" i="6"/>
  <c r="NP99" i="6"/>
  <c r="O109" i="6"/>
  <c r="IC140" i="6"/>
  <c r="IC109" i="6"/>
  <c r="IC99" i="6"/>
  <c r="IW99" i="6"/>
  <c r="IW109" i="6"/>
  <c r="KE140" i="6"/>
  <c r="KE147" i="6" s="1"/>
  <c r="KE109" i="6"/>
  <c r="MV110" i="6"/>
  <c r="MV111" i="6"/>
  <c r="OP109" i="6"/>
  <c r="OP99" i="6"/>
  <c r="BC88" i="6"/>
  <c r="BC89" i="6" s="1"/>
  <c r="GG88" i="6"/>
  <c r="GG89" i="6" s="1"/>
  <c r="JS88" i="6"/>
  <c r="JS89" i="6" s="1"/>
  <c r="LM88" i="6"/>
  <c r="LM89" i="6" s="1"/>
  <c r="KE99" i="6"/>
  <c r="BC109" i="6"/>
  <c r="PD109" i="6"/>
  <c r="KG140" i="6"/>
  <c r="KG147" i="6" s="1"/>
  <c r="KG109" i="6"/>
  <c r="KG88" i="6"/>
  <c r="KG89" i="6" s="1"/>
  <c r="LU109" i="6"/>
  <c r="LU99" i="6"/>
  <c r="LU88" i="6"/>
  <c r="LU89" i="6" s="1"/>
  <c r="BE88" i="6"/>
  <c r="BE89" i="6" s="1"/>
  <c r="IA88" i="6"/>
  <c r="IA89" i="6" s="1"/>
  <c r="G99" i="6"/>
  <c r="CQ99" i="6"/>
  <c r="KG99" i="6"/>
  <c r="PW109" i="6"/>
  <c r="OJ111" i="6"/>
  <c r="AA109" i="6"/>
  <c r="AA99" i="6"/>
  <c r="CP85" i="6"/>
  <c r="GO111" i="6"/>
  <c r="GO110" i="6"/>
  <c r="HM109" i="6"/>
  <c r="HM99" i="6"/>
  <c r="IG140" i="6"/>
  <c r="IG147" i="6" s="1"/>
  <c r="IG109" i="6"/>
  <c r="IG99" i="6"/>
  <c r="JB111" i="6"/>
  <c r="JB110" i="6"/>
  <c r="NB110" i="6"/>
  <c r="NZ99" i="6"/>
  <c r="NZ109" i="6"/>
  <c r="OT140" i="6"/>
  <c r="OT109" i="6"/>
  <c r="PP109" i="6"/>
  <c r="PP99" i="6"/>
  <c r="GO88" i="6"/>
  <c r="GO89" i="6" s="1"/>
  <c r="NP88" i="6"/>
  <c r="NP89" i="6" s="1"/>
  <c r="PH88" i="6"/>
  <c r="PH89" i="6" s="1"/>
  <c r="KY99" i="6"/>
  <c r="OT99" i="6"/>
  <c r="AC109" i="6"/>
  <c r="AC99" i="6"/>
  <c r="BW140" i="6"/>
  <c r="BW147" i="6" s="1"/>
  <c r="BW109" i="6"/>
  <c r="BW99" i="6"/>
  <c r="CQ111" i="6"/>
  <c r="CQ110" i="6"/>
  <c r="KK140" i="6"/>
  <c r="KK147" i="6" s="1"/>
  <c r="KK109" i="6"/>
  <c r="KK99" i="6"/>
  <c r="LY109" i="6"/>
  <c r="LY99" i="6"/>
  <c r="ND147" i="6"/>
  <c r="ND141" i="6"/>
  <c r="LY88" i="6"/>
  <c r="LY89" i="6" s="1"/>
  <c r="HI99" i="6"/>
  <c r="GS109" i="6"/>
  <c r="GS99" i="6"/>
  <c r="HO109" i="6"/>
  <c r="HO99" i="6"/>
  <c r="JD99" i="6"/>
  <c r="JD109" i="6"/>
  <c r="OB99" i="6"/>
  <c r="OB109" i="6"/>
  <c r="PS140" i="6"/>
  <c r="PS147" i="6" s="1"/>
  <c r="PS109" i="6"/>
  <c r="PS99" i="6"/>
  <c r="QO109" i="6"/>
  <c r="QO99" i="6"/>
  <c r="QO88" i="6"/>
  <c r="QO89" i="6" s="1"/>
  <c r="OF96" i="6"/>
  <c r="OF84" i="6" s="1"/>
  <c r="U133" i="6"/>
  <c r="U134" i="6" s="1"/>
  <c r="U129" i="6"/>
  <c r="CS109" i="6"/>
  <c r="CS99" i="6"/>
  <c r="JG110" i="6"/>
  <c r="KM140" i="6"/>
  <c r="KM147" i="6" s="1"/>
  <c r="KM109" i="6"/>
  <c r="KM99" i="6"/>
  <c r="LG140" i="6"/>
  <c r="LG147" i="6" s="1"/>
  <c r="LG99" i="6"/>
  <c r="MA109" i="6"/>
  <c r="MA99" i="6"/>
  <c r="KK88" i="6"/>
  <c r="KK89" i="6" s="1"/>
  <c r="LM99" i="6"/>
  <c r="PH99" i="6"/>
  <c r="AG99" i="6"/>
  <c r="AG109" i="6"/>
  <c r="JI111" i="6"/>
  <c r="JI110" i="6"/>
  <c r="OD109" i="6"/>
  <c r="OD140" i="6"/>
  <c r="OD147" i="6" s="1"/>
  <c r="JO86" i="6"/>
  <c r="JO85" i="6" s="1"/>
  <c r="JO88" i="6" s="1"/>
  <c r="JO89" i="6" s="1"/>
  <c r="AA88" i="6"/>
  <c r="AA89" i="6" s="1"/>
  <c r="KM88" i="6"/>
  <c r="KM89" i="6" s="1"/>
  <c r="PP88" i="6"/>
  <c r="PP89" i="6" s="1"/>
  <c r="PF96" i="6"/>
  <c r="PF84" i="6" s="1"/>
  <c r="GY110" i="6"/>
  <c r="GY111" i="6"/>
  <c r="IM110" i="6"/>
  <c r="IM111" i="6"/>
  <c r="NL111" i="6"/>
  <c r="NL110" i="6"/>
  <c r="OZ109" i="6"/>
  <c r="OZ99" i="6"/>
  <c r="PW100" i="6"/>
  <c r="PW101" i="6"/>
  <c r="BW88" i="6"/>
  <c r="BW89" i="6" s="1"/>
  <c r="IW88" i="6"/>
  <c r="IW89" i="6" s="1"/>
  <c r="MJ88" i="6"/>
  <c r="MJ89" i="6" s="1"/>
  <c r="OB88" i="6"/>
  <c r="OB89" i="6" s="1"/>
  <c r="AW99" i="6"/>
  <c r="QA99" i="6"/>
  <c r="GA133" i="6"/>
  <c r="GA134" i="6" s="1"/>
  <c r="GA129" i="6"/>
  <c r="AQ109" i="6"/>
  <c r="AQ99" i="6"/>
  <c r="BK140" i="6"/>
  <c r="BK147" i="6" s="1"/>
  <c r="BK109" i="6"/>
  <c r="CE111" i="6"/>
  <c r="CE110" i="6"/>
  <c r="FU111" i="6"/>
  <c r="FU110" i="6"/>
  <c r="HV85" i="6"/>
  <c r="JS110" i="6"/>
  <c r="JS111" i="6"/>
  <c r="LM111" i="6"/>
  <c r="LM110" i="6"/>
  <c r="MG140" i="6"/>
  <c r="MG109" i="6"/>
  <c r="NO85" i="6"/>
  <c r="OI85" i="6"/>
  <c r="PC85" i="6"/>
  <c r="PZ85" i="6"/>
  <c r="CE88" i="6"/>
  <c r="CE89" i="6" s="1"/>
  <c r="JD88" i="6"/>
  <c r="JD89" i="6" s="1"/>
  <c r="BE99" i="6"/>
  <c r="HU151" i="6"/>
  <c r="HU140" i="6"/>
  <c r="HU147" i="6" s="1"/>
  <c r="HU139" i="6"/>
  <c r="HU143" i="6"/>
  <c r="KI139" i="6"/>
  <c r="KI140" i="6"/>
  <c r="KI147" i="6" s="1"/>
  <c r="KI143" i="6"/>
  <c r="BC146" i="6"/>
  <c r="BC141" i="6"/>
  <c r="BW146" i="6"/>
  <c r="IG146" i="6"/>
  <c r="NP146" i="6"/>
  <c r="S129" i="6"/>
  <c r="S133" i="6"/>
  <c r="S134" i="6" s="1"/>
  <c r="BQ124" i="6"/>
  <c r="BQ125" i="6" s="1"/>
  <c r="BQ151" i="6" s="1"/>
  <c r="PJ143" i="6"/>
  <c r="PJ140" i="6"/>
  <c r="PJ147" i="6" s="1"/>
  <c r="PJ151" i="6"/>
  <c r="PJ139" i="6"/>
  <c r="BQ143" i="6"/>
  <c r="BQ139" i="6"/>
  <c r="BQ140" i="6"/>
  <c r="BQ147" i="6" s="1"/>
  <c r="EN146" i="6"/>
  <c r="IW146" i="6"/>
  <c r="AG124" i="6"/>
  <c r="AG125" i="6" s="1"/>
  <c r="EZ141" i="6"/>
  <c r="EZ146" i="6"/>
  <c r="QA146" i="6"/>
  <c r="GC129" i="6"/>
  <c r="GC133" i="6"/>
  <c r="GC134" i="6" s="1"/>
  <c r="HC146" i="6"/>
  <c r="HC141" i="6"/>
  <c r="QI143" i="6"/>
  <c r="II146" i="6"/>
  <c r="LS138" i="6"/>
  <c r="LY137" i="6"/>
  <c r="LY138" i="6" s="1"/>
  <c r="LW137" i="6"/>
  <c r="LW138" i="6" s="1"/>
  <c r="OB146" i="6"/>
  <c r="O123" i="6"/>
  <c r="O124" i="6" s="1"/>
  <c r="O125" i="6" s="1"/>
  <c r="O128" i="6" s="1"/>
  <c r="O129" i="6" s="1"/>
  <c r="OF151" i="6"/>
  <c r="OF143" i="6"/>
  <c r="OF139" i="6"/>
  <c r="EB141" i="6"/>
  <c r="EB146" i="6"/>
  <c r="OH139" i="6"/>
  <c r="OH140" i="6"/>
  <c r="OH147" i="6" s="1"/>
  <c r="OH143" i="6"/>
  <c r="HO140" i="6"/>
  <c r="HO147" i="6" s="1"/>
  <c r="HO151" i="6"/>
  <c r="HO139" i="6"/>
  <c r="HO143" i="6"/>
  <c r="KC151" i="6"/>
  <c r="KC140" i="6"/>
  <c r="KC147" i="6" s="1"/>
  <c r="KC139" i="6"/>
  <c r="KC143" i="6"/>
  <c r="LQ139" i="6"/>
  <c r="LQ143" i="6"/>
  <c r="ER146" i="6"/>
  <c r="BU146" i="6"/>
  <c r="CE124" i="6"/>
  <c r="CE125" i="6" s="1"/>
  <c r="KO124" i="6"/>
  <c r="KO125" i="6" s="1"/>
  <c r="KO151" i="6" s="1"/>
  <c r="AW151" i="6"/>
  <c r="Y133" i="6"/>
  <c r="Y134" i="6" s="1"/>
  <c r="Y129" i="6"/>
  <c r="FY133" i="6"/>
  <c r="FY134" i="6" s="1"/>
  <c r="FY129" i="6"/>
  <c r="AS139" i="6"/>
  <c r="LM146" i="6"/>
  <c r="PY143" i="6"/>
  <c r="PY139" i="6"/>
  <c r="PY140" i="6"/>
  <c r="PY147" i="6" s="1"/>
  <c r="HW146" i="6"/>
  <c r="LY124" i="6"/>
  <c r="LY125" i="6" s="1"/>
  <c r="NR124" i="6"/>
  <c r="NR125" i="6" s="1"/>
  <c r="NR151" i="6" s="1"/>
  <c r="IA123" i="6"/>
  <c r="IA124" i="6" s="1"/>
  <c r="IA125" i="6" s="1"/>
  <c r="IA151" i="6" s="1"/>
  <c r="BU123" i="6"/>
  <c r="BU124" i="6" s="1"/>
  <c r="BU125" i="6" s="1"/>
  <c r="BU151" i="6" s="1"/>
  <c r="LK123" i="6"/>
  <c r="LK124" i="6" s="1"/>
  <c r="LK125" i="6" s="1"/>
  <c r="LK151" i="6" s="1"/>
  <c r="ON123" i="6"/>
  <c r="ON124" i="6" s="1"/>
  <c r="ON125" i="6" s="1"/>
  <c r="ON151" i="6" s="1"/>
  <c r="BE151" i="6"/>
  <c r="BE143" i="6"/>
  <c r="BE140" i="6"/>
  <c r="BE147" i="6" s="1"/>
  <c r="BE139" i="6"/>
  <c r="NV143" i="6"/>
  <c r="NV139" i="6"/>
  <c r="NV140" i="6"/>
  <c r="NV147" i="6" s="1"/>
  <c r="NV151" i="6"/>
  <c r="GG133" i="6"/>
  <c r="GG134" i="6" s="1"/>
  <c r="GG129" i="6"/>
  <c r="NX143" i="6"/>
  <c r="NX151" i="6"/>
  <c r="NX139" i="6"/>
  <c r="NX140" i="6"/>
  <c r="NX147" i="6" s="1"/>
  <c r="KM124" i="6"/>
  <c r="KM125" i="6" s="1"/>
  <c r="KM151" i="6" s="1"/>
  <c r="LC123" i="6"/>
  <c r="LC124" i="6" s="1"/>
  <c r="LC125" i="6" s="1"/>
  <c r="LC151" i="6" s="1"/>
  <c r="JM133" i="6"/>
  <c r="JM134" i="6" s="1"/>
  <c r="BM139" i="6"/>
  <c r="BM143" i="6"/>
  <c r="NR141" i="6"/>
  <c r="NR146" i="6"/>
  <c r="K123" i="6"/>
  <c r="K124" i="6" s="1"/>
  <c r="K125" i="6" s="1"/>
  <c r="K128" i="6" s="1"/>
  <c r="K129" i="6" s="1"/>
  <c r="BA124" i="6"/>
  <c r="BA125" i="6" s="1"/>
  <c r="BA151" i="6" s="1"/>
  <c r="EX146" i="6"/>
  <c r="AQ151" i="6"/>
  <c r="AQ139" i="6"/>
  <c r="AQ143" i="6"/>
  <c r="AQ140" i="6"/>
  <c r="AQ147" i="6" s="1"/>
  <c r="EP143" i="6"/>
  <c r="EP139" i="6"/>
  <c r="EP151" i="6"/>
  <c r="EP140" i="6"/>
  <c r="EP147" i="6" s="1"/>
  <c r="NH151" i="6"/>
  <c r="NH143" i="6"/>
  <c r="NH139" i="6"/>
  <c r="NH140" i="6"/>
  <c r="NH147" i="6" s="1"/>
  <c r="OV139" i="6"/>
  <c r="OV140" i="6"/>
  <c r="OV147" i="6" s="1"/>
  <c r="OV143" i="6"/>
  <c r="EN151" i="6"/>
  <c r="EL146" i="6"/>
  <c r="IU146" i="6"/>
  <c r="W133" i="6"/>
  <c r="W134" i="6" s="1"/>
  <c r="W129" i="6"/>
  <c r="JO129" i="6"/>
  <c r="JO133" i="6"/>
  <c r="JO134" i="6" s="1"/>
  <c r="FB138" i="6"/>
  <c r="NL151" i="6"/>
  <c r="NL139" i="6"/>
  <c r="NL140" i="6"/>
  <c r="NL147" i="6" s="1"/>
  <c r="NL143" i="6"/>
  <c r="KW146" i="6"/>
  <c r="KW141" i="6"/>
  <c r="IC124" i="6"/>
  <c r="IC125" i="6" s="1"/>
  <c r="IC151" i="6" s="1"/>
  <c r="BM123" i="6"/>
  <c r="BM124" i="6" s="1"/>
  <c r="BM125" i="6" s="1"/>
  <c r="BM151" i="6" s="1"/>
  <c r="JQ129" i="6"/>
  <c r="JQ133" i="6"/>
  <c r="JQ134" i="6" s="1"/>
  <c r="FD137" i="6"/>
  <c r="HG146" i="6"/>
  <c r="LA146" i="6"/>
  <c r="DT143" i="6"/>
  <c r="DT139" i="6"/>
  <c r="DT140" i="6"/>
  <c r="DT147" i="6" s="1"/>
  <c r="PW151" i="6"/>
  <c r="PW143" i="6"/>
  <c r="PW140" i="6"/>
  <c r="PW147" i="6" s="1"/>
  <c r="PW139" i="6"/>
  <c r="BY146" i="6"/>
  <c r="QK146" i="6"/>
  <c r="QK141" i="6"/>
  <c r="HE140" i="6"/>
  <c r="HE147" i="6" s="1"/>
  <c r="LO123" i="6"/>
  <c r="LO124" i="6" s="1"/>
  <c r="LO125" i="6" s="1"/>
  <c r="LO151" i="6" s="1"/>
  <c r="OR123" i="6"/>
  <c r="OR124" i="6" s="1"/>
  <c r="OR125" i="6" s="1"/>
  <c r="OR151" i="6" s="1"/>
  <c r="BY123" i="6"/>
  <c r="BY124" i="6" s="1"/>
  <c r="BY125" i="6" s="1"/>
  <c r="BY151" i="6" s="1"/>
  <c r="IE123" i="6"/>
  <c r="IE124" i="6" s="1"/>
  <c r="IE125" i="6" s="1"/>
  <c r="IE151" i="6" s="1"/>
  <c r="OL140" i="6"/>
  <c r="OL147" i="6" s="1"/>
  <c r="OL139" i="6"/>
  <c r="OL143" i="6"/>
  <c r="IS141" i="6"/>
  <c r="IS146" i="6"/>
  <c r="OD146" i="6"/>
  <c r="I124" i="6"/>
  <c r="I125" i="6" s="1"/>
  <c r="I128" i="6" s="1"/>
  <c r="I129" i="6" s="1"/>
  <c r="AY124" i="6"/>
  <c r="AY125" i="6" s="1"/>
  <c r="AY151" i="6" s="1"/>
  <c r="HY123" i="6"/>
  <c r="HY124" i="6" s="1"/>
  <c r="HY125" i="6" s="1"/>
  <c r="HY151" i="6" s="1"/>
  <c r="BS123" i="6"/>
  <c r="BS124" i="6" s="1"/>
  <c r="BS125" i="6" s="1"/>
  <c r="BS151" i="6" s="1"/>
  <c r="DR143" i="6"/>
  <c r="DR139" i="6"/>
  <c r="GS151" i="6"/>
  <c r="GS143" i="6"/>
  <c r="GS140" i="6"/>
  <c r="GS147" i="6" s="1"/>
  <c r="GS139" i="6"/>
  <c r="IK151" i="6"/>
  <c r="IK143" i="6"/>
  <c r="IK140" i="6"/>
  <c r="IK147" i="6" s="1"/>
  <c r="IK139" i="6"/>
  <c r="KY151" i="6"/>
  <c r="KY139" i="6"/>
  <c r="KY140" i="6"/>
  <c r="KY147" i="6" s="1"/>
  <c r="KY143" i="6"/>
  <c r="PN140" i="6"/>
  <c r="PN147" i="6" s="1"/>
  <c r="PN139" i="6"/>
  <c r="PN151" i="6"/>
  <c r="PN143" i="6"/>
  <c r="KK146" i="6"/>
  <c r="KK141" i="6"/>
  <c r="OL123" i="6"/>
  <c r="OL124" i="6" s="1"/>
  <c r="OL125" i="6" s="1"/>
  <c r="OL151" i="6" s="1"/>
  <c r="PL143" i="6"/>
  <c r="PL139" i="6"/>
  <c r="BS140" i="6"/>
  <c r="HG151" i="6"/>
  <c r="HG143" i="6"/>
  <c r="IU143" i="6"/>
  <c r="LI139" i="6"/>
  <c r="LI143" i="6"/>
  <c r="NZ140" i="6"/>
  <c r="NZ147" i="6" s="1"/>
  <c r="NZ139" i="6"/>
  <c r="OZ123" i="6"/>
  <c r="OZ124" i="6" s="1"/>
  <c r="OZ125" i="6" s="1"/>
  <c r="IO123" i="6"/>
  <c r="IO124" i="6" s="1"/>
  <c r="IO125" i="6" s="1"/>
  <c r="IO151" i="6" s="1"/>
  <c r="CG123" i="6"/>
  <c r="CG124" i="6" s="1"/>
  <c r="CG125" i="6" s="1"/>
  <c r="HI143" i="6"/>
  <c r="HI140" i="6"/>
  <c r="HI151" i="6"/>
  <c r="IW143" i="6"/>
  <c r="IW140" i="6"/>
  <c r="IW147" i="6" s="1"/>
  <c r="LK143" i="6"/>
  <c r="EF151" i="6"/>
  <c r="EF139" i="6"/>
  <c r="EF140" i="6"/>
  <c r="EF147" i="6" s="1"/>
  <c r="QG151" i="6"/>
  <c r="DJ146" i="6"/>
  <c r="LK139" i="6"/>
  <c r="BS143" i="6"/>
  <c r="EX124" i="6"/>
  <c r="EX125" i="6" s="1"/>
  <c r="GS124" i="6"/>
  <c r="GS125" i="6" s="1"/>
  <c r="IG124" i="6"/>
  <c r="IG125" i="6" s="1"/>
  <c r="IG151" i="6" s="1"/>
  <c r="CE140" i="6"/>
  <c r="CE147" i="6" s="1"/>
  <c r="CE151" i="6"/>
  <c r="CE139" i="6"/>
  <c r="OJ143" i="6"/>
  <c r="OJ139" i="6"/>
  <c r="OJ140" i="6"/>
  <c r="OJ147" i="6" s="1"/>
  <c r="AU151" i="6"/>
  <c r="AU143" i="6"/>
  <c r="AU139" i="6"/>
  <c r="ER143" i="6"/>
  <c r="ER140" i="6"/>
  <c r="ER147" i="6" s="1"/>
  <c r="ER151" i="6"/>
  <c r="ED146" i="6"/>
  <c r="ED141" i="6"/>
  <c r="NN146" i="6"/>
  <c r="NN141" i="6"/>
  <c r="IY124" i="6"/>
  <c r="IY125" i="6" s="1"/>
  <c r="IY151" i="6" s="1"/>
  <c r="NZ124" i="6"/>
  <c r="NZ125" i="6" s="1"/>
  <c r="NZ151" i="6" s="1"/>
  <c r="LG123" i="6"/>
  <c r="LG124" i="6" s="1"/>
  <c r="LG125" i="6" s="1"/>
  <c r="LG151" i="6" s="1"/>
  <c r="HW123" i="6"/>
  <c r="BG140" i="6"/>
  <c r="BG147" i="6" s="1"/>
  <c r="BG143" i="6"/>
  <c r="BG139" i="6"/>
  <c r="NN143" i="6"/>
  <c r="EF143" i="6"/>
  <c r="LW124" i="6"/>
  <c r="LW125" i="6" s="1"/>
  <c r="NP124" i="6"/>
  <c r="NP125" i="6" s="1"/>
  <c r="NP151" i="6" s="1"/>
  <c r="CI137" i="6"/>
  <c r="CI138" i="6" s="1"/>
  <c r="CG137" i="6"/>
  <c r="CG138" i="6" s="1"/>
  <c r="AO151" i="6"/>
  <c r="AO140" i="6"/>
  <c r="CC138" i="6"/>
  <c r="EJ151" i="6"/>
  <c r="EJ140" i="6"/>
  <c r="EJ147" i="6" s="1"/>
  <c r="EJ143" i="6"/>
  <c r="HM151" i="6"/>
  <c r="HM139" i="6"/>
  <c r="HM140" i="6"/>
  <c r="HM147" i="6" s="1"/>
  <c r="KA151" i="6"/>
  <c r="KA143" i="6"/>
  <c r="KA140" i="6"/>
  <c r="KA147" i="6" s="1"/>
  <c r="KA139" i="6"/>
  <c r="LO143" i="6"/>
  <c r="LO139" i="6"/>
  <c r="LU143" i="6"/>
  <c r="LU139" i="6"/>
  <c r="LU140" i="6"/>
  <c r="LU147" i="6" s="1"/>
  <c r="AY139" i="6"/>
  <c r="AY143" i="6"/>
  <c r="AY140" i="6"/>
  <c r="AY147" i="6" s="1"/>
  <c r="CQ143" i="6"/>
  <c r="CQ139" i="6"/>
  <c r="ET143" i="6"/>
  <c r="ET139" i="6"/>
  <c r="ET140" i="6"/>
  <c r="ET147" i="6" s="1"/>
  <c r="HW143" i="6"/>
  <c r="HW140" i="6"/>
  <c r="HW147" i="6" s="1"/>
  <c r="KK151" i="6"/>
  <c r="KK143" i="6"/>
  <c r="OP146" i="6"/>
  <c r="M123" i="6"/>
  <c r="M124" i="6" s="1"/>
  <c r="M125" i="6" s="1"/>
  <c r="M128" i="6" s="1"/>
  <c r="M129" i="6" s="1"/>
  <c r="MJ124" i="6"/>
  <c r="MJ125" i="6" s="1"/>
  <c r="OB124" i="6"/>
  <c r="OB125" i="6" s="1"/>
  <c r="OB151" i="6" s="1"/>
  <c r="BA139" i="6"/>
  <c r="CS151" i="6"/>
  <c r="CS140" i="6"/>
  <c r="CS147" i="6" s="1"/>
  <c r="CS143" i="6"/>
  <c r="EV139" i="6"/>
  <c r="EV151" i="6"/>
  <c r="EV140" i="6"/>
  <c r="EV147" i="6" s="1"/>
  <c r="HY143" i="6"/>
  <c r="HY139" i="6"/>
  <c r="KM143" i="6"/>
  <c r="KM139" i="6"/>
  <c r="MG151" i="6"/>
  <c r="OP140" i="6"/>
  <c r="OP147" i="6" s="1"/>
  <c r="QQ151" i="6"/>
  <c r="QQ140" i="6"/>
  <c r="QQ147" i="6" s="1"/>
  <c r="HS146" i="6"/>
  <c r="LE146" i="6"/>
  <c r="QQ143" i="6"/>
  <c r="OD124" i="6"/>
  <c r="OD125" i="6" s="1"/>
  <c r="OD151" i="6" s="1"/>
  <c r="BC143" i="6"/>
  <c r="BC151" i="6"/>
  <c r="DJ140" i="6"/>
  <c r="DJ147" i="6" s="1"/>
  <c r="DJ151" i="6"/>
  <c r="DJ143" i="6"/>
  <c r="EX143" i="6"/>
  <c r="EX140" i="6"/>
  <c r="EX147" i="6" s="1"/>
  <c r="EX151" i="6"/>
  <c r="DZ146" i="6"/>
  <c r="LG146" i="6"/>
  <c r="ET151" i="6"/>
  <c r="PB137" i="6"/>
  <c r="PB138" i="6" s="1"/>
  <c r="OZ137" i="6"/>
  <c r="PD137" i="6" s="1"/>
  <c r="PD138" i="6" s="1"/>
  <c r="NJ143" i="6"/>
  <c r="NJ139" i="6"/>
  <c r="NJ140" i="6"/>
  <c r="NJ147" i="6" s="1"/>
  <c r="NJ151" i="6"/>
  <c r="EJ139" i="6"/>
  <c r="LI124" i="6"/>
  <c r="LI125" i="6" s="1"/>
  <c r="LI151" i="6" s="1"/>
  <c r="FS124" i="6"/>
  <c r="FS125" i="6" s="1"/>
  <c r="FS128" i="6" s="1"/>
  <c r="FS129" i="6" s="1"/>
  <c r="BO151" i="6"/>
  <c r="BO140" i="6"/>
  <c r="BO147" i="6" s="1"/>
  <c r="BO139" i="6"/>
  <c r="DV143" i="6"/>
  <c r="DV140" i="6"/>
  <c r="DV147" i="6" s="1"/>
  <c r="DV139" i="6"/>
  <c r="BI141" i="6"/>
  <c r="CQ140" i="6"/>
  <c r="CQ147" i="6" s="1"/>
  <c r="EH151" i="6"/>
  <c r="EH139" i="6"/>
  <c r="EH143" i="6"/>
  <c r="IY146" i="6"/>
  <c r="QA140" i="6"/>
  <c r="QA147" i="6" s="1"/>
  <c r="QA151" i="6"/>
  <c r="KG146" i="6"/>
  <c r="DP151" i="6"/>
  <c r="DP139" i="6"/>
  <c r="QO140" i="6"/>
  <c r="QO147" i="6" s="1"/>
  <c r="LM151" i="6"/>
  <c r="AK124" i="6"/>
  <c r="AK125" i="6" s="1"/>
  <c r="OX124" i="6"/>
  <c r="OX125" i="6" s="1"/>
  <c r="OX151" i="6" s="1"/>
  <c r="CC123" i="6"/>
  <c r="CC124" i="6" s="1"/>
  <c r="CC125" i="6" s="1"/>
  <c r="LS123" i="6"/>
  <c r="LS124" i="6" s="1"/>
  <c r="LS125" i="6" s="1"/>
  <c r="DZ151" i="6"/>
  <c r="GU151" i="6"/>
  <c r="IM143" i="6"/>
  <c r="IM140" i="6"/>
  <c r="LA151" i="6"/>
  <c r="DL141" i="6"/>
  <c r="GU139" i="6"/>
  <c r="LM140" i="6"/>
  <c r="LM147" i="6" s="1"/>
  <c r="PP151" i="6"/>
  <c r="PP140" i="6"/>
  <c r="PP147" i="6" s="1"/>
  <c r="GW151" i="6"/>
  <c r="GW139" i="6"/>
  <c r="DN146" i="6"/>
  <c r="DN141" i="6"/>
  <c r="PP139" i="6"/>
  <c r="HK151" i="6"/>
  <c r="HC151" i="6"/>
  <c r="IQ139" i="6"/>
  <c r="LE143" i="6"/>
  <c r="LE140" i="6"/>
  <c r="LE147" i="6" s="1"/>
  <c r="NT143" i="6"/>
  <c r="NT140" i="6"/>
  <c r="NT147" i="6" s="1"/>
  <c r="HE146" i="6"/>
  <c r="PS146" i="6"/>
  <c r="PS141" i="6"/>
  <c r="NT151" i="6"/>
  <c r="AS143" i="6"/>
  <c r="AS151" i="6"/>
  <c r="EL151" i="6"/>
  <c r="EL140" i="6"/>
  <c r="EL147" i="6" s="1"/>
  <c r="IY143" i="6"/>
  <c r="IY140" i="6"/>
  <c r="IY147" i="6" s="1"/>
  <c r="PU151" i="6"/>
  <c r="PU143" i="6"/>
  <c r="PU140" i="6"/>
  <c r="PU147" i="6" s="1"/>
  <c r="HQ146" i="6"/>
  <c r="NT139" i="6"/>
  <c r="PP143" i="6"/>
  <c r="MX124" i="6"/>
  <c r="MX125" i="6" s="1"/>
  <c r="OV123" i="6"/>
  <c r="OV124" i="6" s="1"/>
  <c r="OV125" i="6" s="1"/>
  <c r="OV151" i="6" s="1"/>
  <c r="IA140" i="6"/>
  <c r="IA147" i="6" s="1"/>
  <c r="IA143" i="6"/>
  <c r="IA139" i="6"/>
  <c r="KO140" i="6"/>
  <c r="KO147" i="6" s="1"/>
  <c r="OR140" i="6"/>
  <c r="OR147" i="6" s="1"/>
  <c r="QM151" i="6"/>
  <c r="QM139" i="6"/>
  <c r="QM140" i="6"/>
  <c r="QM147" i="6" s="1"/>
  <c r="OR146" i="6"/>
  <c r="QO151" i="6"/>
  <c r="BK151" i="6"/>
  <c r="BK143" i="6"/>
  <c r="DN151" i="6"/>
  <c r="DN143" i="6"/>
  <c r="HS151" i="6"/>
  <c r="HS143" i="6"/>
  <c r="KG151" i="6"/>
  <c r="KG143" i="6"/>
  <c r="OD143" i="6"/>
  <c r="PS151" i="6"/>
  <c r="PS143" i="6"/>
  <c r="KE146" i="6"/>
  <c r="IG143" i="6"/>
  <c r="OP143" i="6"/>
  <c r="DX151" i="6"/>
  <c r="KQ151" i="6"/>
  <c r="ON140" i="6"/>
  <c r="QC140" i="6"/>
  <c r="QC147" i="6" s="1"/>
  <c r="BK139" i="6"/>
  <c r="KQ139" i="6"/>
  <c r="AK140" i="6"/>
  <c r="KS139" i="6"/>
  <c r="AK151" i="6"/>
  <c r="EB151" i="6"/>
  <c r="KU139" i="6"/>
  <c r="EN140" i="6"/>
  <c r="EN147" i="6" s="1"/>
  <c r="MG143" i="6"/>
  <c r="KQ143" i="6"/>
  <c r="EZ151" i="6"/>
  <c r="KE151" i="6"/>
  <c r="OB140" i="6"/>
  <c r="OB147" i="6" s="1"/>
  <c r="QC139" i="6"/>
  <c r="DX140" i="6"/>
  <c r="ON143" i="6"/>
  <c r="AM151" i="6"/>
  <c r="CA151" i="6"/>
  <c r="ED151" i="6"/>
  <c r="GQ151" i="6"/>
  <c r="KW151" i="6"/>
  <c r="NF151" i="6"/>
  <c r="OT151" i="6"/>
  <c r="QK151" i="6"/>
  <c r="JH42" i="6" l="1"/>
  <c r="KG141" i="6"/>
  <c r="KI38" i="6"/>
  <c r="KH38" i="6" s="1"/>
  <c r="KH37" i="6" s="1"/>
  <c r="BG83" i="6"/>
  <c r="JB38" i="6"/>
  <c r="LE83" i="6"/>
  <c r="GQ38" i="6"/>
  <c r="GP38" i="6" s="1"/>
  <c r="GP37" i="6" s="1"/>
  <c r="OX83" i="6"/>
  <c r="DT38" i="6"/>
  <c r="ON83" i="6"/>
  <c r="LA83" i="6"/>
  <c r="JI42" i="6"/>
  <c r="BO83" i="6"/>
  <c r="GQ83" i="6"/>
  <c r="EB36" i="6"/>
  <c r="IW37" i="6"/>
  <c r="HT26" i="6"/>
  <c r="HT24" i="6"/>
  <c r="HT27" i="6"/>
  <c r="CF38" i="6"/>
  <c r="CG36" i="6"/>
  <c r="CG37" i="6"/>
  <c r="MC29" i="6"/>
  <c r="MC27" i="6"/>
  <c r="KE141" i="6"/>
  <c r="HG83" i="6"/>
  <c r="G47" i="6"/>
  <c r="G38" i="6"/>
  <c r="F38" i="6" s="1"/>
  <c r="JC39" i="6"/>
  <c r="JC36" i="6" s="1"/>
  <c r="JD38" i="6"/>
  <c r="FK39" i="6"/>
  <c r="FL38" i="6"/>
  <c r="FK38" i="6" s="1"/>
  <c r="GY47" i="6"/>
  <c r="HY27" i="6"/>
  <c r="GA43" i="6"/>
  <c r="GA38" i="6"/>
  <c r="FZ38" i="6" s="1"/>
  <c r="FZ37" i="6" s="1"/>
  <c r="FZ39" i="6"/>
  <c r="FZ36" i="6" s="1"/>
  <c r="GM38" i="6"/>
  <c r="GL38" i="6" s="1"/>
  <c r="GL37" i="6" s="1"/>
  <c r="GK38" i="6"/>
  <c r="GJ38" i="6" s="1"/>
  <c r="GJ37" i="6" s="1"/>
  <c r="QQ64" i="6"/>
  <c r="QQ39" i="6"/>
  <c r="QQ48" i="6"/>
  <c r="QQ47" i="6" s="1"/>
  <c r="GW83" i="6"/>
  <c r="CW39" i="6"/>
  <c r="CX38" i="6"/>
  <c r="LG141" i="6"/>
  <c r="QO36" i="6"/>
  <c r="OX141" i="6"/>
  <c r="MA137" i="6"/>
  <c r="MA138" i="6" s="1"/>
  <c r="GY24" i="6"/>
  <c r="QQ22" i="6"/>
  <c r="QQ21" i="6" s="1"/>
  <c r="NT38" i="6"/>
  <c r="NS38" i="6" s="1"/>
  <c r="NS37" i="6" s="1"/>
  <c r="NT47" i="6"/>
  <c r="BE83" i="6"/>
  <c r="FB38" i="6"/>
  <c r="HO47" i="6"/>
  <c r="HO38" i="6"/>
  <c r="HN38" i="6" s="1"/>
  <c r="HN37" i="6" s="1"/>
  <c r="GS83" i="6"/>
  <c r="K38" i="6"/>
  <c r="J38" i="6" s="1"/>
  <c r="J37" i="6" s="1"/>
  <c r="BE109" i="6"/>
  <c r="BD85" i="6"/>
  <c r="PD37" i="6"/>
  <c r="NG39" i="6"/>
  <c r="NG36" i="6" s="1"/>
  <c r="NV24" i="6"/>
  <c r="QJ39" i="6"/>
  <c r="QJ36" i="6" s="1"/>
  <c r="QK38" i="6"/>
  <c r="PH37" i="6"/>
  <c r="JD36" i="6"/>
  <c r="U38" i="6"/>
  <c r="T38" i="6" s="1"/>
  <c r="T37" i="6" s="1"/>
  <c r="T39" i="6"/>
  <c r="T36" i="6" s="1"/>
  <c r="CA141" i="6"/>
  <c r="CI38" i="6"/>
  <c r="CH39" i="6"/>
  <c r="JI36" i="6"/>
  <c r="PG37" i="6"/>
  <c r="PG35" i="6" s="1"/>
  <c r="PH35" i="6" s="1"/>
  <c r="PH34" i="6" s="1"/>
  <c r="PG36" i="6"/>
  <c r="CM37" i="6"/>
  <c r="PO36" i="6"/>
  <c r="PO37" i="6"/>
  <c r="PO35" i="6" s="1"/>
  <c r="AK38" i="6"/>
  <c r="AJ38" i="6" s="1"/>
  <c r="AJ37" i="6" s="1"/>
  <c r="AQ38" i="6"/>
  <c r="AP38" i="6" s="1"/>
  <c r="AP37" i="6" s="1"/>
  <c r="CL37" i="6"/>
  <c r="CL35" i="6" s="1"/>
  <c r="CL36" i="6"/>
  <c r="NJ101" i="6"/>
  <c r="EW39" i="6"/>
  <c r="EX38" i="6"/>
  <c r="DH38" i="6"/>
  <c r="DG39" i="6"/>
  <c r="GA88" i="6"/>
  <c r="GA89" i="6" s="1"/>
  <c r="GA83" i="6"/>
  <c r="GA99" i="6" s="1"/>
  <c r="QL39" i="6"/>
  <c r="QL36" i="6" s="1"/>
  <c r="QM38" i="6"/>
  <c r="QQ53" i="6"/>
  <c r="LW38" i="6"/>
  <c r="DI39" i="6"/>
  <c r="DJ38" i="6"/>
  <c r="BX37" i="6"/>
  <c r="BX35" i="6" s="1"/>
  <c r="BX36" i="6"/>
  <c r="BI38" i="6"/>
  <c r="BH38" i="6" s="1"/>
  <c r="BH37" i="6" s="1"/>
  <c r="BG38" i="6"/>
  <c r="BF38" i="6" s="1"/>
  <c r="BF37" i="6" s="1"/>
  <c r="GA92" i="6"/>
  <c r="LR39" i="6"/>
  <c r="LR36" i="6" s="1"/>
  <c r="LS38" i="6"/>
  <c r="KE24" i="6"/>
  <c r="BW37" i="6"/>
  <c r="NJ92" i="6"/>
  <c r="NJ93" i="6" s="1"/>
  <c r="I47" i="6"/>
  <c r="I38" i="6"/>
  <c r="H38" i="6" s="1"/>
  <c r="CU39" i="6"/>
  <c r="CV38" i="6"/>
  <c r="NF38" i="6"/>
  <c r="NE38" i="6" s="1"/>
  <c r="NE37" i="6" s="1"/>
  <c r="MG36" i="6"/>
  <c r="QQ51" i="6"/>
  <c r="HA47" i="6"/>
  <c r="HA38" i="6"/>
  <c r="GZ38" i="6" s="1"/>
  <c r="GZ37" i="6" s="1"/>
  <c r="OU39" i="6"/>
  <c r="OV38" i="6"/>
  <c r="IS37" i="6"/>
  <c r="DJ37" i="6"/>
  <c r="LY83" i="6"/>
  <c r="IO38" i="6"/>
  <c r="IN39" i="6"/>
  <c r="IN36" i="6" s="1"/>
  <c r="BU141" i="6"/>
  <c r="DX38" i="6"/>
  <c r="DX47" i="6"/>
  <c r="GO83" i="6"/>
  <c r="EK39" i="6"/>
  <c r="EL38" i="6"/>
  <c r="KS38" i="6"/>
  <c r="KR38" i="6" s="1"/>
  <c r="KR37" i="6" s="1"/>
  <c r="BN26" i="6"/>
  <c r="BN29" i="6"/>
  <c r="BN24" i="6"/>
  <c r="BN23" i="6" s="1"/>
  <c r="BO23" i="6" s="1"/>
  <c r="BN27" i="6"/>
  <c r="BP29" i="6"/>
  <c r="BP26" i="6"/>
  <c r="BP24" i="6"/>
  <c r="BP27" i="6"/>
  <c r="IV34" i="6"/>
  <c r="IW35" i="6"/>
  <c r="IW34" i="6" s="1"/>
  <c r="BY27" i="6"/>
  <c r="BY24" i="6"/>
  <c r="BY26" i="6"/>
  <c r="AK26" i="6"/>
  <c r="AK31" i="6" s="1"/>
  <c r="AK27" i="6"/>
  <c r="NG26" i="6"/>
  <c r="NG24" i="6"/>
  <c r="NG27" i="6"/>
  <c r="JI24" i="6"/>
  <c r="JI27" i="6"/>
  <c r="JI26" i="6"/>
  <c r="KY24" i="6"/>
  <c r="KY26" i="6"/>
  <c r="KY22" i="6" s="1"/>
  <c r="KY21" i="6" s="1"/>
  <c r="LC140" i="6"/>
  <c r="LC92" i="6"/>
  <c r="LC93" i="6" s="1"/>
  <c r="CS27" i="6"/>
  <c r="CS26" i="6"/>
  <c r="QC26" i="6"/>
  <c r="QC27" i="6"/>
  <c r="CV27" i="6"/>
  <c r="CV26" i="6"/>
  <c r="CV24" i="6"/>
  <c r="BC101" i="6"/>
  <c r="LC84" i="6"/>
  <c r="JK26" i="6"/>
  <c r="Q26" i="6"/>
  <c r="Q31" i="6" s="1"/>
  <c r="KG38" i="6"/>
  <c r="KF38" i="6" s="1"/>
  <c r="KF37" i="6" s="1"/>
  <c r="IG141" i="6"/>
  <c r="JL43" i="6"/>
  <c r="LA141" i="6"/>
  <c r="Q38" i="6"/>
  <c r="P38" i="6" s="1"/>
  <c r="P37" i="6" s="1"/>
  <c r="NR38" i="6"/>
  <c r="NQ38" i="6" s="1"/>
  <c r="NQ37" i="6" s="1"/>
  <c r="HM24" i="6"/>
  <c r="HM22" i="6" s="1"/>
  <c r="HM21" i="6" s="1"/>
  <c r="JJ43" i="6"/>
  <c r="EB37" i="6"/>
  <c r="HM27" i="6"/>
  <c r="FY17" i="6"/>
  <c r="FY18" i="6" s="1"/>
  <c r="OZ38" i="6"/>
  <c r="OY39" i="6"/>
  <c r="JO83" i="6"/>
  <c r="JO99" i="6" s="1"/>
  <c r="BE27" i="6"/>
  <c r="ES36" i="6"/>
  <c r="KQ27" i="6"/>
  <c r="JJ42" i="6"/>
  <c r="FI39" i="6"/>
  <c r="FJ38" i="6"/>
  <c r="FI38" i="6" s="1"/>
  <c r="JK27" i="6"/>
  <c r="IG80" i="6"/>
  <c r="OY29" i="6"/>
  <c r="BV37" i="6"/>
  <c r="BV35" i="6" s="1"/>
  <c r="BV36" i="6"/>
  <c r="HE38" i="6"/>
  <c r="HD38" i="6" s="1"/>
  <c r="HD37" i="6" s="1"/>
  <c r="PH137" i="6"/>
  <c r="PH138" i="6" s="1"/>
  <c r="PH143" i="6" s="1"/>
  <c r="JO42" i="6"/>
  <c r="HK27" i="6"/>
  <c r="JR17" i="6"/>
  <c r="JR18" i="6" s="1"/>
  <c r="EJ26" i="6"/>
  <c r="PH17" i="6"/>
  <c r="PH18" i="6" s="1"/>
  <c r="IO141" i="6"/>
  <c r="AU27" i="6"/>
  <c r="FN26" i="6"/>
  <c r="KW27" i="6"/>
  <c r="MC80" i="6"/>
  <c r="JO43" i="6"/>
  <c r="PL38" i="6"/>
  <c r="ER141" i="6"/>
  <c r="ER144" i="6" s="1"/>
  <c r="BY83" i="6"/>
  <c r="NV83" i="6"/>
  <c r="GD44" i="6"/>
  <c r="GY27" i="6"/>
  <c r="KY27" i="6"/>
  <c r="OD24" i="6"/>
  <c r="EZ38" i="6"/>
  <c r="EY38" i="6" s="1"/>
  <c r="AY83" i="6"/>
  <c r="IO80" i="6"/>
  <c r="CO80" i="6"/>
  <c r="JN42" i="6"/>
  <c r="PL27" i="6"/>
  <c r="OY24" i="6"/>
  <c r="PF123" i="6"/>
  <c r="PF124" i="6" s="1"/>
  <c r="PF125" i="6" s="1"/>
  <c r="KC83" i="6"/>
  <c r="BG22" i="6"/>
  <c r="BG21" i="6" s="1"/>
  <c r="NT15" i="6"/>
  <c r="NT17" i="6" s="1"/>
  <c r="NT18" i="6" s="1"/>
  <c r="AS92" i="6"/>
  <c r="AS93" i="6" s="1"/>
  <c r="AS71" i="6"/>
  <c r="OD141" i="6"/>
  <c r="HE141" i="6"/>
  <c r="LE141" i="6"/>
  <c r="EJ24" i="6"/>
  <c r="JS37" i="6"/>
  <c r="ME15" i="6"/>
  <c r="ME17" i="6" s="1"/>
  <c r="ME18" i="6" s="1"/>
  <c r="MU39" i="6"/>
  <c r="MU36" i="6" s="1"/>
  <c r="MV38" i="6"/>
  <c r="MU38" i="6" s="1"/>
  <c r="MU37" i="6" s="1"/>
  <c r="EH27" i="6"/>
  <c r="JU24" i="6"/>
  <c r="LC27" i="6"/>
  <c r="HW17" i="6"/>
  <c r="HW18" i="6" s="1"/>
  <c r="NL27" i="6"/>
  <c r="LA27" i="6"/>
  <c r="JB15" i="6"/>
  <c r="JB17" i="6" s="1"/>
  <c r="JB18" i="6" s="1"/>
  <c r="PE27" i="6"/>
  <c r="PE29" i="6"/>
  <c r="PE24" i="6"/>
  <c r="DJ27" i="6"/>
  <c r="DJ26" i="6"/>
  <c r="DJ24" i="6"/>
  <c r="GD26" i="6"/>
  <c r="GD24" i="6"/>
  <c r="GD27" i="6"/>
  <c r="IX27" i="6"/>
  <c r="IX29" i="6"/>
  <c r="IX24" i="6"/>
  <c r="IX26" i="6"/>
  <c r="MU26" i="6"/>
  <c r="MU24" i="6"/>
  <c r="MU27" i="6"/>
  <c r="KJ27" i="6"/>
  <c r="KJ26" i="6"/>
  <c r="KJ24" i="6"/>
  <c r="PW24" i="6"/>
  <c r="PW22" i="6" s="1"/>
  <c r="PW21" i="6" s="1"/>
  <c r="PW26" i="6"/>
  <c r="PW27" i="6"/>
  <c r="FI26" i="6"/>
  <c r="FI27" i="6"/>
  <c r="FI24" i="6"/>
  <c r="CB27" i="6"/>
  <c r="CB24" i="6"/>
  <c r="CB26" i="6"/>
  <c r="CB29" i="6"/>
  <c r="ML27" i="6"/>
  <c r="ML26" i="6"/>
  <c r="ML31" i="6" s="1"/>
  <c r="NJ26" i="6"/>
  <c r="NJ31" i="6" s="1"/>
  <c r="ID27" i="6"/>
  <c r="ID24" i="6"/>
  <c r="ID26" i="6"/>
  <c r="LZ27" i="6"/>
  <c r="LZ26" i="6"/>
  <c r="LZ24" i="6"/>
  <c r="LZ29" i="6"/>
  <c r="OE27" i="6"/>
  <c r="OE26" i="6"/>
  <c r="OE24" i="6"/>
  <c r="OE29" i="6"/>
  <c r="EO26" i="6"/>
  <c r="EO24" i="6"/>
  <c r="EO27" i="6"/>
  <c r="CY27" i="6"/>
  <c r="CY24" i="6"/>
  <c r="CY26" i="6"/>
  <c r="BH24" i="6"/>
  <c r="BH26" i="6"/>
  <c r="BH27" i="6"/>
  <c r="BH29" i="6"/>
  <c r="HC26" i="6"/>
  <c r="HC24" i="6"/>
  <c r="HC22" i="6" s="1"/>
  <c r="HC21" i="6" s="1"/>
  <c r="HA24" i="6"/>
  <c r="HA26" i="6"/>
  <c r="GI27" i="6"/>
  <c r="GI26" i="6"/>
  <c r="GI31" i="6" s="1"/>
  <c r="PP26" i="6"/>
  <c r="PP27" i="6"/>
  <c r="PP24" i="6"/>
  <c r="PP29" i="6"/>
  <c r="HJ27" i="6"/>
  <c r="HJ26" i="6"/>
  <c r="HJ24" i="6"/>
  <c r="LF27" i="6"/>
  <c r="LF26" i="6"/>
  <c r="LF29" i="6"/>
  <c r="LF24" i="6"/>
  <c r="IT29" i="6"/>
  <c r="IU29" i="6" s="1"/>
  <c r="IT27" i="6"/>
  <c r="IT26" i="6"/>
  <c r="IT24" i="6"/>
  <c r="MQ24" i="6"/>
  <c r="MQ27" i="6"/>
  <c r="MQ26" i="6"/>
  <c r="DU26" i="6"/>
  <c r="DU27" i="6"/>
  <c r="DU24" i="6"/>
  <c r="CD27" i="6"/>
  <c r="CD24" i="6"/>
  <c r="CD29" i="6"/>
  <c r="CD26" i="6"/>
  <c r="AN27" i="6"/>
  <c r="AN26" i="6"/>
  <c r="AN24" i="6"/>
  <c r="AN29" i="6"/>
  <c r="ER27" i="6"/>
  <c r="ER24" i="6"/>
  <c r="ER26" i="6"/>
  <c r="EP24" i="6"/>
  <c r="EP27" i="6"/>
  <c r="EP26" i="6"/>
  <c r="ON24" i="6"/>
  <c r="ON26" i="6"/>
  <c r="JT27" i="6"/>
  <c r="JT26" i="6"/>
  <c r="JT24" i="6"/>
  <c r="CU27" i="6"/>
  <c r="CU26" i="6"/>
  <c r="CU24" i="6"/>
  <c r="KL27" i="6"/>
  <c r="KL26" i="6"/>
  <c r="KL24" i="6"/>
  <c r="HZ27" i="6"/>
  <c r="HZ26" i="6"/>
  <c r="HZ24" i="6"/>
  <c r="KH27" i="6"/>
  <c r="KH26" i="6"/>
  <c r="KH24" i="6"/>
  <c r="DA26" i="6"/>
  <c r="DA24" i="6"/>
  <c r="DA27" i="6"/>
  <c r="BJ27" i="6"/>
  <c r="BJ24" i="6"/>
  <c r="BJ26" i="6"/>
  <c r="BJ29" i="6"/>
  <c r="CK26" i="6"/>
  <c r="CK27" i="6"/>
  <c r="CK24" i="6"/>
  <c r="CK29" i="6"/>
  <c r="IO27" i="6"/>
  <c r="IO24" i="6"/>
  <c r="IO26" i="6"/>
  <c r="MP27" i="6"/>
  <c r="MP26" i="6"/>
  <c r="MP31" i="6" s="1"/>
  <c r="NO27" i="6"/>
  <c r="NO26" i="6"/>
  <c r="NO24" i="6"/>
  <c r="IQ24" i="6"/>
  <c r="IQ27" i="6"/>
  <c r="IQ26" i="6"/>
  <c r="R26" i="6"/>
  <c r="R24" i="6"/>
  <c r="R27" i="6"/>
  <c r="FV27" i="6"/>
  <c r="FV26" i="6"/>
  <c r="FV24" i="6"/>
  <c r="CO24" i="6"/>
  <c r="CO27" i="6"/>
  <c r="CO29" i="6"/>
  <c r="CO26" i="6"/>
  <c r="HF27" i="6"/>
  <c r="HF26" i="6"/>
  <c r="HF24" i="6"/>
  <c r="IR29" i="6"/>
  <c r="IS29" i="6" s="1"/>
  <c r="IR26" i="6"/>
  <c r="IR24" i="6"/>
  <c r="IR27" i="6"/>
  <c r="OS26" i="6"/>
  <c r="OS27" i="6"/>
  <c r="OS24" i="6"/>
  <c r="OS29" i="6"/>
  <c r="AP27" i="6"/>
  <c r="AP29" i="6"/>
  <c r="AP26" i="6"/>
  <c r="AP24" i="6"/>
  <c r="OO27" i="6"/>
  <c r="OO24" i="6"/>
  <c r="OO26" i="6"/>
  <c r="OO29" i="6"/>
  <c r="U27" i="6"/>
  <c r="U26" i="6"/>
  <c r="U31" i="6" s="1"/>
  <c r="I27" i="6"/>
  <c r="I26" i="6"/>
  <c r="I31" i="6" s="1"/>
  <c r="LD27" i="6"/>
  <c r="LD26" i="6"/>
  <c r="LD24" i="6"/>
  <c r="LD29" i="6"/>
  <c r="FA27" i="6"/>
  <c r="FA26" i="6"/>
  <c r="FA24" i="6"/>
  <c r="IV27" i="6"/>
  <c r="IV26" i="6"/>
  <c r="IV29" i="6"/>
  <c r="IV24" i="6"/>
  <c r="GL27" i="6"/>
  <c r="GL24" i="6"/>
  <c r="GL26" i="6"/>
  <c r="HD26" i="6"/>
  <c r="HD27" i="6"/>
  <c r="HD24" i="6"/>
  <c r="BL26" i="6"/>
  <c r="BL24" i="6"/>
  <c r="BL27" i="6"/>
  <c r="BL29" i="6"/>
  <c r="V27" i="6"/>
  <c r="V24" i="6"/>
  <c r="V26" i="6"/>
  <c r="OF24" i="6"/>
  <c r="OF26" i="6"/>
  <c r="LK24" i="6"/>
  <c r="LK26" i="6"/>
  <c r="LE24" i="6"/>
  <c r="LE26" i="6"/>
  <c r="PJ27" i="6"/>
  <c r="PJ24" i="6"/>
  <c r="PJ26" i="6"/>
  <c r="EG27" i="6"/>
  <c r="EG24" i="6"/>
  <c r="EG26" i="6"/>
  <c r="IB27" i="6"/>
  <c r="IB26" i="6"/>
  <c r="IB24" i="6"/>
  <c r="PX27" i="6"/>
  <c r="PX24" i="6"/>
  <c r="PX26" i="6"/>
  <c r="GJ26" i="6"/>
  <c r="GJ27" i="6"/>
  <c r="GJ24" i="6"/>
  <c r="QP26" i="6"/>
  <c r="QP24" i="6"/>
  <c r="QP27" i="6"/>
  <c r="AR26" i="6"/>
  <c r="AR29" i="6"/>
  <c r="AR24" i="6"/>
  <c r="AR27" i="6"/>
  <c r="NA24" i="6"/>
  <c r="NA26" i="6"/>
  <c r="NA27" i="6"/>
  <c r="CE27" i="6"/>
  <c r="CE24" i="6"/>
  <c r="CE26" i="6"/>
  <c r="JW24" i="6"/>
  <c r="JW26" i="6"/>
  <c r="AW24" i="6"/>
  <c r="AW26" i="6"/>
  <c r="GG27" i="6"/>
  <c r="GG26" i="6"/>
  <c r="GG31" i="6" s="1"/>
  <c r="DM27" i="6"/>
  <c r="DM26" i="6"/>
  <c r="DM24" i="6"/>
  <c r="HH27" i="6"/>
  <c r="HH26" i="6"/>
  <c r="HH24" i="6"/>
  <c r="EW27" i="6"/>
  <c r="EW26" i="6"/>
  <c r="EW24" i="6"/>
  <c r="PA27" i="6"/>
  <c r="PA24" i="6"/>
  <c r="PA29" i="6"/>
  <c r="EU27" i="6"/>
  <c r="EU26" i="6"/>
  <c r="EU24" i="6"/>
  <c r="X26" i="6"/>
  <c r="X24" i="6"/>
  <c r="X27" i="6"/>
  <c r="QL24" i="6"/>
  <c r="QL27" i="6"/>
  <c r="QL26" i="6"/>
  <c r="AA27" i="6"/>
  <c r="AA26" i="6"/>
  <c r="AA31" i="6" s="1"/>
  <c r="CR26" i="6"/>
  <c r="CR24" i="6"/>
  <c r="CR27" i="6"/>
  <c r="CR29" i="6"/>
  <c r="GN27" i="6"/>
  <c r="GN26" i="6"/>
  <c r="GN24" i="6"/>
  <c r="EC27" i="6"/>
  <c r="EC24" i="6"/>
  <c r="EC26" i="6"/>
  <c r="MR27" i="6"/>
  <c r="MR26" i="6"/>
  <c r="MR31" i="6" s="1"/>
  <c r="CL26" i="6"/>
  <c r="CL27" i="6"/>
  <c r="CL24" i="6"/>
  <c r="CL29" i="6"/>
  <c r="OU29" i="6"/>
  <c r="OU24" i="6"/>
  <c r="OU27" i="6"/>
  <c r="LL29" i="6"/>
  <c r="LL27" i="6"/>
  <c r="LL24" i="6"/>
  <c r="LL26" i="6"/>
  <c r="GW26" i="6"/>
  <c r="GW31" i="6" s="1"/>
  <c r="GW27" i="6"/>
  <c r="BX27" i="6"/>
  <c r="BX24" i="6"/>
  <c r="BX26" i="6"/>
  <c r="BX29" i="6"/>
  <c r="FT27" i="6"/>
  <c r="FT26" i="6"/>
  <c r="FT24" i="6"/>
  <c r="DI27" i="6"/>
  <c r="DI26" i="6"/>
  <c r="DI24" i="6"/>
  <c r="IS26" i="6"/>
  <c r="IS24" i="6"/>
  <c r="IS22" i="6" s="1"/>
  <c r="IS21" i="6" s="1"/>
  <c r="IS27" i="6"/>
  <c r="AD27" i="6"/>
  <c r="AD26" i="6"/>
  <c r="AD24" i="6"/>
  <c r="NY26" i="6"/>
  <c r="NY24" i="6"/>
  <c r="NY27" i="6"/>
  <c r="EL24" i="6"/>
  <c r="EL27" i="6"/>
  <c r="EL26" i="6"/>
  <c r="AK37" i="6"/>
  <c r="AK36" i="6"/>
  <c r="AK24" i="6"/>
  <c r="AK22" i="6" s="1"/>
  <c r="AK21" i="6" s="1"/>
  <c r="BD27" i="6"/>
  <c r="BD24" i="6"/>
  <c r="BD26" i="6"/>
  <c r="BD29" i="6"/>
  <c r="EY27" i="6"/>
  <c r="EY26" i="6"/>
  <c r="EY24" i="6"/>
  <c r="CN27" i="6"/>
  <c r="CN26" i="6"/>
  <c r="CN24" i="6"/>
  <c r="CN29" i="6"/>
  <c r="EV27" i="6"/>
  <c r="EV26" i="6"/>
  <c r="EV24" i="6"/>
  <c r="J27" i="6"/>
  <c r="J26" i="6"/>
  <c r="J24" i="6"/>
  <c r="NE26" i="6"/>
  <c r="NE24" i="6"/>
  <c r="NE27" i="6"/>
  <c r="JX27" i="6"/>
  <c r="JX26" i="6"/>
  <c r="JX24" i="6"/>
  <c r="QK24" i="6"/>
  <c r="QK27" i="6"/>
  <c r="QK26" i="6"/>
  <c r="PS26" i="6"/>
  <c r="PS27" i="6"/>
  <c r="PS24" i="6"/>
  <c r="AJ27" i="6"/>
  <c r="AJ26" i="6"/>
  <c r="AJ24" i="6"/>
  <c r="AJ29" i="6"/>
  <c r="EE27" i="6"/>
  <c r="EE26" i="6"/>
  <c r="EE24" i="6"/>
  <c r="NN26" i="6"/>
  <c r="NN24" i="6"/>
  <c r="BT27" i="6"/>
  <c r="BT26" i="6"/>
  <c r="BT24" i="6"/>
  <c r="BT29" i="6"/>
  <c r="CM26" i="6"/>
  <c r="CM27" i="6"/>
  <c r="CM24" i="6"/>
  <c r="CM22" i="6" s="1"/>
  <c r="CM21" i="6" s="1"/>
  <c r="MK26" i="6"/>
  <c r="MK24" i="6"/>
  <c r="MK27" i="6"/>
  <c r="JC27" i="6"/>
  <c r="JC24" i="6"/>
  <c r="JC26" i="6"/>
  <c r="CC24" i="6"/>
  <c r="CC26" i="6"/>
  <c r="MG27" i="6"/>
  <c r="MG24" i="6"/>
  <c r="MG29" i="6"/>
  <c r="MG26" i="6"/>
  <c r="P27" i="6"/>
  <c r="P26" i="6"/>
  <c r="P24" i="6"/>
  <c r="DK27" i="6"/>
  <c r="DK26" i="6"/>
  <c r="DK24" i="6"/>
  <c r="MT26" i="6"/>
  <c r="MT31" i="6" s="1"/>
  <c r="MT27" i="6"/>
  <c r="AZ27" i="6"/>
  <c r="AZ24" i="6"/>
  <c r="AZ26" i="6"/>
  <c r="AZ29" i="6"/>
  <c r="LP26" i="6"/>
  <c r="LP24" i="6"/>
  <c r="LP27" i="6"/>
  <c r="LP29" i="6"/>
  <c r="QJ24" i="6"/>
  <c r="QJ27" i="6"/>
  <c r="QJ26" i="6"/>
  <c r="KC24" i="6"/>
  <c r="KC26" i="6"/>
  <c r="AE24" i="6"/>
  <c r="AE26" i="6"/>
  <c r="GE27" i="6"/>
  <c r="GE26" i="6"/>
  <c r="GE31" i="6" s="1"/>
  <c r="KS24" i="6"/>
  <c r="KS26" i="6"/>
  <c r="OK27" i="6"/>
  <c r="OK29" i="6"/>
  <c r="OK24" i="6"/>
  <c r="OK26" i="6"/>
  <c r="CP26" i="6"/>
  <c r="CP24" i="6"/>
  <c r="CP29" i="6"/>
  <c r="CP27" i="6"/>
  <c r="M26" i="6"/>
  <c r="M31" i="6" s="1"/>
  <c r="M24" i="6" s="1"/>
  <c r="M22" i="6" s="1"/>
  <c r="M21" i="6" s="1"/>
  <c r="LY29" i="6"/>
  <c r="LY26" i="6"/>
  <c r="LY24" i="6"/>
  <c r="LY22" i="6" s="1"/>
  <c r="LY21" i="6" s="1"/>
  <c r="LY27" i="6"/>
  <c r="AF27" i="6"/>
  <c r="AF26" i="6"/>
  <c r="AF24" i="6"/>
  <c r="PV27" i="6"/>
  <c r="PV24" i="6"/>
  <c r="PV26" i="6"/>
  <c r="HN26" i="6"/>
  <c r="HN24" i="6"/>
  <c r="HN27" i="6"/>
  <c r="IM24" i="6"/>
  <c r="IM27" i="6"/>
  <c r="IM26" i="6"/>
  <c r="PN24" i="6"/>
  <c r="PN26" i="6"/>
  <c r="PN27" i="6"/>
  <c r="PN29" i="6"/>
  <c r="II27" i="6"/>
  <c r="II24" i="6"/>
  <c r="II26" i="6"/>
  <c r="LX34" i="6"/>
  <c r="LY35" i="6"/>
  <c r="LY34" i="6" s="1"/>
  <c r="NQ27" i="6"/>
  <c r="NQ26" i="6"/>
  <c r="NQ24" i="6"/>
  <c r="BV27" i="6"/>
  <c r="BV26" i="6"/>
  <c r="BV24" i="6"/>
  <c r="BV29" i="6"/>
  <c r="PB24" i="6"/>
  <c r="PB22" i="6" s="1"/>
  <c r="PB21" i="6" s="1"/>
  <c r="PB27" i="6"/>
  <c r="L26" i="6"/>
  <c r="L24" i="6"/>
  <c r="L27" i="6"/>
  <c r="IG27" i="6"/>
  <c r="IG24" i="6"/>
  <c r="IG26" i="6"/>
  <c r="KG24" i="6"/>
  <c r="KG26" i="6"/>
  <c r="ET26" i="6"/>
  <c r="ET24" i="6"/>
  <c r="ET27" i="6"/>
  <c r="MW24" i="6"/>
  <c r="MW26" i="6"/>
  <c r="MW27" i="6"/>
  <c r="BB27" i="6"/>
  <c r="BB24" i="6"/>
  <c r="BB26" i="6"/>
  <c r="BB29" i="6"/>
  <c r="IU27" i="6"/>
  <c r="IU24" i="6"/>
  <c r="IU26" i="6"/>
  <c r="OG27" i="6"/>
  <c r="OG26" i="6"/>
  <c r="OG24" i="6"/>
  <c r="OG29" i="6"/>
  <c r="FZ26" i="6"/>
  <c r="FZ24" i="6"/>
  <c r="FZ27" i="6"/>
  <c r="FD27" i="6"/>
  <c r="FD24" i="6"/>
  <c r="FD26" i="6"/>
  <c r="QM24" i="6"/>
  <c r="QM27" i="6"/>
  <c r="QM26" i="6"/>
  <c r="FJ24" i="6"/>
  <c r="FJ27" i="6"/>
  <c r="FJ26" i="6"/>
  <c r="IA26" i="6"/>
  <c r="IA24" i="6"/>
  <c r="IA22" i="6" s="1"/>
  <c r="IA21" i="6" s="1"/>
  <c r="Y27" i="6"/>
  <c r="Y26" i="6"/>
  <c r="Y31" i="6" s="1"/>
  <c r="MB27" i="6"/>
  <c r="MB26" i="6"/>
  <c r="MB24" i="6"/>
  <c r="MB29" i="6"/>
  <c r="AH27" i="6"/>
  <c r="AH26" i="6"/>
  <c r="AH24" i="6"/>
  <c r="HG26" i="6"/>
  <c r="HG24" i="6"/>
  <c r="NM27" i="6"/>
  <c r="NM26" i="6"/>
  <c r="NM24" i="6"/>
  <c r="IL26" i="6"/>
  <c r="IL24" i="6"/>
  <c r="IL27" i="6"/>
  <c r="IL29" i="6"/>
  <c r="IM29" i="6" s="1"/>
  <c r="FE27" i="6"/>
  <c r="FE24" i="6"/>
  <c r="FE26" i="6"/>
  <c r="DP27" i="6"/>
  <c r="DP24" i="6"/>
  <c r="DP26" i="6"/>
  <c r="CI29" i="6"/>
  <c r="CI27" i="6"/>
  <c r="CI24" i="6"/>
  <c r="CI26" i="6"/>
  <c r="MN26" i="6"/>
  <c r="MN31" i="6" s="1"/>
  <c r="MN27" i="6"/>
  <c r="OH26" i="6"/>
  <c r="OH24" i="6"/>
  <c r="LH27" i="6"/>
  <c r="LH29" i="6"/>
  <c r="LH24" i="6"/>
  <c r="LH26" i="6"/>
  <c r="N26" i="6"/>
  <c r="N24" i="6"/>
  <c r="N27" i="6"/>
  <c r="GM26" i="6"/>
  <c r="GM31" i="6" s="1"/>
  <c r="MS24" i="6"/>
  <c r="MS26" i="6"/>
  <c r="MS27" i="6"/>
  <c r="Q37" i="6"/>
  <c r="Q36" i="6"/>
  <c r="Q24" i="6"/>
  <c r="Q22" i="6" s="1"/>
  <c r="Q21" i="6" s="1"/>
  <c r="HR26" i="6"/>
  <c r="HR24" i="6"/>
  <c r="HR27" i="6"/>
  <c r="EK24" i="6"/>
  <c r="EK27" i="6"/>
  <c r="EK26" i="6"/>
  <c r="CA27" i="6"/>
  <c r="CA24" i="6"/>
  <c r="CA29" i="6"/>
  <c r="CA26" i="6"/>
  <c r="OB24" i="6"/>
  <c r="OB26" i="6"/>
  <c r="AS24" i="6"/>
  <c r="AS26" i="6"/>
  <c r="LO24" i="6"/>
  <c r="LO26" i="6"/>
  <c r="GI113" i="6"/>
  <c r="GI112" i="6"/>
  <c r="KN27" i="6"/>
  <c r="KN24" i="6"/>
  <c r="KN26" i="6"/>
  <c r="OI27" i="6"/>
  <c r="OI26" i="6"/>
  <c r="OI29" i="6"/>
  <c r="OI24" i="6"/>
  <c r="FS27" i="6"/>
  <c r="FS26" i="6"/>
  <c r="FS31" i="6" s="1"/>
  <c r="LX27" i="6"/>
  <c r="LX26" i="6"/>
  <c r="LX24" i="6"/>
  <c r="LX29" i="6"/>
  <c r="GX26" i="6"/>
  <c r="GX27" i="6"/>
  <c r="GX24" i="6"/>
  <c r="DQ27" i="6"/>
  <c r="DQ26" i="6"/>
  <c r="DQ24" i="6"/>
  <c r="AM26" i="6"/>
  <c r="AM31" i="6" s="1"/>
  <c r="NZ24" i="6"/>
  <c r="NZ26" i="6"/>
  <c r="GU26" i="6"/>
  <c r="GU31" i="6" s="1"/>
  <c r="MV112" i="6"/>
  <c r="MV113" i="6"/>
  <c r="BU110" i="6"/>
  <c r="BU111" i="6"/>
  <c r="ND113" i="6"/>
  <c r="ND112" i="6"/>
  <c r="BM38" i="6"/>
  <c r="BM47" i="6"/>
  <c r="JK38" i="6"/>
  <c r="JK47" i="6"/>
  <c r="LQ77" i="6"/>
  <c r="DX15" i="6"/>
  <c r="DX17" i="6" s="1"/>
  <c r="DX18" i="6" s="1"/>
  <c r="FP27" i="6"/>
  <c r="FP26" i="6"/>
  <c r="FP24" i="6"/>
  <c r="QC146" i="6"/>
  <c r="QC141" i="6"/>
  <c r="ON147" i="6"/>
  <c r="ON141" i="6"/>
  <c r="IQ146" i="6"/>
  <c r="IQ141" i="6"/>
  <c r="EH141" i="6"/>
  <c r="EH146" i="6"/>
  <c r="LE142" i="6"/>
  <c r="LE144" i="6"/>
  <c r="LU146" i="6"/>
  <c r="LU141" i="6"/>
  <c r="CI151" i="6"/>
  <c r="CI143" i="6"/>
  <c r="CI139" i="6"/>
  <c r="CI140" i="6"/>
  <c r="CI147" i="6" s="1"/>
  <c r="DJ141" i="6"/>
  <c r="NH146" i="6"/>
  <c r="NH141" i="6"/>
  <c r="BM146" i="6"/>
  <c r="KC141" i="6"/>
  <c r="KC146" i="6"/>
  <c r="MG110" i="6"/>
  <c r="MG111" i="6"/>
  <c r="LY101" i="6"/>
  <c r="LY100" i="6"/>
  <c r="OT147" i="6"/>
  <c r="OT141" i="6"/>
  <c r="CQ101" i="6"/>
  <c r="CQ100" i="6"/>
  <c r="KY113" i="6"/>
  <c r="KY112" i="6"/>
  <c r="MC123" i="6"/>
  <c r="MC124" i="6" s="1"/>
  <c r="MC125" i="6" s="1"/>
  <c r="G113" i="6"/>
  <c r="G114" i="6" s="1"/>
  <c r="G112" i="6"/>
  <c r="HG109" i="6"/>
  <c r="HG99" i="6"/>
  <c r="HF85" i="6"/>
  <c r="HG88" i="6"/>
  <c r="HG89" i="6" s="1"/>
  <c r="NF83" i="6"/>
  <c r="ML100" i="6"/>
  <c r="ML101" i="6"/>
  <c r="KS83" i="6"/>
  <c r="BU100" i="6"/>
  <c r="BU101" i="6"/>
  <c r="HE111" i="6"/>
  <c r="HE110" i="6"/>
  <c r="BO111" i="6"/>
  <c r="BO110" i="6"/>
  <c r="CZ109" i="6"/>
  <c r="CZ99" i="6"/>
  <c r="CZ83" i="6"/>
  <c r="CZ88" i="6"/>
  <c r="CZ89" i="6" s="1"/>
  <c r="LW100" i="6"/>
  <c r="LW101" i="6"/>
  <c r="QI146" i="6"/>
  <c r="QI141" i="6"/>
  <c r="KO110" i="6"/>
  <c r="KO111" i="6"/>
  <c r="NL101" i="6"/>
  <c r="NL100" i="6"/>
  <c r="HS38" i="6"/>
  <c r="HS47" i="6"/>
  <c r="CJ37" i="6"/>
  <c r="CJ35" i="6" s="1"/>
  <c r="CJ36" i="6"/>
  <c r="II47" i="6"/>
  <c r="II38" i="6"/>
  <c r="CC77" i="6"/>
  <c r="CC78" i="6" s="1"/>
  <c r="CC29" i="6"/>
  <c r="BV34" i="6"/>
  <c r="BW35" i="6"/>
  <c r="BW34" i="6" s="1"/>
  <c r="CK36" i="6"/>
  <c r="DF37" i="6"/>
  <c r="LU15" i="6"/>
  <c r="LU17" i="6" s="1"/>
  <c r="LU18" i="6" s="1"/>
  <c r="BO17" i="6"/>
  <c r="BO18" i="6" s="1"/>
  <c r="BO27" i="6" s="1"/>
  <c r="BO15" i="6"/>
  <c r="JG24" i="6"/>
  <c r="JG26" i="6"/>
  <c r="DR110" i="6"/>
  <c r="DR111" i="6"/>
  <c r="HG37" i="6"/>
  <c r="HG36" i="6"/>
  <c r="AS27" i="6"/>
  <c r="H26" i="6"/>
  <c r="H27" i="6"/>
  <c r="H24" i="6"/>
  <c r="KG27" i="6"/>
  <c r="OP15" i="6"/>
  <c r="OP17" i="6" s="1"/>
  <c r="OP18" i="6" s="1"/>
  <c r="GY36" i="6"/>
  <c r="GY37" i="6"/>
  <c r="DE26" i="6"/>
  <c r="DE27" i="6"/>
  <c r="DE24" i="6"/>
  <c r="QA24" i="6"/>
  <c r="QA26" i="6"/>
  <c r="AX26" i="6"/>
  <c r="AX24" i="6"/>
  <c r="AX27" i="6"/>
  <c r="LO77" i="6"/>
  <c r="LO29" i="6"/>
  <c r="MD29" i="6"/>
  <c r="MD27" i="6"/>
  <c r="MD26" i="6"/>
  <c r="MD24" i="6"/>
  <c r="JQ27" i="6"/>
  <c r="JQ26" i="6"/>
  <c r="JQ24" i="6"/>
  <c r="JQ22" i="6" s="1"/>
  <c r="JQ21" i="6" s="1"/>
  <c r="LV29" i="6"/>
  <c r="LV27" i="6"/>
  <c r="LV26" i="6"/>
  <c r="LV24" i="6"/>
  <c r="DN101" i="6"/>
  <c r="DN100" i="6"/>
  <c r="NP37" i="6"/>
  <c r="NP36" i="6"/>
  <c r="OY23" i="6"/>
  <c r="OZ23" i="6" s="1"/>
  <c r="OY22" i="6"/>
  <c r="OY21" i="6" s="1"/>
  <c r="OD142" i="6"/>
  <c r="OD144" i="6"/>
  <c r="QI101" i="6"/>
  <c r="QI100" i="6"/>
  <c r="QI110" i="6"/>
  <c r="JP27" i="6"/>
  <c r="JP26" i="6"/>
  <c r="JP24" i="6"/>
  <c r="AC27" i="6"/>
  <c r="AC26" i="6"/>
  <c r="AC31" i="6" s="1"/>
  <c r="AC24" i="6" s="1"/>
  <c r="AC22" i="6" s="1"/>
  <c r="AC21" i="6" s="1"/>
  <c r="PF137" i="6"/>
  <c r="PF138" i="6" s="1"/>
  <c r="OZ138" i="6"/>
  <c r="LI141" i="6"/>
  <c r="LI146" i="6"/>
  <c r="KY146" i="6"/>
  <c r="KY141" i="6"/>
  <c r="DT146" i="6"/>
  <c r="DT141" i="6"/>
  <c r="FB151" i="6"/>
  <c r="FB143" i="6"/>
  <c r="FB140" i="6"/>
  <c r="FB147" i="6" s="1"/>
  <c r="FB139" i="6"/>
  <c r="OB141" i="6"/>
  <c r="IW141" i="6"/>
  <c r="BW141" i="6"/>
  <c r="MG147" i="6"/>
  <c r="MG141" i="6"/>
  <c r="JI113" i="6"/>
  <c r="JI114" i="6" s="1"/>
  <c r="JI112" i="6"/>
  <c r="LY111" i="6"/>
  <c r="LY110" i="6"/>
  <c r="NZ111" i="6"/>
  <c r="NZ110" i="6"/>
  <c r="G100" i="6"/>
  <c r="G101" i="6"/>
  <c r="KE110" i="6"/>
  <c r="KE111" i="6"/>
  <c r="GG101" i="6"/>
  <c r="GG100" i="6"/>
  <c r="CM123" i="6"/>
  <c r="CM124" i="6" s="1"/>
  <c r="CM125" i="6" s="1"/>
  <c r="FU103" i="6"/>
  <c r="FU104" i="6" s="1"/>
  <c r="FU102" i="6"/>
  <c r="LO109" i="6"/>
  <c r="LO99" i="6"/>
  <c r="LO88" i="6"/>
  <c r="LO89" i="6" s="1"/>
  <c r="LN85" i="6"/>
  <c r="OD103" i="6"/>
  <c r="OD102" i="6"/>
  <c r="IO100" i="6"/>
  <c r="IO101" i="6"/>
  <c r="ML111" i="6"/>
  <c r="ML110" i="6"/>
  <c r="KS109" i="6"/>
  <c r="KS140" i="6"/>
  <c r="KS147" i="6" s="1"/>
  <c r="KS99" i="6"/>
  <c r="KS88" i="6"/>
  <c r="KS89" i="6" s="1"/>
  <c r="KR85" i="6"/>
  <c r="AI100" i="6"/>
  <c r="AI101" i="6"/>
  <c r="LW110" i="6"/>
  <c r="LW111" i="6"/>
  <c r="IM103" i="6"/>
  <c r="IM102" i="6"/>
  <c r="GE47" i="6"/>
  <c r="GE38" i="6"/>
  <c r="GD38" i="6" s="1"/>
  <c r="GD37" i="6" s="1"/>
  <c r="GH43" i="6"/>
  <c r="GH42" i="6"/>
  <c r="GH36" i="6"/>
  <c r="BQ38" i="6"/>
  <c r="BP38" i="6" s="1"/>
  <c r="IK47" i="6"/>
  <c r="IK38" i="6"/>
  <c r="BI77" i="6"/>
  <c r="BI78" i="6" s="1"/>
  <c r="OG37" i="6"/>
  <c r="OG35" i="6" s="1"/>
  <c r="OG36" i="6"/>
  <c r="OE37" i="6"/>
  <c r="OE35" i="6" s="1"/>
  <c r="OE36" i="6"/>
  <c r="BQ15" i="6"/>
  <c r="BQ17" i="6"/>
  <c r="BQ18" i="6" s="1"/>
  <c r="BQ27" i="6" s="1"/>
  <c r="DX100" i="6"/>
  <c r="DX101" i="6"/>
  <c r="ON77" i="6"/>
  <c r="ON78" i="6" s="1"/>
  <c r="ON29" i="6"/>
  <c r="HG27" i="6"/>
  <c r="AS36" i="6"/>
  <c r="AS37" i="6"/>
  <c r="JW27" i="6"/>
  <c r="NB15" i="6"/>
  <c r="NB17" i="6" s="1"/>
  <c r="NB18" i="6" s="1"/>
  <c r="MZ15" i="6"/>
  <c r="MZ17" i="6" s="1"/>
  <c r="MZ18" i="6" s="1"/>
  <c r="DB110" i="6"/>
  <c r="DB111" i="6"/>
  <c r="AM77" i="6"/>
  <c r="AM78" i="6" s="1"/>
  <c r="AM29" i="6"/>
  <c r="IB34" i="6"/>
  <c r="IC35" i="6"/>
  <c r="IC34" i="6" s="1"/>
  <c r="LO36" i="6"/>
  <c r="HY37" i="6"/>
  <c r="HY36" i="6"/>
  <c r="KR27" i="6"/>
  <c r="KR24" i="6"/>
  <c r="KR26" i="6"/>
  <c r="BU77" i="6"/>
  <c r="BU78" i="6" s="1"/>
  <c r="KP27" i="6"/>
  <c r="KP24" i="6"/>
  <c r="KP26" i="6"/>
  <c r="HU36" i="6"/>
  <c r="DN110" i="6"/>
  <c r="DN111" i="6"/>
  <c r="DN27" i="6"/>
  <c r="DN26" i="6"/>
  <c r="DN24" i="6"/>
  <c r="CG24" i="6"/>
  <c r="CG22" i="6" s="1"/>
  <c r="CG21" i="6" s="1"/>
  <c r="CG27" i="6"/>
  <c r="HT23" i="6"/>
  <c r="HU23" i="6" s="1"/>
  <c r="HT22" i="6"/>
  <c r="HT21" i="6" s="1"/>
  <c r="OT111" i="6"/>
  <c r="OT110" i="6"/>
  <c r="NF140" i="6"/>
  <c r="NF109" i="6"/>
  <c r="NF99" i="6"/>
  <c r="NF88" i="6"/>
  <c r="NF89" i="6" s="1"/>
  <c r="QM92" i="6"/>
  <c r="QM93" i="6" s="1"/>
  <c r="QM80" i="6"/>
  <c r="QM71" i="6"/>
  <c r="DF36" i="6"/>
  <c r="KI37" i="6"/>
  <c r="KI36" i="6"/>
  <c r="AB26" i="6"/>
  <c r="AB27" i="6"/>
  <c r="AB24" i="6"/>
  <c r="JR27" i="6"/>
  <c r="JR26" i="6"/>
  <c r="JR24" i="6"/>
  <c r="NI26" i="6"/>
  <c r="NI27" i="6"/>
  <c r="NI24" i="6"/>
  <c r="CM137" i="6"/>
  <c r="CM138" i="6" s="1"/>
  <c r="IS144" i="6"/>
  <c r="IS142" i="6"/>
  <c r="ME137" i="6"/>
  <c r="ME138" i="6" s="1"/>
  <c r="AG110" i="6"/>
  <c r="AG111" i="6"/>
  <c r="KK100" i="6"/>
  <c r="KK101" i="6"/>
  <c r="NZ100" i="6"/>
  <c r="NZ101" i="6"/>
  <c r="GG111" i="6"/>
  <c r="GG110" i="6"/>
  <c r="HI113" i="6"/>
  <c r="HI112" i="6"/>
  <c r="CK113" i="6"/>
  <c r="CK112" i="6"/>
  <c r="MP105" i="6"/>
  <c r="MP104" i="6"/>
  <c r="OX101" i="6"/>
  <c r="OX100" i="6"/>
  <c r="LA101" i="6"/>
  <c r="LA100" i="6"/>
  <c r="IO110" i="6"/>
  <c r="IO111" i="6"/>
  <c r="II140" i="6"/>
  <c r="II109" i="6"/>
  <c r="IH85" i="6"/>
  <c r="II88" i="6"/>
  <c r="II89" i="6" s="1"/>
  <c r="II99" i="6"/>
  <c r="AM101" i="6"/>
  <c r="AM100" i="6"/>
  <c r="AI110" i="6"/>
  <c r="AI111" i="6"/>
  <c r="OR101" i="6"/>
  <c r="OR100" i="6"/>
  <c r="LG112" i="6"/>
  <c r="LG113" i="6"/>
  <c r="GK101" i="6"/>
  <c r="GK100" i="6"/>
  <c r="HU111" i="6"/>
  <c r="HU110" i="6"/>
  <c r="QI64" i="6"/>
  <c r="QI111" i="6" s="1"/>
  <c r="QI48" i="6"/>
  <c r="QI47" i="6" s="1"/>
  <c r="QI39" i="6"/>
  <c r="EP38" i="6"/>
  <c r="EO38" i="6" s="1"/>
  <c r="EP47" i="6"/>
  <c r="QM111" i="6"/>
  <c r="QM110" i="6"/>
  <c r="NT78" i="6"/>
  <c r="NP79" i="6"/>
  <c r="GC109" i="6"/>
  <c r="GC93" i="6"/>
  <c r="CM100" i="6"/>
  <c r="CM101" i="6"/>
  <c r="DP47" i="6"/>
  <c r="DP38" i="6"/>
  <c r="DO38" i="6" s="1"/>
  <c r="FL36" i="6"/>
  <c r="FL37" i="6"/>
  <c r="AO77" i="6"/>
  <c r="AO78" i="6" s="1"/>
  <c r="ME35" i="6"/>
  <c r="ME34" i="6" s="1"/>
  <c r="MD34" i="6"/>
  <c r="PA34" i="6"/>
  <c r="PB35" i="6"/>
  <c r="PB34" i="6" s="1"/>
  <c r="M27" i="6"/>
  <c r="ET37" i="6"/>
  <c r="DZ36" i="6"/>
  <c r="NN27" i="6"/>
  <c r="BK36" i="6"/>
  <c r="BK37" i="6"/>
  <c r="KQ37" i="6"/>
  <c r="KQ36" i="6"/>
  <c r="ON27" i="6"/>
  <c r="JW36" i="6"/>
  <c r="LM15" i="6"/>
  <c r="LM17" i="6" s="1"/>
  <c r="LM18" i="6" s="1"/>
  <c r="PM24" i="6"/>
  <c r="PM26" i="6"/>
  <c r="PM27" i="6"/>
  <c r="NV26" i="6"/>
  <c r="GS15" i="6"/>
  <c r="GS17" i="6" s="1"/>
  <c r="GS18" i="6" s="1"/>
  <c r="OF27" i="6"/>
  <c r="DB101" i="6"/>
  <c r="DB100" i="6"/>
  <c r="OL24" i="6"/>
  <c r="OL26" i="6"/>
  <c r="QN26" i="6"/>
  <c r="QN27" i="6"/>
  <c r="QN24" i="6"/>
  <c r="GM27" i="6"/>
  <c r="EH111" i="6"/>
  <c r="EH110" i="6"/>
  <c r="NL26" i="6"/>
  <c r="NL31" i="6" s="1"/>
  <c r="JJ26" i="6"/>
  <c r="JJ24" i="6"/>
  <c r="JJ27" i="6"/>
  <c r="HQ15" i="6"/>
  <c r="HQ17" i="6" s="1"/>
  <c r="HQ18" i="6" s="1"/>
  <c r="BU36" i="6"/>
  <c r="BU37" i="6"/>
  <c r="JH26" i="6"/>
  <c r="JH24" i="6"/>
  <c r="JH27" i="6"/>
  <c r="FH15" i="6"/>
  <c r="FH17" i="6" s="1"/>
  <c r="FH18" i="6" s="1"/>
  <c r="S26" i="6"/>
  <c r="S31" i="6" s="1"/>
  <c r="S27" i="6"/>
  <c r="DX147" i="6"/>
  <c r="DX141" i="6"/>
  <c r="CG140" i="6"/>
  <c r="CG147" i="6" s="1"/>
  <c r="CG139" i="6"/>
  <c r="CG143" i="6"/>
  <c r="CG151" i="6"/>
  <c r="GE103" i="6"/>
  <c r="GE104" i="6" s="1"/>
  <c r="GE102" i="6"/>
  <c r="LO27" i="6"/>
  <c r="K27" i="6"/>
  <c r="K26" i="6"/>
  <c r="K31" i="6" s="1"/>
  <c r="PD143" i="6"/>
  <c r="PD140" i="6"/>
  <c r="PD147" i="6" s="1"/>
  <c r="PD151" i="6"/>
  <c r="PD139" i="6"/>
  <c r="OR141" i="6"/>
  <c r="BI144" i="6"/>
  <c r="BI142" i="6"/>
  <c r="PB151" i="6"/>
  <c r="PB143" i="6"/>
  <c r="PB139" i="6"/>
  <c r="PB140" i="6"/>
  <c r="PB147" i="6" s="1"/>
  <c r="LO141" i="6"/>
  <c r="LO146" i="6"/>
  <c r="CK137" i="6"/>
  <c r="CK138" i="6" s="1"/>
  <c r="EF146" i="6"/>
  <c r="EF141" i="6"/>
  <c r="IK146" i="6"/>
  <c r="IK141" i="6"/>
  <c r="MC137" i="6"/>
  <c r="MC138" i="6" s="1"/>
  <c r="BC142" i="6"/>
  <c r="BC144" i="6"/>
  <c r="LM112" i="6"/>
  <c r="LM113" i="6"/>
  <c r="PW102" i="6"/>
  <c r="PW103" i="6"/>
  <c r="AG100" i="6"/>
  <c r="AG101" i="6"/>
  <c r="QO100" i="6"/>
  <c r="QO101" i="6"/>
  <c r="KK111" i="6"/>
  <c r="KK110" i="6"/>
  <c r="IW110" i="6"/>
  <c r="IW111" i="6"/>
  <c r="MV101" i="6"/>
  <c r="MV100" i="6"/>
  <c r="PN110" i="6"/>
  <c r="PN111" i="6"/>
  <c r="KI111" i="6"/>
  <c r="KI110" i="6"/>
  <c r="LA111" i="6"/>
  <c r="LA110" i="6"/>
  <c r="MP101" i="6"/>
  <c r="MP102" i="6" s="1"/>
  <c r="MP100" i="6"/>
  <c r="LI101" i="6"/>
  <c r="LI100" i="6"/>
  <c r="II83" i="6"/>
  <c r="AO101" i="6"/>
  <c r="AO100" i="6"/>
  <c r="AM111" i="6"/>
  <c r="AM110" i="6"/>
  <c r="OR111" i="6"/>
  <c r="OR110" i="6"/>
  <c r="KU111" i="6"/>
  <c r="KU110" i="6"/>
  <c r="GK110" i="6"/>
  <c r="GK111" i="6"/>
  <c r="DB47" i="6"/>
  <c r="DB38" i="6"/>
  <c r="CM111" i="6"/>
  <c r="CM110" i="6"/>
  <c r="GW38" i="6"/>
  <c r="GV38" i="6" s="1"/>
  <c r="GV37" i="6" s="1"/>
  <c r="GW47" i="6"/>
  <c r="GU47" i="6"/>
  <c r="GU38" i="6"/>
  <c r="GT38" i="6" s="1"/>
  <c r="GT37" i="6" s="1"/>
  <c r="MZ47" i="6"/>
  <c r="MZ38" i="6"/>
  <c r="MY38" i="6" s="1"/>
  <c r="MY37" i="6" s="1"/>
  <c r="HU38" i="6"/>
  <c r="HT38" i="6" s="1"/>
  <c r="HT37" i="6" s="1"/>
  <c r="HT35" i="6" s="1"/>
  <c r="HU47" i="6"/>
  <c r="AA47" i="6"/>
  <c r="AA38" i="6"/>
  <c r="Z38" i="6" s="1"/>
  <c r="Z37" i="6" s="1"/>
  <c r="ET36" i="6"/>
  <c r="FP29" i="6"/>
  <c r="DZ37" i="6"/>
  <c r="NN37" i="6"/>
  <c r="NN36" i="6"/>
  <c r="DX111" i="6"/>
  <c r="DX110" i="6"/>
  <c r="KO36" i="6"/>
  <c r="JY15" i="6"/>
  <c r="JY17" i="6" s="1"/>
  <c r="JY18" i="6" s="1"/>
  <c r="AW27" i="6"/>
  <c r="OA26" i="6"/>
  <c r="OA24" i="6"/>
  <c r="OA27" i="6"/>
  <c r="OH27" i="6"/>
  <c r="OF37" i="6"/>
  <c r="OF36" i="6"/>
  <c r="NR26" i="6"/>
  <c r="NR24" i="6"/>
  <c r="NR22" i="6" s="1"/>
  <c r="NR21" i="6" s="1"/>
  <c r="AM27" i="6"/>
  <c r="NS27" i="6"/>
  <c r="NS26" i="6"/>
  <c r="NS24" i="6"/>
  <c r="GO15" i="6"/>
  <c r="GO17" i="6" s="1"/>
  <c r="GO18" i="6" s="1"/>
  <c r="EH101" i="6"/>
  <c r="EH100" i="6"/>
  <c r="KV26" i="6"/>
  <c r="KV27" i="6"/>
  <c r="KV24" i="6"/>
  <c r="HX27" i="6"/>
  <c r="HX26" i="6"/>
  <c r="HX24" i="6"/>
  <c r="AQ15" i="6"/>
  <c r="AQ17" i="6" s="1"/>
  <c r="AQ18" i="6" s="1"/>
  <c r="HV26" i="6"/>
  <c r="HV27" i="6"/>
  <c r="HV24" i="6"/>
  <c r="GC15" i="6"/>
  <c r="GC17" i="6" s="1"/>
  <c r="GC18" i="6" s="1"/>
  <c r="KW36" i="6"/>
  <c r="W15" i="6"/>
  <c r="W17" i="6" s="1"/>
  <c r="W18" i="6" s="1"/>
  <c r="BE24" i="6"/>
  <c r="BE22" i="6" s="1"/>
  <c r="BE21" i="6" s="1"/>
  <c r="DD27" i="6"/>
  <c r="DD24" i="6"/>
  <c r="DD22" i="6" s="1"/>
  <c r="DD21" i="6" s="1"/>
  <c r="NG23" i="6"/>
  <c r="NH23" i="6" s="1"/>
  <c r="NG22" i="6"/>
  <c r="NG21" i="6" s="1"/>
  <c r="PL110" i="6"/>
  <c r="PL111" i="6"/>
  <c r="JM111" i="6"/>
  <c r="JM110" i="6"/>
  <c r="NR79" i="6"/>
  <c r="NV78" i="6"/>
  <c r="BO47" i="6"/>
  <c r="BO38" i="6"/>
  <c r="BN38" i="6" s="1"/>
  <c r="LM77" i="6"/>
  <c r="FL111" i="6"/>
  <c r="FL110" i="6"/>
  <c r="GP27" i="6"/>
  <c r="GP24" i="6"/>
  <c r="GP26" i="6"/>
  <c r="HW36" i="6"/>
  <c r="DV146" i="6"/>
  <c r="DV141" i="6"/>
  <c r="AU146" i="6"/>
  <c r="AU141" i="6"/>
  <c r="LA144" i="6"/>
  <c r="LA142" i="6"/>
  <c r="HO141" i="6"/>
  <c r="HO146" i="6"/>
  <c r="LW151" i="6"/>
  <c r="LW140" i="6"/>
  <c r="LW147" i="6" s="1"/>
  <c r="LW139" i="6"/>
  <c r="LW143" i="6"/>
  <c r="EN141" i="6"/>
  <c r="JS112" i="6"/>
  <c r="JS113" i="6"/>
  <c r="PH101" i="6"/>
  <c r="PH100" i="6"/>
  <c r="QO111" i="6"/>
  <c r="QO110" i="6"/>
  <c r="NB113" i="6"/>
  <c r="NB112" i="6"/>
  <c r="IW100" i="6"/>
  <c r="IW101" i="6"/>
  <c r="CK101" i="6"/>
  <c r="CK100" i="6"/>
  <c r="JB101" i="6"/>
  <c r="JB100" i="6"/>
  <c r="PN100" i="6"/>
  <c r="PN101" i="6"/>
  <c r="IS101" i="6"/>
  <c r="IS100" i="6"/>
  <c r="MP111" i="6"/>
  <c r="MP110" i="6"/>
  <c r="IK101" i="6"/>
  <c r="IK100" i="6"/>
  <c r="GU140" i="6"/>
  <c r="GU147" i="6" s="1"/>
  <c r="GU109" i="6"/>
  <c r="GU99" i="6"/>
  <c r="GU88" i="6"/>
  <c r="GU89" i="6" s="1"/>
  <c r="NR80" i="6"/>
  <c r="AO111" i="6"/>
  <c r="AO110" i="6"/>
  <c r="AM147" i="6"/>
  <c r="AM141" i="6"/>
  <c r="HG92" i="6"/>
  <c r="HG93" i="6" s="1"/>
  <c r="NN100" i="6"/>
  <c r="NN101" i="6"/>
  <c r="KU101" i="6"/>
  <c r="KU100" i="6"/>
  <c r="K102" i="6"/>
  <c r="K103" i="6"/>
  <c r="K104" i="6" s="1"/>
  <c r="GI103" i="6"/>
  <c r="GI102" i="6"/>
  <c r="GC100" i="6"/>
  <c r="GC101" i="6"/>
  <c r="QC110" i="6"/>
  <c r="BG100" i="6"/>
  <c r="BG101" i="6"/>
  <c r="OW36" i="6"/>
  <c r="OW37" i="6"/>
  <c r="OW35" i="6" s="1"/>
  <c r="QI53" i="6"/>
  <c r="PD77" i="6"/>
  <c r="PD78" i="6" s="1"/>
  <c r="EF37" i="6"/>
  <c r="EF36" i="6"/>
  <c r="LK77" i="6"/>
  <c r="LK29" i="6"/>
  <c r="PJ35" i="6"/>
  <c r="PJ34" i="6" s="1"/>
  <c r="PI34" i="6"/>
  <c r="KK36" i="6"/>
  <c r="KK37" i="6"/>
  <c r="BE36" i="6"/>
  <c r="QI27" i="6"/>
  <c r="QI26" i="6"/>
  <c r="QI24" i="6"/>
  <c r="QH26" i="6"/>
  <c r="QH27" i="6"/>
  <c r="QH24" i="6"/>
  <c r="IN26" i="6"/>
  <c r="IN29" i="6"/>
  <c r="IO29" i="6" s="1"/>
  <c r="IN24" i="6"/>
  <c r="IN27" i="6"/>
  <c r="JD15" i="6"/>
  <c r="JD17" i="6" s="1"/>
  <c r="JD18" i="6" s="1"/>
  <c r="AW77" i="6"/>
  <c r="AW78" i="6" s="1"/>
  <c r="AW29" i="6"/>
  <c r="MO26" i="6"/>
  <c r="MO27" i="6"/>
  <c r="MO24" i="6"/>
  <c r="OH36" i="6"/>
  <c r="OH37" i="6"/>
  <c r="OF77" i="6"/>
  <c r="OF78" i="6" s="1"/>
  <c r="OF29" i="6"/>
  <c r="MX31" i="6"/>
  <c r="MX24" i="6"/>
  <c r="MX22" i="6" s="1"/>
  <c r="MX21" i="6" s="1"/>
  <c r="MF29" i="6"/>
  <c r="MF27" i="6"/>
  <c r="MF26" i="6"/>
  <c r="MF24" i="6"/>
  <c r="EB26" i="6"/>
  <c r="EB27" i="6"/>
  <c r="EB24" i="6"/>
  <c r="GT27" i="6"/>
  <c r="GT24" i="6"/>
  <c r="GT26" i="6"/>
  <c r="DS27" i="6"/>
  <c r="DS26" i="6"/>
  <c r="DS24" i="6"/>
  <c r="FR17" i="6"/>
  <c r="FR18" i="6" s="1"/>
  <c r="AE27" i="6"/>
  <c r="GR27" i="6"/>
  <c r="GR24" i="6"/>
  <c r="GR26" i="6"/>
  <c r="BK15" i="6"/>
  <c r="BK17" i="6" s="1"/>
  <c r="BK18" i="6" s="1"/>
  <c r="QF26" i="6"/>
  <c r="QF27" i="6"/>
  <c r="QF24" i="6"/>
  <c r="HA27" i="6"/>
  <c r="LR23" i="6"/>
  <c r="LS23" i="6" s="1"/>
  <c r="LR22" i="6"/>
  <c r="LR21" i="6" s="1"/>
  <c r="OD111" i="6"/>
  <c r="OD110" i="6"/>
  <c r="PJ110" i="6"/>
  <c r="PJ111" i="6"/>
  <c r="FD47" i="6"/>
  <c r="FD38" i="6"/>
  <c r="FC38" i="6" s="1"/>
  <c r="DC26" i="6"/>
  <c r="DC24" i="6"/>
  <c r="DC27" i="6"/>
  <c r="IC37" i="6"/>
  <c r="IC36" i="6"/>
  <c r="NK26" i="6"/>
  <c r="NK27" i="6"/>
  <c r="NK24" i="6"/>
  <c r="KK15" i="6"/>
  <c r="KK17" i="6" s="1"/>
  <c r="KK18" i="6" s="1"/>
  <c r="PP141" i="6"/>
  <c r="PP146" i="6"/>
  <c r="OX144" i="6"/>
  <c r="OX142" i="6"/>
  <c r="OP141" i="6"/>
  <c r="OL146" i="6"/>
  <c r="OL141" i="6"/>
  <c r="EP146" i="6"/>
  <c r="EP141" i="6"/>
  <c r="LY151" i="6"/>
  <c r="LY140" i="6"/>
  <c r="LY147" i="6" s="1"/>
  <c r="LY143" i="6"/>
  <c r="LY139" i="6"/>
  <c r="OZ101" i="6"/>
  <c r="OZ100" i="6"/>
  <c r="LM101" i="6"/>
  <c r="LM100" i="6"/>
  <c r="PS101" i="6"/>
  <c r="PS100" i="6"/>
  <c r="LU100" i="6"/>
  <c r="LU101" i="6"/>
  <c r="IC100" i="6"/>
  <c r="IC101" i="6"/>
  <c r="BK100" i="6"/>
  <c r="BK101" i="6"/>
  <c r="OX111" i="6"/>
  <c r="OX110" i="6"/>
  <c r="AU101" i="6"/>
  <c r="AU100" i="6"/>
  <c r="HK101" i="6"/>
  <c r="HK100" i="6"/>
  <c r="IK111" i="6"/>
  <c r="IK110" i="6"/>
  <c r="GU83" i="6"/>
  <c r="S103" i="6"/>
  <c r="S104" i="6" s="1"/>
  <c r="S102" i="6"/>
  <c r="MG102" i="6"/>
  <c r="MG103" i="6"/>
  <c r="KO100" i="6"/>
  <c r="KO101" i="6"/>
  <c r="NN111" i="6"/>
  <c r="NN110" i="6"/>
  <c r="QM101" i="6"/>
  <c r="QM100" i="6"/>
  <c r="JG103" i="6"/>
  <c r="JG104" i="6" s="1"/>
  <c r="JG102" i="6"/>
  <c r="CO100" i="6"/>
  <c r="CO101" i="6"/>
  <c r="BG111" i="6"/>
  <c r="BG110" i="6"/>
  <c r="JF42" i="6"/>
  <c r="JF36" i="6"/>
  <c r="JF43" i="6"/>
  <c r="FH47" i="6"/>
  <c r="FH38" i="6"/>
  <c r="CA47" i="6"/>
  <c r="CA38" i="6"/>
  <c r="PF77" i="6"/>
  <c r="PF78" i="6" s="1"/>
  <c r="PF29" i="6"/>
  <c r="OJ77" i="6"/>
  <c r="OJ78" i="6" s="1"/>
  <c r="JO37" i="6"/>
  <c r="EH38" i="6"/>
  <c r="DL37" i="6"/>
  <c r="DL36" i="6"/>
  <c r="HK36" i="6"/>
  <c r="NF17" i="6"/>
  <c r="NF18" i="6" s="1"/>
  <c r="NF27" i="6" s="1"/>
  <c r="EQ26" i="6"/>
  <c r="EQ24" i="6"/>
  <c r="EQ27" i="6"/>
  <c r="HO15" i="6"/>
  <c r="HO17" i="6" s="1"/>
  <c r="HO18" i="6" s="1"/>
  <c r="AW36" i="6"/>
  <c r="AW37" i="6"/>
  <c r="LB29" i="6"/>
  <c r="LB26" i="6"/>
  <c r="LB27" i="6"/>
  <c r="LB24" i="6"/>
  <c r="EH26" i="6"/>
  <c r="EH22" i="6" s="1"/>
  <c r="EH21" i="6" s="1"/>
  <c r="MC26" i="6"/>
  <c r="MC24" i="6"/>
  <c r="JL26" i="6"/>
  <c r="JL27" i="6"/>
  <c r="JL24" i="6"/>
  <c r="EZ15" i="6"/>
  <c r="EZ17" i="6" s="1"/>
  <c r="EZ18" i="6" s="1"/>
  <c r="FK26" i="6"/>
  <c r="FK24" i="6"/>
  <c r="FK27" i="6"/>
  <c r="EX27" i="6"/>
  <c r="EX24" i="6"/>
  <c r="EX22" i="6" s="1"/>
  <c r="EX21" i="6" s="1"/>
  <c r="LW27" i="6"/>
  <c r="LW26" i="6"/>
  <c r="LW24" i="6"/>
  <c r="AE36" i="6"/>
  <c r="AE37" i="6"/>
  <c r="BS36" i="6"/>
  <c r="BS37" i="6"/>
  <c r="HA36" i="6"/>
  <c r="HA37" i="6"/>
  <c r="FN27" i="6"/>
  <c r="FN24" i="6"/>
  <c r="FN22" i="6" s="1"/>
  <c r="FN21" i="6" s="1"/>
  <c r="IG142" i="6"/>
  <c r="IG144" i="6"/>
  <c r="QM146" i="6"/>
  <c r="QM141" i="6"/>
  <c r="DN144" i="6"/>
  <c r="DN142" i="6"/>
  <c r="KA146" i="6"/>
  <c r="KA141" i="6"/>
  <c r="HG141" i="6"/>
  <c r="NX146" i="6"/>
  <c r="NX141" i="6"/>
  <c r="MA143" i="6"/>
  <c r="MA139" i="6"/>
  <c r="MA151" i="6"/>
  <c r="MA140" i="6"/>
  <c r="MA147" i="6" s="1"/>
  <c r="OZ110" i="6"/>
  <c r="OZ111" i="6"/>
  <c r="PS111" i="6"/>
  <c r="PS110" i="6"/>
  <c r="CQ113" i="6"/>
  <c r="CQ112" i="6"/>
  <c r="JB112" i="6"/>
  <c r="JB113" i="6"/>
  <c r="LU111" i="6"/>
  <c r="LU110" i="6"/>
  <c r="IC110" i="6"/>
  <c r="IC111" i="6"/>
  <c r="AW111" i="6"/>
  <c r="AW110" i="6"/>
  <c r="CG100" i="6"/>
  <c r="CG101" i="6"/>
  <c r="IQ101" i="6"/>
  <c r="IQ100" i="6"/>
  <c r="IS111" i="6"/>
  <c r="IS110" i="6"/>
  <c r="GE110" i="6"/>
  <c r="GE111" i="6"/>
  <c r="AU110" i="6"/>
  <c r="AU111" i="6"/>
  <c r="JY100" i="6"/>
  <c r="JY101" i="6"/>
  <c r="BO101" i="6"/>
  <c r="BO100" i="6"/>
  <c r="M103" i="6"/>
  <c r="M104" i="6" s="1"/>
  <c r="M102" i="6"/>
  <c r="M110" i="6"/>
  <c r="M111" i="6"/>
  <c r="CO111" i="6"/>
  <c r="CO110" i="6"/>
  <c r="QQ92" i="6"/>
  <c r="QQ93" i="6" s="1"/>
  <c r="QQ71" i="6"/>
  <c r="QQ80" i="6"/>
  <c r="HY101" i="6"/>
  <c r="HY100" i="6"/>
  <c r="PU110" i="6"/>
  <c r="GB43" i="6"/>
  <c r="GB36" i="6"/>
  <c r="GB42" i="6"/>
  <c r="FF47" i="6"/>
  <c r="FF38" i="6"/>
  <c r="FE38" i="6" s="1"/>
  <c r="Y47" i="6"/>
  <c r="Y38" i="6"/>
  <c r="X38" i="6" s="1"/>
  <c r="X37" i="6" s="1"/>
  <c r="OL77" i="6"/>
  <c r="OL78" i="6" s="1"/>
  <c r="OL29" i="6"/>
  <c r="IW77" i="6"/>
  <c r="CS38" i="6"/>
  <c r="ET35" i="6"/>
  <c r="ET34" i="6" s="1"/>
  <c r="ES34" i="6"/>
  <c r="OR77" i="6"/>
  <c r="OR78" i="6" s="1"/>
  <c r="CP34" i="6"/>
  <c r="CQ35" i="6"/>
  <c r="CQ34" i="6" s="1"/>
  <c r="KU36" i="6"/>
  <c r="KU37" i="6"/>
  <c r="KF26" i="6"/>
  <c r="KF27" i="6"/>
  <c r="KF24" i="6"/>
  <c r="AU77" i="6"/>
  <c r="AU78" i="6" s="1"/>
  <c r="AU29" i="6"/>
  <c r="DT15" i="6"/>
  <c r="DT17" i="6" s="1"/>
  <c r="DT18" i="6" s="1"/>
  <c r="LQ17" i="6"/>
  <c r="LQ18" i="6" s="1"/>
  <c r="LQ29" i="6" s="1"/>
  <c r="GV27" i="6"/>
  <c r="GV24" i="6"/>
  <c r="GV26" i="6"/>
  <c r="OR17" i="6"/>
  <c r="OR18" i="6" s="1"/>
  <c r="PK26" i="6"/>
  <c r="PK27" i="6"/>
  <c r="PK24" i="6"/>
  <c r="DH27" i="6"/>
  <c r="DH24" i="6"/>
  <c r="DH22" i="6" s="1"/>
  <c r="DH21" i="6" s="1"/>
  <c r="GA15" i="6"/>
  <c r="GA17" i="6" s="1"/>
  <c r="GA18" i="6" s="1"/>
  <c r="DG27" i="6"/>
  <c r="DG26" i="6"/>
  <c r="DG24" i="6"/>
  <c r="LI24" i="6"/>
  <c r="LI26" i="6"/>
  <c r="IF27" i="6"/>
  <c r="IF24" i="6"/>
  <c r="IF26" i="6"/>
  <c r="EF17" i="6"/>
  <c r="EF18" i="6" s="1"/>
  <c r="NV27" i="6"/>
  <c r="AV26" i="6"/>
  <c r="AV24" i="6"/>
  <c r="AV29" i="6"/>
  <c r="AV27" i="6"/>
  <c r="EA26" i="6"/>
  <c r="EA27" i="6"/>
  <c r="EA24" i="6"/>
  <c r="ED27" i="6"/>
  <c r="ED24" i="6"/>
  <c r="AT26" i="6"/>
  <c r="AT29" i="6"/>
  <c r="AT24" i="6"/>
  <c r="AT27" i="6"/>
  <c r="DY26" i="6"/>
  <c r="DY27" i="6"/>
  <c r="DY24" i="6"/>
  <c r="DL110" i="6"/>
  <c r="DL111" i="6"/>
  <c r="HQ36" i="6"/>
  <c r="HQ37" i="6"/>
  <c r="HW26" i="6"/>
  <c r="HW24" i="6"/>
  <c r="BY22" i="6"/>
  <c r="BY21" i="6" s="1"/>
  <c r="LK111" i="6"/>
  <c r="LK110" i="6"/>
  <c r="BO141" i="6"/>
  <c r="BO146" i="6"/>
  <c r="LG142" i="6"/>
  <c r="LG144" i="6"/>
  <c r="GS146" i="6"/>
  <c r="GS141" i="6"/>
  <c r="HW141" i="6"/>
  <c r="LS140" i="6"/>
  <c r="LS147" i="6" s="1"/>
  <c r="LS139" i="6"/>
  <c r="LS151" i="6"/>
  <c r="LS143" i="6"/>
  <c r="BQ146" i="6"/>
  <c r="BQ141" i="6"/>
  <c r="KI146" i="6"/>
  <c r="KI141" i="6"/>
  <c r="MA100" i="6"/>
  <c r="MA101" i="6"/>
  <c r="BW100" i="6"/>
  <c r="BW101" i="6"/>
  <c r="IG101" i="6"/>
  <c r="IG100" i="6"/>
  <c r="IC147" i="6"/>
  <c r="IC141" i="6"/>
  <c r="MR89" i="6"/>
  <c r="KI100" i="6"/>
  <c r="KI101" i="6"/>
  <c r="OH100" i="6"/>
  <c r="OH101" i="6"/>
  <c r="NH110" i="6"/>
  <c r="NH111" i="6"/>
  <c r="CG110" i="6"/>
  <c r="CG111" i="6"/>
  <c r="FY113" i="6"/>
  <c r="FY114" i="6" s="1"/>
  <c r="FY112" i="6"/>
  <c r="HK147" i="6"/>
  <c r="HK141" i="6"/>
  <c r="GW100" i="6"/>
  <c r="GW101" i="6"/>
  <c r="JY111" i="6"/>
  <c r="JY110" i="6"/>
  <c r="BQ111" i="6"/>
  <c r="BQ110" i="6"/>
  <c r="BQ102" i="6"/>
  <c r="BQ103" i="6"/>
  <c r="BC103" i="6"/>
  <c r="BC102" i="6"/>
  <c r="NF92" i="6"/>
  <c r="NF93" i="6" s="1"/>
  <c r="BI101" i="6"/>
  <c r="BI100" i="6"/>
  <c r="CZ92" i="6"/>
  <c r="CZ93" i="6" s="1"/>
  <c r="HY110" i="6"/>
  <c r="HY111" i="6"/>
  <c r="LK47" i="6"/>
  <c r="LK38" i="6"/>
  <c r="LJ38" i="6" s="1"/>
  <c r="LJ37" i="6" s="1"/>
  <c r="OB38" i="6"/>
  <c r="OA38" i="6" s="1"/>
  <c r="OA37" i="6" s="1"/>
  <c r="OB47" i="6"/>
  <c r="GG47" i="6"/>
  <c r="GG38" i="6"/>
  <c r="GF38" i="6" s="1"/>
  <c r="GF37" i="6" s="1"/>
  <c r="CG77" i="6"/>
  <c r="CG78" i="6" s="1"/>
  <c r="CG29" i="6"/>
  <c r="CE77" i="6"/>
  <c r="CE78" i="6" s="1"/>
  <c r="CE29" i="6"/>
  <c r="BR36" i="6"/>
  <c r="BR37" i="6"/>
  <c r="BR35" i="6" s="1"/>
  <c r="CM77" i="6"/>
  <c r="CM78" i="6" s="1"/>
  <c r="CM29" i="6"/>
  <c r="LG77" i="6"/>
  <c r="FB111" i="6"/>
  <c r="FB110" i="6"/>
  <c r="FJ100" i="6"/>
  <c r="FJ101" i="6"/>
  <c r="JA28" i="6"/>
  <c r="JA24" i="6"/>
  <c r="JA26" i="6"/>
  <c r="BI36" i="6"/>
  <c r="BI37" i="6"/>
  <c r="AU36" i="6"/>
  <c r="AU37" i="6"/>
  <c r="HI37" i="6"/>
  <c r="HI36" i="6"/>
  <c r="BA77" i="6"/>
  <c r="BA78" i="6" s="1"/>
  <c r="HS15" i="6"/>
  <c r="HS17" i="6" s="1"/>
  <c r="HS18" i="6" s="1"/>
  <c r="FD101" i="6"/>
  <c r="FD100" i="6"/>
  <c r="GU27" i="6"/>
  <c r="F26" i="6"/>
  <c r="F24" i="6"/>
  <c r="F27" i="6"/>
  <c r="FF15" i="6"/>
  <c r="FF17" i="6" s="1"/>
  <c r="FF18" i="6" s="1"/>
  <c r="CF26" i="6"/>
  <c r="CF27" i="6"/>
  <c r="CF24" i="6"/>
  <c r="CF29" i="6"/>
  <c r="ER101" i="6"/>
  <c r="ER100" i="6"/>
  <c r="LM36" i="6"/>
  <c r="KO24" i="6"/>
  <c r="KO22" i="6" s="1"/>
  <c r="KO21" i="6" s="1"/>
  <c r="KO26" i="6"/>
  <c r="PZ27" i="6"/>
  <c r="PZ24" i="6"/>
  <c r="PZ26" i="6"/>
  <c r="EL101" i="6"/>
  <c r="EL100" i="6"/>
  <c r="DL15" i="6"/>
  <c r="DL17" i="6" s="1"/>
  <c r="DL18" i="6" s="1"/>
  <c r="EJ111" i="6"/>
  <c r="EJ110" i="6"/>
  <c r="NV36" i="6"/>
  <c r="NV37" i="6"/>
  <c r="EZ101" i="6"/>
  <c r="EZ100" i="6"/>
  <c r="CW26" i="6"/>
  <c r="CW24" i="6"/>
  <c r="CW27" i="6"/>
  <c r="DL101" i="6"/>
  <c r="DL100" i="6"/>
  <c r="GK24" i="6"/>
  <c r="GK22" i="6" s="1"/>
  <c r="GK21" i="6" s="1"/>
  <c r="AU24" i="6"/>
  <c r="AU22" i="6" s="1"/>
  <c r="AU21" i="6" s="1"/>
  <c r="KE144" i="6"/>
  <c r="KE142" i="6"/>
  <c r="LC147" i="6"/>
  <c r="LC141" i="6"/>
  <c r="KM141" i="6"/>
  <c r="KM146" i="6"/>
  <c r="FD138" i="6"/>
  <c r="FF137" i="6"/>
  <c r="FF138" i="6" s="1"/>
  <c r="BU144" i="6"/>
  <c r="BU142" i="6"/>
  <c r="FU113" i="6"/>
  <c r="FU114" i="6" s="1"/>
  <c r="FU112" i="6"/>
  <c r="NL112" i="6"/>
  <c r="NL113" i="6"/>
  <c r="MA110" i="6"/>
  <c r="MA111" i="6"/>
  <c r="OB111" i="6"/>
  <c r="OB110" i="6"/>
  <c r="BW110" i="6"/>
  <c r="BW111" i="6"/>
  <c r="IG111" i="6"/>
  <c r="IG110" i="6"/>
  <c r="KG111" i="6"/>
  <c r="KG110" i="6"/>
  <c r="O111" i="6"/>
  <c r="O110" i="6"/>
  <c r="Q101" i="6"/>
  <c r="Q100" i="6"/>
  <c r="MR101" i="6"/>
  <c r="MR102" i="6" s="1"/>
  <c r="MR100" i="6"/>
  <c r="OH110" i="6"/>
  <c r="OH111" i="6"/>
  <c r="JO100" i="6"/>
  <c r="JO101" i="6"/>
  <c r="HK111" i="6"/>
  <c r="HK110" i="6"/>
  <c r="GW111" i="6"/>
  <c r="GW110" i="6"/>
  <c r="NR111" i="6"/>
  <c r="NR110" i="6"/>
  <c r="QI92" i="6"/>
  <c r="QI93" i="6" s="1"/>
  <c r="QI80" i="6"/>
  <c r="QI71" i="6"/>
  <c r="JI103" i="6"/>
  <c r="JI104" i="6" s="1"/>
  <c r="JI102" i="6"/>
  <c r="BI110" i="6"/>
  <c r="BI111" i="6"/>
  <c r="KQ101" i="6"/>
  <c r="KQ100" i="6"/>
  <c r="PF85" i="6"/>
  <c r="OP47" i="6"/>
  <c r="OP38" i="6"/>
  <c r="OO38" i="6" s="1"/>
  <c r="AM47" i="6"/>
  <c r="AM38" i="6"/>
  <c r="AL38" i="6" s="1"/>
  <c r="AL37" i="6" s="1"/>
  <c r="BM77" i="6"/>
  <c r="BM78" i="6" s="1"/>
  <c r="BK77" i="6"/>
  <c r="BK78" i="6" s="1"/>
  <c r="BS77" i="6"/>
  <c r="BS78" i="6" s="1"/>
  <c r="OD26" i="6"/>
  <c r="OD22" i="6" s="1"/>
  <c r="OD21" i="6" s="1"/>
  <c r="FB100" i="6"/>
  <c r="FB101" i="6"/>
  <c r="FJ111" i="6"/>
  <c r="FJ110" i="6"/>
  <c r="GH26" i="6"/>
  <c r="GH27" i="6"/>
  <c r="GH24" i="6"/>
  <c r="DV17" i="6"/>
  <c r="DV18" i="6" s="1"/>
  <c r="FD110" i="6"/>
  <c r="FD111" i="6"/>
  <c r="OQ27" i="6"/>
  <c r="OQ24" i="6"/>
  <c r="OQ26" i="6"/>
  <c r="OQ29" i="6"/>
  <c r="DR15" i="6"/>
  <c r="DR17" i="6" s="1"/>
  <c r="DR18" i="6" s="1"/>
  <c r="EV100" i="6"/>
  <c r="EV101" i="6"/>
  <c r="BF24" i="6"/>
  <c r="BF26" i="6"/>
  <c r="BF27" i="6"/>
  <c r="JU22" i="6"/>
  <c r="JU21" i="6" s="1"/>
  <c r="EL110" i="6"/>
  <c r="EL111" i="6"/>
  <c r="FM26" i="6"/>
  <c r="FM27" i="6"/>
  <c r="FM24" i="6"/>
  <c r="CQ17" i="6"/>
  <c r="CQ18" i="6" s="1"/>
  <c r="CQ29" i="6" s="1"/>
  <c r="EJ100" i="6"/>
  <c r="EJ101" i="6"/>
  <c r="BR27" i="6"/>
  <c r="BR26" i="6"/>
  <c r="BR24" i="6"/>
  <c r="KA36" i="6"/>
  <c r="LA24" i="6"/>
  <c r="LA22" i="6" s="1"/>
  <c r="LA21" i="6" s="1"/>
  <c r="KU146" i="6"/>
  <c r="KU141" i="6"/>
  <c r="DZ141" i="6"/>
  <c r="OJ141" i="6"/>
  <c r="OJ146" i="6"/>
  <c r="BS147" i="6"/>
  <c r="BS141" i="6"/>
  <c r="AQ141" i="6"/>
  <c r="AQ146" i="6"/>
  <c r="OH141" i="6"/>
  <c r="OH146" i="6"/>
  <c r="PJ146" i="6"/>
  <c r="PJ141" i="6"/>
  <c r="IM113" i="6"/>
  <c r="IM112" i="6"/>
  <c r="LG101" i="6"/>
  <c r="LG100" i="6"/>
  <c r="OB101" i="6"/>
  <c r="OB100" i="6"/>
  <c r="NP100" i="6"/>
  <c r="NP101" i="6"/>
  <c r="Q111" i="6"/>
  <c r="Q110" i="6"/>
  <c r="QA111" i="6"/>
  <c r="QA110" i="6"/>
  <c r="MZ101" i="6"/>
  <c r="MZ100" i="6"/>
  <c r="NH101" i="6"/>
  <c r="NH100" i="6"/>
  <c r="IQ111" i="6"/>
  <c r="IQ110" i="6"/>
  <c r="OJ102" i="6"/>
  <c r="OJ103" i="6"/>
  <c r="CC101" i="6"/>
  <c r="CC100" i="6"/>
  <c r="FS101" i="6"/>
  <c r="FS100" i="6"/>
  <c r="NB103" i="6"/>
  <c r="NB102" i="6"/>
  <c r="MC85" i="6"/>
  <c r="MC84" i="6"/>
  <c r="NT100" i="6"/>
  <c r="NT101" i="6"/>
  <c r="KQ110" i="6"/>
  <c r="KQ111" i="6"/>
  <c r="FY103" i="6"/>
  <c r="FY104" i="6" s="1"/>
  <c r="FY102" i="6"/>
  <c r="LA38" i="6"/>
  <c r="KZ38" i="6" s="1"/>
  <c r="KZ37" i="6" s="1"/>
  <c r="DR47" i="6"/>
  <c r="DR38" i="6"/>
  <c r="DQ38" i="6" s="1"/>
  <c r="AS77" i="6"/>
  <c r="AS78" i="6" s="1"/>
  <c r="AS29" i="6"/>
  <c r="AQ77" i="6"/>
  <c r="AQ78" i="6" s="1"/>
  <c r="OX77" i="6"/>
  <c r="OX78" i="6" s="1"/>
  <c r="OX29" i="6"/>
  <c r="BX34" i="6"/>
  <c r="BY35" i="6"/>
  <c r="BY34" i="6" s="1"/>
  <c r="AY77" i="6"/>
  <c r="AY78" i="6" s="1"/>
  <c r="OX37" i="6"/>
  <c r="GY26" i="6"/>
  <c r="IK15" i="6"/>
  <c r="IK17" i="6" s="1"/>
  <c r="IK18" i="6" s="1"/>
  <c r="FC27" i="6"/>
  <c r="FC26" i="6"/>
  <c r="FC24" i="6"/>
  <c r="LK27" i="6"/>
  <c r="BA36" i="6"/>
  <c r="BA37" i="6"/>
  <c r="BM15" i="6"/>
  <c r="BM17" i="6" s="1"/>
  <c r="BM18" i="6" s="1"/>
  <c r="OD27" i="6"/>
  <c r="NW27" i="6"/>
  <c r="NW24" i="6"/>
  <c r="NW26" i="6"/>
  <c r="BI15" i="6"/>
  <c r="BI17" i="6" s="1"/>
  <c r="BI18" i="6" s="1"/>
  <c r="EV110" i="6"/>
  <c r="EV111" i="6"/>
  <c r="ER111" i="6"/>
  <c r="ER110" i="6"/>
  <c r="JY36" i="6"/>
  <c r="PG29" i="6"/>
  <c r="PG27" i="6"/>
  <c r="PG24" i="6"/>
  <c r="IY24" i="6"/>
  <c r="IY26" i="6"/>
  <c r="OB27" i="6"/>
  <c r="EI27" i="6"/>
  <c r="EI24" i="6"/>
  <c r="EI26" i="6"/>
  <c r="BW15" i="6"/>
  <c r="BW17" i="6" s="1"/>
  <c r="BW18" i="6" s="1"/>
  <c r="BW29" i="6" s="1"/>
  <c r="CV101" i="6"/>
  <c r="CV100" i="6"/>
  <c r="EZ111" i="6"/>
  <c r="EZ110" i="6"/>
  <c r="BU15" i="6"/>
  <c r="BU17" i="6" s="1"/>
  <c r="BU18" i="6" s="1"/>
  <c r="T26" i="6"/>
  <c r="T24" i="6"/>
  <c r="T27" i="6"/>
  <c r="BQ77" i="6"/>
  <c r="BQ78" i="6" s="1"/>
  <c r="IW15" i="6"/>
  <c r="IW17" i="6" s="1"/>
  <c r="IW18" i="6" s="1"/>
  <c r="LC24" i="6"/>
  <c r="LC22" i="6" s="1"/>
  <c r="LC21" i="6" s="1"/>
  <c r="JS15" i="6"/>
  <c r="JS17" i="6" s="1"/>
  <c r="JS18" i="6" s="1"/>
  <c r="DF26" i="6"/>
  <c r="DF24" i="6"/>
  <c r="OV27" i="6"/>
  <c r="OV24" i="6"/>
  <c r="OV22" i="6" s="1"/>
  <c r="OV21" i="6" s="1"/>
  <c r="IA146" i="6"/>
  <c r="IA141" i="6"/>
  <c r="GW146" i="6"/>
  <c r="GW141" i="6"/>
  <c r="DP146" i="6"/>
  <c r="DP141" i="6"/>
  <c r="HY146" i="6"/>
  <c r="HY141" i="6"/>
  <c r="BG146" i="6"/>
  <c r="BG141" i="6"/>
  <c r="HI147" i="6"/>
  <c r="HI141" i="6"/>
  <c r="PL146" i="6"/>
  <c r="PL141" i="6"/>
  <c r="HU146" i="6"/>
  <c r="HU141" i="6"/>
  <c r="CE113" i="6"/>
  <c r="CE112" i="6"/>
  <c r="JD110" i="6"/>
  <c r="JD111" i="6"/>
  <c r="AC101" i="6"/>
  <c r="AC100" i="6"/>
  <c r="HM101" i="6"/>
  <c r="HM100" i="6"/>
  <c r="PD110" i="6"/>
  <c r="PD111" i="6"/>
  <c r="JS101" i="6"/>
  <c r="JS100" i="6"/>
  <c r="FW101" i="6"/>
  <c r="FW100" i="6"/>
  <c r="MZ111" i="6"/>
  <c r="MZ110" i="6"/>
  <c r="CI110" i="6"/>
  <c r="CI111" i="6"/>
  <c r="MX101" i="6"/>
  <c r="MX100" i="6"/>
  <c r="FS111" i="6"/>
  <c r="FS110" i="6"/>
  <c r="GQ140" i="6"/>
  <c r="GQ109" i="6"/>
  <c r="GQ88" i="6"/>
  <c r="GQ89" i="6" s="1"/>
  <c r="GQ99" i="6"/>
  <c r="GQ92" i="6"/>
  <c r="GQ93" i="6" s="1"/>
  <c r="NR101" i="6"/>
  <c r="NR100" i="6"/>
  <c r="NV109" i="6"/>
  <c r="NV99" i="6"/>
  <c r="NV88" i="6"/>
  <c r="NV89" i="6" s="1"/>
  <c r="NU85" i="6"/>
  <c r="II92" i="6"/>
  <c r="II93" i="6" s="1"/>
  <c r="NT111" i="6"/>
  <c r="NT110" i="6"/>
  <c r="QC64" i="6"/>
  <c r="QC111" i="6" s="1"/>
  <c r="QC53" i="6"/>
  <c r="QC51" i="6"/>
  <c r="QC48" i="6"/>
  <c r="QC47" i="6" s="1"/>
  <c r="QC39" i="6"/>
  <c r="QC36" i="6" s="1"/>
  <c r="CE38" i="6"/>
  <c r="CE47" i="6"/>
  <c r="FY47" i="6"/>
  <c r="FY38" i="6"/>
  <c r="FX38" i="6" s="1"/>
  <c r="FX37" i="6" s="1"/>
  <c r="JW47" i="6"/>
  <c r="JW38" i="6"/>
  <c r="JV38" i="6" s="1"/>
  <c r="JV37" i="6" s="1"/>
  <c r="QG47" i="6"/>
  <c r="QG38" i="6"/>
  <c r="PF38" i="6"/>
  <c r="CS77" i="6"/>
  <c r="CS78" i="6" s="1"/>
  <c r="CS33" i="6"/>
  <c r="CS29" i="6"/>
  <c r="QI51" i="6"/>
  <c r="FM37" i="6"/>
  <c r="FM35" i="6" s="1"/>
  <c r="DE36" i="6"/>
  <c r="LU37" i="6"/>
  <c r="NJ27" i="6"/>
  <c r="HO36" i="6"/>
  <c r="HO37" i="6"/>
  <c r="HC37" i="6"/>
  <c r="HC36" i="6"/>
  <c r="LK36" i="6"/>
  <c r="OT77" i="6"/>
  <c r="OT78" i="6" s="1"/>
  <c r="DP101" i="6"/>
  <c r="DP100" i="6"/>
  <c r="OD37" i="6"/>
  <c r="OD36" i="6"/>
  <c r="PO24" i="6"/>
  <c r="PO26" i="6"/>
  <c r="PO27" i="6"/>
  <c r="PO29" i="6"/>
  <c r="NC24" i="6"/>
  <c r="NC26" i="6"/>
  <c r="AO15" i="6"/>
  <c r="AO17" i="6" s="1"/>
  <c r="AO18" i="6" s="1"/>
  <c r="DH101" i="6"/>
  <c r="DH100" i="6"/>
  <c r="NU27" i="6"/>
  <c r="NU24" i="6"/>
  <c r="NU26" i="6"/>
  <c r="IE27" i="6"/>
  <c r="IE24" i="6"/>
  <c r="IE26" i="6"/>
  <c r="OB37" i="6"/>
  <c r="OB36" i="6"/>
  <c r="CX100" i="6"/>
  <c r="CX101" i="6"/>
  <c r="BZ27" i="6"/>
  <c r="BZ24" i="6"/>
  <c r="BZ26" i="6"/>
  <c r="BC17" i="6"/>
  <c r="BC18" i="6" s="1"/>
  <c r="BA15" i="6"/>
  <c r="BA17" i="6" s="1"/>
  <c r="BA18" i="6" s="1"/>
  <c r="ED101" i="6"/>
  <c r="ED100" i="6"/>
  <c r="KI15" i="6"/>
  <c r="KI17" i="6" s="1"/>
  <c r="KI18" i="6" s="1"/>
  <c r="KI27" i="6" s="1"/>
  <c r="FP100" i="6"/>
  <c r="FP101" i="6"/>
  <c r="BQ36" i="6"/>
  <c r="BQ37" i="6"/>
  <c r="QO26" i="6"/>
  <c r="QO24" i="6"/>
  <c r="QO27" i="6"/>
  <c r="IC15" i="6"/>
  <c r="IC17" i="6" s="1"/>
  <c r="IC18" i="6" s="1"/>
  <c r="HE100" i="6"/>
  <c r="HE101" i="6"/>
  <c r="HM141" i="6"/>
  <c r="HM146" i="6"/>
  <c r="CE141" i="6"/>
  <c r="CE146" i="6"/>
  <c r="DR146" i="6"/>
  <c r="DR141" i="6"/>
  <c r="PY146" i="6"/>
  <c r="PY141" i="6"/>
  <c r="HC144" i="6"/>
  <c r="HC142" i="6"/>
  <c r="BK111" i="6"/>
  <c r="BK110" i="6"/>
  <c r="GY112" i="6"/>
  <c r="GY113" i="6"/>
  <c r="KM101" i="6"/>
  <c r="KM100" i="6"/>
  <c r="JD101" i="6"/>
  <c r="JD100" i="6"/>
  <c r="AC111" i="6"/>
  <c r="AC110" i="6"/>
  <c r="HM111" i="6"/>
  <c r="HM110" i="6"/>
  <c r="BC111" i="6"/>
  <c r="BC110" i="6"/>
  <c r="CE101" i="6"/>
  <c r="CE100" i="6"/>
  <c r="PD103" i="6"/>
  <c r="PD102" i="6"/>
  <c r="LQ109" i="6"/>
  <c r="LP85" i="6"/>
  <c r="LQ92" i="6"/>
  <c r="LQ93" i="6" s="1"/>
  <c r="LQ99" i="6"/>
  <c r="LQ88" i="6"/>
  <c r="LQ89" i="6" s="1"/>
  <c r="QK100" i="6"/>
  <c r="QK101" i="6"/>
  <c r="CC111" i="6"/>
  <c r="CC110" i="6"/>
  <c r="KW101" i="6"/>
  <c r="KW100" i="6"/>
  <c r="LQ83" i="6"/>
  <c r="GU92" i="6"/>
  <c r="GU93" i="6" s="1"/>
  <c r="KA100" i="6"/>
  <c r="KA101" i="6"/>
  <c r="PY101" i="6"/>
  <c r="PY100" i="6"/>
  <c r="PU101" i="6"/>
  <c r="PU100" i="6"/>
  <c r="PU64" i="6"/>
  <c r="PU111" i="6" s="1"/>
  <c r="PU48" i="6"/>
  <c r="PU47" i="6" s="1"/>
  <c r="PU53" i="6"/>
  <c r="PU39" i="6"/>
  <c r="PU36" i="6" s="1"/>
  <c r="LC109" i="6"/>
  <c r="LC99" i="6"/>
  <c r="LB85" i="6"/>
  <c r="LC88" i="6"/>
  <c r="LC89" i="6" s="1"/>
  <c r="JM38" i="6"/>
  <c r="NB47" i="6"/>
  <c r="NB38" i="6"/>
  <c r="NA38" i="6" s="1"/>
  <c r="NA37" i="6" s="1"/>
  <c r="MN38" i="6"/>
  <c r="MM38" i="6" s="1"/>
  <c r="MM37" i="6" s="1"/>
  <c r="MN47" i="6"/>
  <c r="ER47" i="6"/>
  <c r="ER38" i="6"/>
  <c r="GD43" i="6"/>
  <c r="GD42" i="6"/>
  <c r="QO37" i="6"/>
  <c r="QO40" i="6" s="1"/>
  <c r="BY77" i="6"/>
  <c r="BY78" i="6" s="1"/>
  <c r="BY29" i="6"/>
  <c r="EJ37" i="6"/>
  <c r="EJ36" i="6"/>
  <c r="OK37" i="6"/>
  <c r="OK35" i="6" s="1"/>
  <c r="OK36" i="6"/>
  <c r="CK37" i="6"/>
  <c r="FN37" i="6"/>
  <c r="KE26" i="6"/>
  <c r="HC27" i="6"/>
  <c r="FH101" i="6"/>
  <c r="FH100" i="6"/>
  <c r="BG37" i="6"/>
  <c r="BG36" i="6"/>
  <c r="GB27" i="6"/>
  <c r="GB26" i="6"/>
  <c r="GB24" i="6"/>
  <c r="DP111" i="6"/>
  <c r="DP110" i="6"/>
  <c r="OC26" i="6"/>
  <c r="OC27" i="6"/>
  <c r="OC24" i="6"/>
  <c r="MI26" i="6"/>
  <c r="MI24" i="6"/>
  <c r="OJ37" i="6"/>
  <c r="OJ36" i="6"/>
  <c r="JN26" i="6"/>
  <c r="JN27" i="6"/>
  <c r="JN24" i="6"/>
  <c r="HK26" i="6"/>
  <c r="HK24" i="6"/>
  <c r="PY15" i="6"/>
  <c r="PY17" i="6" s="1"/>
  <c r="PY18" i="6" s="1"/>
  <c r="AI15" i="6"/>
  <c r="AI17" i="6" s="1"/>
  <c r="AI18" i="6" s="1"/>
  <c r="CV110" i="6"/>
  <c r="CV111" i="6"/>
  <c r="EF100" i="6"/>
  <c r="EF101" i="6"/>
  <c r="FW26" i="6"/>
  <c r="FW31" i="6" s="1"/>
  <c r="FW24" i="6" s="1"/>
  <c r="FW22" i="6" s="1"/>
  <c r="FW21" i="6" s="1"/>
  <c r="AG15" i="6"/>
  <c r="AG17" i="6" s="1"/>
  <c r="AG18" i="6" s="1"/>
  <c r="ED111" i="6"/>
  <c r="ED110" i="6"/>
  <c r="HE15" i="6"/>
  <c r="HE17" i="6" s="1"/>
  <c r="HE18" i="6" s="1"/>
  <c r="HE27" i="6" s="1"/>
  <c r="FP110" i="6"/>
  <c r="FP111" i="6"/>
  <c r="AY36" i="6"/>
  <c r="AY37" i="6"/>
  <c r="JK22" i="6"/>
  <c r="JK21" i="6" s="1"/>
  <c r="FL27" i="6"/>
  <c r="FL24" i="6"/>
  <c r="FL22" i="6" s="1"/>
  <c r="FL21" i="6" s="1"/>
  <c r="QC24" i="6"/>
  <c r="QC22" i="6" s="1"/>
  <c r="QC21" i="6" s="1"/>
  <c r="KS141" i="6"/>
  <c r="KS146" i="6"/>
  <c r="QO141" i="6"/>
  <c r="ET141" i="6"/>
  <c r="ET146" i="6"/>
  <c r="QK142" i="6"/>
  <c r="QK144" i="6"/>
  <c r="EL141" i="6"/>
  <c r="EX141" i="6"/>
  <c r="IO144" i="6"/>
  <c r="IO142" i="6"/>
  <c r="EB142" i="6"/>
  <c r="EB144" i="6"/>
  <c r="KM110" i="6"/>
  <c r="KM111" i="6"/>
  <c r="HO101" i="6"/>
  <c r="HO100" i="6"/>
  <c r="OT100" i="6"/>
  <c r="OT101" i="6"/>
  <c r="KE101" i="6"/>
  <c r="KE100" i="6"/>
  <c r="NP110" i="6"/>
  <c r="NP111" i="6"/>
  <c r="GO102" i="6"/>
  <c r="GO103" i="6"/>
  <c r="MX110" i="6"/>
  <c r="MX111" i="6"/>
  <c r="DR101" i="6"/>
  <c r="DR100" i="6"/>
  <c r="HC111" i="6"/>
  <c r="HC110" i="6"/>
  <c r="BS101" i="6"/>
  <c r="BS100" i="6"/>
  <c r="CA101" i="6"/>
  <c r="CA100" i="6"/>
  <c r="PB100" i="6"/>
  <c r="PB101" i="6"/>
  <c r="BM84" i="6"/>
  <c r="BM85" i="6"/>
  <c r="JK101" i="6"/>
  <c r="JK100" i="6"/>
  <c r="KW111" i="6"/>
  <c r="KW110" i="6"/>
  <c r="U102" i="6"/>
  <c r="U103" i="6"/>
  <c r="U104" i="6" s="1"/>
  <c r="LO92" i="6"/>
  <c r="LO93" i="6" s="1"/>
  <c r="KC109" i="6"/>
  <c r="KC99" i="6"/>
  <c r="KC88" i="6"/>
  <c r="KC89" i="6" s="1"/>
  <c r="KA111" i="6"/>
  <c r="KA110" i="6"/>
  <c r="GM100" i="6"/>
  <c r="GM101" i="6"/>
  <c r="PY92" i="6"/>
  <c r="PY93" i="6" s="1"/>
  <c r="PY80" i="6"/>
  <c r="PY71" i="6"/>
  <c r="W109" i="6"/>
  <c r="W93" i="6"/>
  <c r="LC83" i="6"/>
  <c r="IQ35" i="6"/>
  <c r="IQ34" i="6" s="1"/>
  <c r="IP34" i="6"/>
  <c r="CC47" i="6"/>
  <c r="CC38" i="6"/>
  <c r="CB38" i="6" s="1"/>
  <c r="JR43" i="6"/>
  <c r="JR42" i="6"/>
  <c r="JR36" i="6"/>
  <c r="BE77" i="6"/>
  <c r="BE78" i="6" s="1"/>
  <c r="BE29" i="6"/>
  <c r="DP37" i="6"/>
  <c r="DP36" i="6"/>
  <c r="FZ42" i="6"/>
  <c r="FN36" i="6"/>
  <c r="DV100" i="6"/>
  <c r="DV101" i="6"/>
  <c r="FH111" i="6"/>
  <c r="FH110" i="6"/>
  <c r="BG77" i="6"/>
  <c r="BG78" i="6" s="1"/>
  <c r="BG29" i="6"/>
  <c r="OT37" i="6"/>
  <c r="OT36" i="6"/>
  <c r="PR26" i="6"/>
  <c r="PR27" i="6"/>
  <c r="PR24" i="6"/>
  <c r="LJ29" i="6"/>
  <c r="LJ27" i="6"/>
  <c r="LJ24" i="6"/>
  <c r="LJ26" i="6"/>
  <c r="LN27" i="6"/>
  <c r="LN24" i="6"/>
  <c r="LN26" i="6"/>
  <c r="OL37" i="6"/>
  <c r="OL36" i="6"/>
  <c r="DH111" i="6"/>
  <c r="DH110" i="6"/>
  <c r="OI37" i="6"/>
  <c r="OI35" i="6" s="1"/>
  <c r="OI36" i="6"/>
  <c r="PI26" i="6"/>
  <c r="PI27" i="6"/>
  <c r="PI24" i="6"/>
  <c r="EN101" i="6"/>
  <c r="EN100" i="6"/>
  <c r="IH27" i="6"/>
  <c r="IH24" i="6"/>
  <c r="IH26" i="6"/>
  <c r="GQ17" i="6"/>
  <c r="GQ18" i="6" s="1"/>
  <c r="LI77" i="6"/>
  <c r="LI29" i="6"/>
  <c r="CX110" i="6"/>
  <c r="CX111" i="6"/>
  <c r="EF110" i="6"/>
  <c r="EF111" i="6"/>
  <c r="PC27" i="6"/>
  <c r="PC29" i="6"/>
  <c r="PC24" i="6"/>
  <c r="NX27" i="6"/>
  <c r="BS15" i="6"/>
  <c r="BS17" i="6" s="1"/>
  <c r="BS18" i="6" s="1"/>
  <c r="QG15" i="6"/>
  <c r="QG17" i="6" s="1"/>
  <c r="QG18" i="6" s="1"/>
  <c r="DW23" i="6"/>
  <c r="DX23" i="6" s="1"/>
  <c r="DW22" i="6"/>
  <c r="DW21" i="6" s="1"/>
  <c r="HI15" i="6"/>
  <c r="HI17" i="6" s="1"/>
  <c r="HI18" i="6" s="1"/>
  <c r="IU123" i="6"/>
  <c r="IU124" i="6" s="1"/>
  <c r="IU125" i="6" s="1"/>
  <c r="IU151" i="6" s="1"/>
  <c r="HW124" i="6"/>
  <c r="HW125" i="6" s="1"/>
  <c r="HW151" i="6" s="1"/>
  <c r="KK142" i="6"/>
  <c r="KK144" i="6"/>
  <c r="OF146" i="6"/>
  <c r="BE100" i="6"/>
  <c r="BE101" i="6"/>
  <c r="AQ101" i="6"/>
  <c r="AQ100" i="6"/>
  <c r="PF83" i="6"/>
  <c r="HO110" i="6"/>
  <c r="HO111" i="6"/>
  <c r="KY101" i="6"/>
  <c r="KY100" i="6"/>
  <c r="GO112" i="6"/>
  <c r="GO113" i="6"/>
  <c r="QG111" i="6"/>
  <c r="QG110" i="6"/>
  <c r="PU92" i="6"/>
  <c r="PU93" i="6" s="1"/>
  <c r="PU80" i="6"/>
  <c r="PU71" i="6"/>
  <c r="HC100" i="6"/>
  <c r="HC101" i="6"/>
  <c r="Y110" i="6"/>
  <c r="Y111" i="6"/>
  <c r="BS111" i="6"/>
  <c r="BS110" i="6"/>
  <c r="QK110" i="6"/>
  <c r="QK111" i="6"/>
  <c r="PB111" i="6"/>
  <c r="PB110" i="6"/>
  <c r="ME101" i="6"/>
  <c r="ME100" i="6"/>
  <c r="IE101" i="6"/>
  <c r="IE100" i="6"/>
  <c r="JK111" i="6"/>
  <c r="JK110" i="6"/>
  <c r="HU80" i="6"/>
  <c r="HQ83" i="6"/>
  <c r="GM110" i="6"/>
  <c r="GM111" i="6"/>
  <c r="IY111" i="6"/>
  <c r="IY110" i="6"/>
  <c r="PU146" i="6"/>
  <c r="PU141" i="6"/>
  <c r="PL103" i="6"/>
  <c r="PL102" i="6"/>
  <c r="HW38" i="6"/>
  <c r="HV38" i="6" s="1"/>
  <c r="HV37" i="6" s="1"/>
  <c r="HV35" i="6" s="1"/>
  <c r="OR47" i="6"/>
  <c r="OR38" i="6"/>
  <c r="OQ38" i="6" s="1"/>
  <c r="IG47" i="6"/>
  <c r="IG38" i="6"/>
  <c r="FT43" i="6"/>
  <c r="FT42" i="6"/>
  <c r="FT36" i="6"/>
  <c r="OV77" i="6"/>
  <c r="OV78" i="6" s="1"/>
  <c r="OV29" i="6"/>
  <c r="BE38" i="6"/>
  <c r="BD38" i="6" s="1"/>
  <c r="BD37" i="6" s="1"/>
  <c r="BO77" i="6"/>
  <c r="BO78" i="6" s="1"/>
  <c r="DV111" i="6"/>
  <c r="DV110" i="6"/>
  <c r="OS36" i="6"/>
  <c r="OS37" i="6"/>
  <c r="OS35" i="6" s="1"/>
  <c r="MY24" i="6"/>
  <c r="MY26" i="6"/>
  <c r="CH26" i="6"/>
  <c r="CH29" i="6"/>
  <c r="CH24" i="6"/>
  <c r="CH27" i="6"/>
  <c r="KT27" i="6"/>
  <c r="KT24" i="6"/>
  <c r="KT26" i="6"/>
  <c r="NX26" i="6"/>
  <c r="NX22" i="6" s="1"/>
  <c r="NX21" i="6" s="1"/>
  <c r="LQ27" i="6"/>
  <c r="JV27" i="6"/>
  <c r="JV26" i="6"/>
  <c r="JV24" i="6"/>
  <c r="GZ26" i="6"/>
  <c r="GZ27" i="6"/>
  <c r="GZ24" i="6"/>
  <c r="FB27" i="6"/>
  <c r="FB24" i="6"/>
  <c r="FB22" i="6" s="1"/>
  <c r="FB21" i="6" s="1"/>
  <c r="LI37" i="6"/>
  <c r="LI36" i="6"/>
  <c r="KU24" i="6"/>
  <c r="OJ17" i="6"/>
  <c r="OJ18" i="6" s="1"/>
  <c r="OJ29" i="6" s="1"/>
  <c r="NZ27" i="6"/>
  <c r="LE77" i="6"/>
  <c r="LE29" i="6"/>
  <c r="MJ31" i="6"/>
  <c r="MJ24" i="6"/>
  <c r="MJ22" i="6" s="1"/>
  <c r="MJ21" i="6" s="1"/>
  <c r="LC77" i="6"/>
  <c r="LC29" i="6"/>
  <c r="CZ15" i="6"/>
  <c r="CZ17" i="6" s="1"/>
  <c r="CZ18" i="6" s="1"/>
  <c r="AY15" i="6"/>
  <c r="AY17" i="6" s="1"/>
  <c r="AY18" i="6" s="1"/>
  <c r="FN100" i="6"/>
  <c r="FN101" i="6"/>
  <c r="KQ24" i="6"/>
  <c r="KQ26" i="6"/>
  <c r="HY24" i="6"/>
  <c r="HY22" i="6" s="1"/>
  <c r="HY21" i="6" s="1"/>
  <c r="LT23" i="6"/>
  <c r="LU23" i="6" s="1"/>
  <c r="LT22" i="6"/>
  <c r="LT21" i="6" s="1"/>
  <c r="PD15" i="6"/>
  <c r="PD17" i="6" s="1"/>
  <c r="PD18" i="6" s="1"/>
  <c r="G31" i="6"/>
  <c r="G24" i="6" s="1"/>
  <c r="G22" i="6" s="1"/>
  <c r="G21" i="6" s="1"/>
  <c r="G27" i="6"/>
  <c r="CX24" i="6"/>
  <c r="CX22" i="6" s="1"/>
  <c r="CX21" i="6" s="1"/>
  <c r="CX27" i="6"/>
  <c r="DZ27" i="6"/>
  <c r="DZ24" i="6"/>
  <c r="DZ22" i="6" s="1"/>
  <c r="DZ21" i="6" s="1"/>
  <c r="NJ103" i="6"/>
  <c r="NJ102" i="6"/>
  <c r="QB24" i="6"/>
  <c r="QB26" i="6"/>
  <c r="QB27" i="6"/>
  <c r="PS142" i="6"/>
  <c r="PS144" i="6"/>
  <c r="CQ146" i="6"/>
  <c r="CQ141" i="6"/>
  <c r="AQ111" i="6"/>
  <c r="AQ110" i="6"/>
  <c r="GS101" i="6"/>
  <c r="GS100" i="6"/>
  <c r="QG147" i="6"/>
  <c r="QG141" i="6"/>
  <c r="MJ101" i="6"/>
  <c r="MJ100" i="6"/>
  <c r="CI103" i="6"/>
  <c r="CI102" i="6"/>
  <c r="I101" i="6"/>
  <c r="I100" i="6"/>
  <c r="AS100" i="6"/>
  <c r="AS101" i="6"/>
  <c r="MN111" i="6"/>
  <c r="MN110" i="6"/>
  <c r="CA110" i="6"/>
  <c r="CA111" i="6"/>
  <c r="ME110" i="6"/>
  <c r="ME111" i="6"/>
  <c r="HQ140" i="6"/>
  <c r="HQ109" i="6"/>
  <c r="HQ99" i="6"/>
  <c r="HP85" i="6"/>
  <c r="HQ88" i="6"/>
  <c r="HQ89" i="6" s="1"/>
  <c r="QC101" i="6"/>
  <c r="QC100" i="6"/>
  <c r="PY64" i="6"/>
  <c r="PY111" i="6" s="1"/>
  <c r="PY53" i="6"/>
  <c r="PY48" i="6"/>
  <c r="PY47" i="6" s="1"/>
  <c r="PY39" i="6"/>
  <c r="PY36" i="6" s="1"/>
  <c r="QQ111" i="6"/>
  <c r="QQ110" i="6"/>
  <c r="PY110" i="6"/>
  <c r="LW80" i="6"/>
  <c r="LM47" i="6"/>
  <c r="LM38" i="6"/>
  <c r="LL38" i="6" s="1"/>
  <c r="LL37" i="6" s="1"/>
  <c r="FJ37" i="6"/>
  <c r="FJ36" i="6"/>
  <c r="CQ77" i="6"/>
  <c r="CQ78" i="6" s="1"/>
  <c r="KO38" i="6"/>
  <c r="KN38" i="6" s="1"/>
  <c r="KN37" i="6" s="1"/>
  <c r="BT36" i="6"/>
  <c r="BT37" i="6"/>
  <c r="BT35" i="6" s="1"/>
  <c r="OX36" i="6"/>
  <c r="BO37" i="6"/>
  <c r="BO36" i="6"/>
  <c r="DJ100" i="6"/>
  <c r="DJ101" i="6"/>
  <c r="OM29" i="6"/>
  <c r="OM27" i="6"/>
  <c r="OM24" i="6"/>
  <c r="OM26" i="6"/>
  <c r="ND27" i="6"/>
  <c r="CJ26" i="6"/>
  <c r="CJ29" i="6"/>
  <c r="CJ27" i="6"/>
  <c r="CJ24" i="6"/>
  <c r="KB26" i="6"/>
  <c r="KB24" i="6"/>
  <c r="KB27" i="6"/>
  <c r="JZ27" i="6"/>
  <c r="JZ24" i="6"/>
  <c r="JZ26" i="6"/>
  <c r="MX27" i="6"/>
  <c r="LQ37" i="6"/>
  <c r="LQ36" i="6"/>
  <c r="EN110" i="6"/>
  <c r="EN111" i="6"/>
  <c r="FO27" i="6"/>
  <c r="FO26" i="6"/>
  <c r="FO24" i="6"/>
  <c r="LI27" i="6"/>
  <c r="NZ36" i="6"/>
  <c r="LE36" i="6"/>
  <c r="LE37" i="6"/>
  <c r="NX36" i="6"/>
  <c r="NX37" i="6"/>
  <c r="LC37" i="6"/>
  <c r="LC36" i="6"/>
  <c r="NT37" i="6"/>
  <c r="NT36" i="6"/>
  <c r="NR27" i="6"/>
  <c r="FN111" i="6"/>
  <c r="FN110" i="6"/>
  <c r="JM26" i="6"/>
  <c r="JM27" i="6"/>
  <c r="JM24" i="6"/>
  <c r="KW24" i="6"/>
  <c r="KW22" i="6" s="1"/>
  <c r="KW21" i="6" s="1"/>
  <c r="OX27" i="6"/>
  <c r="OX24" i="6"/>
  <c r="OX22" i="6" s="1"/>
  <c r="OX21" i="6" s="1"/>
  <c r="CS24" i="6"/>
  <c r="CS22" i="6" s="1"/>
  <c r="CS21" i="6" s="1"/>
  <c r="O15" i="6"/>
  <c r="O17" i="6" s="1"/>
  <c r="O18" i="6" s="1"/>
  <c r="KG101" i="6"/>
  <c r="KG100" i="6"/>
  <c r="IY101" i="6"/>
  <c r="IY100" i="6"/>
  <c r="KG36" i="6"/>
  <c r="KG37" i="6"/>
  <c r="KE22" i="6"/>
  <c r="KE21" i="6" s="1"/>
  <c r="EJ146" i="6"/>
  <c r="EJ141" i="6"/>
  <c r="LM141" i="6"/>
  <c r="AK147" i="6"/>
  <c r="AK141" i="6"/>
  <c r="GU146" i="6"/>
  <c r="AW141" i="6"/>
  <c r="CA142" i="6"/>
  <c r="CA144" i="6"/>
  <c r="JG112" i="6"/>
  <c r="JG113" i="6"/>
  <c r="JG114" i="6" s="1"/>
  <c r="GS111" i="6"/>
  <c r="GS110" i="6"/>
  <c r="AA101" i="6"/>
  <c r="AA100" i="6"/>
  <c r="MT100" i="6"/>
  <c r="MT101" i="6"/>
  <c r="MJ111" i="6"/>
  <c r="MJ110" i="6"/>
  <c r="BA109" i="6"/>
  <c r="BA99" i="6"/>
  <c r="BA88" i="6"/>
  <c r="BA89" i="6" s="1"/>
  <c r="AZ85" i="6"/>
  <c r="BA83" i="6"/>
  <c r="NJ111" i="6"/>
  <c r="NJ110" i="6"/>
  <c r="I111" i="6"/>
  <c r="I110" i="6"/>
  <c r="GY100" i="6"/>
  <c r="GY101" i="6"/>
  <c r="AE101" i="6"/>
  <c r="AE100" i="6"/>
  <c r="JU101" i="6"/>
  <c r="JU100" i="6"/>
  <c r="JQ100" i="6"/>
  <c r="JQ101" i="6"/>
  <c r="IE111" i="6"/>
  <c r="IE110" i="6"/>
  <c r="QQ101" i="6"/>
  <c r="QQ100" i="6"/>
  <c r="LO83" i="6"/>
  <c r="PN38" i="6"/>
  <c r="PN47" i="6"/>
  <c r="ND38" i="6"/>
  <c r="NC38" i="6" s="1"/>
  <c r="NC37" i="6" s="1"/>
  <c r="ND47" i="6"/>
  <c r="AO47" i="6"/>
  <c r="AO38" i="6"/>
  <c r="AN38" i="6" s="1"/>
  <c r="AN37" i="6" s="1"/>
  <c r="QC93" i="6"/>
  <c r="KY38" i="6"/>
  <c r="KX38" i="6" s="1"/>
  <c r="KX37" i="6" s="1"/>
  <c r="KY47" i="6"/>
  <c r="DD47" i="6"/>
  <c r="DD38" i="6"/>
  <c r="DC38" i="6" s="1"/>
  <c r="DY37" i="6"/>
  <c r="EP36" i="6"/>
  <c r="EP37" i="6"/>
  <c r="BW77" i="6"/>
  <c r="BW78" i="6" s="1"/>
  <c r="HZ34" i="6"/>
  <c r="IA35" i="6"/>
  <c r="IA34" i="6" s="1"/>
  <c r="EM34" i="6"/>
  <c r="EN35" i="6"/>
  <c r="EN34" i="6" s="1"/>
  <c r="FX43" i="6"/>
  <c r="FW38" i="6"/>
  <c r="FV38" i="6" s="1"/>
  <c r="FV37" i="6" s="1"/>
  <c r="LZ77" i="6"/>
  <c r="LZ35" i="6" s="1"/>
  <c r="MA78" i="6"/>
  <c r="DJ110" i="6"/>
  <c r="DJ111" i="6"/>
  <c r="KS36" i="6"/>
  <c r="KS37" i="6"/>
  <c r="BC27" i="6"/>
  <c r="DT101" i="6"/>
  <c r="DT100" i="6"/>
  <c r="KD26" i="6"/>
  <c r="KD24" i="6"/>
  <c r="KD27" i="6"/>
  <c r="KA15" i="6"/>
  <c r="KA17" i="6" s="1"/>
  <c r="KA18" i="6" s="1"/>
  <c r="IP26" i="6"/>
  <c r="IP29" i="6"/>
  <c r="IQ29" i="6" s="1"/>
  <c r="IP27" i="6"/>
  <c r="IP24" i="6"/>
  <c r="JF27" i="6"/>
  <c r="JF24" i="6"/>
  <c r="JF26" i="6"/>
  <c r="KU26" i="6"/>
  <c r="HB26" i="6"/>
  <c r="HB27" i="6"/>
  <c r="HB24" i="6"/>
  <c r="MV17" i="6"/>
  <c r="MV18" i="6" s="1"/>
  <c r="MV27" i="6" s="1"/>
  <c r="LE27" i="6"/>
  <c r="IA36" i="6"/>
  <c r="IA37" i="6"/>
  <c r="NR37" i="6"/>
  <c r="NR36" i="6"/>
  <c r="EB101" i="6"/>
  <c r="EB100" i="6"/>
  <c r="DD101" i="6"/>
  <c r="DD100" i="6"/>
  <c r="DZ101" i="6"/>
  <c r="DZ100" i="6"/>
  <c r="NP15" i="6"/>
  <c r="NP17" i="6" s="1"/>
  <c r="NP18" i="6" s="1"/>
  <c r="FU15" i="6"/>
  <c r="FU17" i="6" s="1"/>
  <c r="FU18" i="6" s="1"/>
  <c r="JI47" i="6"/>
  <c r="JI38" i="6"/>
  <c r="FP35" i="6"/>
  <c r="FP34" i="6" s="1"/>
  <c r="FO34" i="6"/>
  <c r="HE142" i="6"/>
  <c r="HE144" i="6"/>
  <c r="NV141" i="6"/>
  <c r="NV146" i="6"/>
  <c r="KQ146" i="6"/>
  <c r="KQ141" i="6"/>
  <c r="DL144" i="6"/>
  <c r="DL142" i="6"/>
  <c r="CC151" i="6"/>
  <c r="CC139" i="6"/>
  <c r="CC140" i="6"/>
  <c r="CC147" i="6" s="1"/>
  <c r="CC143" i="6"/>
  <c r="CS141" i="6"/>
  <c r="PW141" i="6"/>
  <c r="PW146" i="6"/>
  <c r="BE141" i="6"/>
  <c r="BE146" i="6"/>
  <c r="CS101" i="6"/>
  <c r="CS100" i="6"/>
  <c r="HI100" i="6"/>
  <c r="HI101" i="6"/>
  <c r="AA111" i="6"/>
  <c r="AA110" i="6"/>
  <c r="MT110" i="6"/>
  <c r="MT111" i="6"/>
  <c r="PH112" i="6"/>
  <c r="PH113" i="6"/>
  <c r="HW101" i="6"/>
  <c r="HW100" i="6"/>
  <c r="MR104" i="6"/>
  <c r="MR105" i="6"/>
  <c r="S110" i="6"/>
  <c r="S111" i="6"/>
  <c r="BY109" i="6"/>
  <c r="BY140" i="6"/>
  <c r="BY88" i="6"/>
  <c r="BY89" i="6" s="1"/>
  <c r="BX85" i="6"/>
  <c r="BY99" i="6"/>
  <c r="ND102" i="6"/>
  <c r="ND103" i="6"/>
  <c r="JW101" i="6"/>
  <c r="JW100" i="6"/>
  <c r="NX101" i="6"/>
  <c r="NX100" i="6"/>
  <c r="IE147" i="6"/>
  <c r="IE141" i="6"/>
  <c r="QQ146" i="6"/>
  <c r="QQ141" i="6"/>
  <c r="AY109" i="6"/>
  <c r="AX85" i="6"/>
  <c r="AY88" i="6"/>
  <c r="AY89" i="6" s="1"/>
  <c r="AY99" i="6"/>
  <c r="OF85" i="6"/>
  <c r="HU101" i="6"/>
  <c r="HU100" i="6"/>
  <c r="NZ47" i="6"/>
  <c r="NZ38" i="6"/>
  <c r="NY38" i="6" s="1"/>
  <c r="NY37" i="6" s="1"/>
  <c r="JM103" i="6"/>
  <c r="JM104" i="6" s="1"/>
  <c r="JM102" i="6"/>
  <c r="BA92" i="6"/>
  <c r="BA93" i="6" s="1"/>
  <c r="GS47" i="6"/>
  <c r="GS38" i="6"/>
  <c r="GR38" i="6" s="1"/>
  <c r="GR37" i="6" s="1"/>
  <c r="DV37" i="6"/>
  <c r="DV36" i="6"/>
  <c r="HK38" i="6"/>
  <c r="HJ38" i="6" s="1"/>
  <c r="HJ37" i="6" s="1"/>
  <c r="BC77" i="6"/>
  <c r="BC78" i="6" s="1"/>
  <c r="BC29" i="6"/>
  <c r="PS37" i="6"/>
  <c r="PS40" i="6" s="1"/>
  <c r="FV42" i="6"/>
  <c r="KS27" i="6"/>
  <c r="BC37" i="6"/>
  <c r="BC36" i="6"/>
  <c r="NH15" i="6"/>
  <c r="NH17" i="6" s="1"/>
  <c r="NH18" i="6" s="1"/>
  <c r="DT111" i="6"/>
  <c r="DT110" i="6"/>
  <c r="FF100" i="6"/>
  <c r="FF101" i="6"/>
  <c r="GF26" i="6"/>
  <c r="GF24" i="6"/>
  <c r="GF27" i="6"/>
  <c r="OP77" i="6"/>
  <c r="OP78" i="6" s="1"/>
  <c r="HL27" i="6"/>
  <c r="HL26" i="6"/>
  <c r="HL24" i="6"/>
  <c r="IJ27" i="6"/>
  <c r="IJ24" i="6"/>
  <c r="IJ26" i="6"/>
  <c r="IJ29" i="6"/>
  <c r="IK29" i="6" s="1"/>
  <c r="KE27" i="6"/>
  <c r="FX27" i="6"/>
  <c r="FX26" i="6"/>
  <c r="FX24" i="6"/>
  <c r="MM26" i="6"/>
  <c r="MM24" i="6"/>
  <c r="MM27" i="6"/>
  <c r="OZ27" i="6"/>
  <c r="OZ24" i="6"/>
  <c r="OZ22" i="6" s="1"/>
  <c r="OZ21" i="6" s="1"/>
  <c r="JU37" i="6"/>
  <c r="JU36" i="6"/>
  <c r="ET100" i="6"/>
  <c r="ET101" i="6"/>
  <c r="MA17" i="6"/>
  <c r="MA18" i="6" s="1"/>
  <c r="LG37" i="6"/>
  <c r="LG36" i="6"/>
  <c r="IA27" i="6"/>
  <c r="LA36" i="6"/>
  <c r="LA37" i="6"/>
  <c r="EB110" i="6"/>
  <c r="EB111" i="6"/>
  <c r="DD111" i="6"/>
  <c r="DD110" i="6"/>
  <c r="DB24" i="6"/>
  <c r="DB22" i="6" s="1"/>
  <c r="DB21" i="6" s="1"/>
  <c r="DB27" i="6"/>
  <c r="BP23" i="6"/>
  <c r="BQ23" i="6" s="1"/>
  <c r="BP22" i="6"/>
  <c r="BP21" i="6" s="1"/>
  <c r="ED142" i="6"/>
  <c r="ED144" i="6"/>
  <c r="EZ144" i="6"/>
  <c r="EZ142" i="6"/>
  <c r="KA38" i="6"/>
  <c r="JZ38" i="6" s="1"/>
  <c r="JZ37" i="6" s="1"/>
  <c r="KA47" i="6"/>
  <c r="LS78" i="6"/>
  <c r="LR77" i="6"/>
  <c r="DO27" i="6"/>
  <c r="DO26" i="6"/>
  <c r="DO24" i="6"/>
  <c r="GY22" i="6"/>
  <c r="GY21" i="6" s="1"/>
  <c r="BK146" i="6"/>
  <c r="BK141" i="6"/>
  <c r="NT146" i="6"/>
  <c r="NT141" i="6"/>
  <c r="IY141" i="6"/>
  <c r="AO147" i="6"/>
  <c r="AO141" i="6"/>
  <c r="NN144" i="6"/>
  <c r="NN142" i="6"/>
  <c r="NZ146" i="6"/>
  <c r="NZ141" i="6"/>
  <c r="PN146" i="6"/>
  <c r="PN141" i="6"/>
  <c r="OV146" i="6"/>
  <c r="OV141" i="6"/>
  <c r="NR142" i="6"/>
  <c r="NR144" i="6"/>
  <c r="LQ146" i="6"/>
  <c r="QA141" i="6"/>
  <c r="QA100" i="6"/>
  <c r="QA101" i="6"/>
  <c r="CS111" i="6"/>
  <c r="CS110" i="6"/>
  <c r="PP101" i="6"/>
  <c r="PP100" i="6"/>
  <c r="OJ112" i="6"/>
  <c r="OJ113" i="6"/>
  <c r="OP101" i="6"/>
  <c r="OP100" i="6"/>
  <c r="LS101" i="6"/>
  <c r="LS100" i="6"/>
  <c r="IA100" i="6"/>
  <c r="IA101" i="6"/>
  <c r="HW111" i="6"/>
  <c r="HW110" i="6"/>
  <c r="LE109" i="6"/>
  <c r="LE99" i="6"/>
  <c r="LD85" i="6"/>
  <c r="LE88" i="6"/>
  <c r="LE89" i="6" s="1"/>
  <c r="OV101" i="6"/>
  <c r="OV100" i="6"/>
  <c r="LK101" i="6"/>
  <c r="LK100" i="6"/>
  <c r="AE110" i="6"/>
  <c r="AE111" i="6"/>
  <c r="AS110" i="6"/>
  <c r="AS111" i="6"/>
  <c r="JW111" i="6"/>
  <c r="JW110" i="6"/>
  <c r="JU110" i="6"/>
  <c r="JU111" i="6"/>
  <c r="NX110" i="6"/>
  <c r="NX111" i="6"/>
  <c r="HA101" i="6"/>
  <c r="HA100" i="6"/>
  <c r="ML38" i="6"/>
  <c r="MK38" i="6" s="1"/>
  <c r="MK37" i="6" s="1"/>
  <c r="ML47" i="6"/>
  <c r="LI113" i="6"/>
  <c r="LI112" i="6"/>
  <c r="LO47" i="6"/>
  <c r="LO38" i="6"/>
  <c r="LN38" i="6" s="1"/>
  <c r="LN37" i="6" s="1"/>
  <c r="JY47" i="6"/>
  <c r="JY38" i="6"/>
  <c r="JX38" i="6" s="1"/>
  <c r="JX37" i="6" s="1"/>
  <c r="IY38" i="6"/>
  <c r="PB77" i="6"/>
  <c r="PB78" i="6" s="1"/>
  <c r="PB29" i="6"/>
  <c r="MC38" i="6"/>
  <c r="LU78" i="6"/>
  <c r="LT77" i="6"/>
  <c r="LT35" i="6" s="1"/>
  <c r="FL100" i="6"/>
  <c r="FL101" i="6"/>
  <c r="DF100" i="6"/>
  <c r="DF101" i="6"/>
  <c r="LS15" i="6"/>
  <c r="LS17" i="6" s="1"/>
  <c r="LS18" i="6" s="1"/>
  <c r="HE37" i="6"/>
  <c r="HE36" i="6"/>
  <c r="FF110" i="6"/>
  <c r="FF111" i="6"/>
  <c r="AL27" i="6"/>
  <c r="AL26" i="6"/>
  <c r="AL24" i="6"/>
  <c r="HP27" i="6"/>
  <c r="HP24" i="6"/>
  <c r="HP26" i="6"/>
  <c r="KE37" i="6"/>
  <c r="KE36" i="6"/>
  <c r="KC27" i="6"/>
  <c r="KZ26" i="6"/>
  <c r="KZ27" i="6"/>
  <c r="KZ24" i="6"/>
  <c r="EP100" i="6"/>
  <c r="EP101" i="6"/>
  <c r="Z26" i="6"/>
  <c r="Z24" i="6"/>
  <c r="Z27" i="6"/>
  <c r="JU27" i="6"/>
  <c r="ET111" i="6"/>
  <c r="ET110" i="6"/>
  <c r="LG17" i="6"/>
  <c r="LG18" i="6" s="1"/>
  <c r="LG27" i="6" s="1"/>
  <c r="GK37" i="6"/>
  <c r="GK36" i="6"/>
  <c r="EX100" i="6"/>
  <c r="EX101" i="6"/>
  <c r="CC36" i="6"/>
  <c r="CC37" i="6"/>
  <c r="QG102" i="6"/>
  <c r="QG103" i="6"/>
  <c r="ON47" i="6"/>
  <c r="ON38" i="6"/>
  <c r="OM38" i="6" s="1"/>
  <c r="FG27" i="6"/>
  <c r="FG24" i="6"/>
  <c r="FG26" i="6"/>
  <c r="NV22" i="6"/>
  <c r="NV21" i="6" s="1"/>
  <c r="KG144" i="6"/>
  <c r="KG142" i="6"/>
  <c r="EV146" i="6"/>
  <c r="EV141" i="6"/>
  <c r="KW142" i="6"/>
  <c r="KW144" i="6"/>
  <c r="KO141" i="6"/>
  <c r="IM147" i="6"/>
  <c r="IM141" i="6"/>
  <c r="NJ146" i="6"/>
  <c r="NJ141" i="6"/>
  <c r="BA146" i="6"/>
  <c r="BA141" i="6"/>
  <c r="AY141" i="6"/>
  <c r="AY146" i="6"/>
  <c r="LK146" i="6"/>
  <c r="LK141" i="6"/>
  <c r="NL146" i="6"/>
  <c r="NL141" i="6"/>
  <c r="AS146" i="6"/>
  <c r="AS141" i="6"/>
  <c r="LQ140" i="6"/>
  <c r="LQ147" i="6" s="1"/>
  <c r="NP141" i="6"/>
  <c r="AW100" i="6"/>
  <c r="AW101" i="6"/>
  <c r="ND144" i="6"/>
  <c r="ND142" i="6"/>
  <c r="PP111" i="6"/>
  <c r="PP110" i="6"/>
  <c r="PW110" i="6"/>
  <c r="PW111" i="6"/>
  <c r="OP110" i="6"/>
  <c r="OP111" i="6"/>
  <c r="LS110" i="6"/>
  <c r="LS111" i="6"/>
  <c r="IA110" i="6"/>
  <c r="IA111" i="6"/>
  <c r="FW113" i="6"/>
  <c r="FW112" i="6"/>
  <c r="K111" i="6"/>
  <c r="K110" i="6"/>
  <c r="JO92" i="6"/>
  <c r="IU85" i="6"/>
  <c r="IU84" i="6"/>
  <c r="OV110" i="6"/>
  <c r="OV111" i="6"/>
  <c r="AK88" i="6"/>
  <c r="AK89" i="6" s="1"/>
  <c r="AK109" i="6"/>
  <c r="AK99" i="6"/>
  <c r="OL102" i="6"/>
  <c r="OL103" i="6"/>
  <c r="U111" i="6"/>
  <c r="U110" i="6"/>
  <c r="HS85" i="6"/>
  <c r="ON109" i="6"/>
  <c r="ON99" i="6"/>
  <c r="ON88" i="6"/>
  <c r="ON89" i="6" s="1"/>
  <c r="OM85" i="6"/>
  <c r="JQ110" i="6"/>
  <c r="JQ111" i="6"/>
  <c r="HA110" i="6"/>
  <c r="HA111" i="6"/>
  <c r="W102" i="6"/>
  <c r="W103" i="6"/>
  <c r="W104" i="6" s="1"/>
  <c r="OL111" i="6"/>
  <c r="OL110" i="6"/>
  <c r="KW38" i="6"/>
  <c r="KV38" i="6" s="1"/>
  <c r="KV37" i="6" s="1"/>
  <c r="KW47" i="6"/>
  <c r="EB78" i="6"/>
  <c r="DZ78" i="6"/>
  <c r="DX79" i="6"/>
  <c r="MN103" i="6"/>
  <c r="MN102" i="6"/>
  <c r="PJ101" i="6"/>
  <c r="PJ100" i="6"/>
  <c r="AY92" i="6"/>
  <c r="AY93" i="6" s="1"/>
  <c r="HY35" i="6"/>
  <c r="HY34" i="6" s="1"/>
  <c r="HX34" i="6"/>
  <c r="OH77" i="6"/>
  <c r="OH78" i="6" s="1"/>
  <c r="OH29" i="6"/>
  <c r="EV35" i="6"/>
  <c r="EV34" i="6" s="1"/>
  <c r="EU34" i="6"/>
  <c r="PO34" i="6"/>
  <c r="PP35" i="6"/>
  <c r="PP34" i="6" s="1"/>
  <c r="IQ37" i="6"/>
  <c r="MG35" i="6"/>
  <c r="MG34" i="6" s="1"/>
  <c r="MF34" i="6"/>
  <c r="AK77" i="6"/>
  <c r="AK78" i="6" s="1"/>
  <c r="AK29" i="6"/>
  <c r="PL26" i="6"/>
  <c r="PL22" i="6" s="1"/>
  <c r="PL21" i="6" s="1"/>
  <c r="MY27" i="6"/>
  <c r="DF111" i="6"/>
  <c r="DF110" i="6"/>
  <c r="HM37" i="6"/>
  <c r="HM36" i="6"/>
  <c r="EN15" i="6"/>
  <c r="EN17" i="6" s="1"/>
  <c r="EN18" i="6" s="1"/>
  <c r="HU15" i="6"/>
  <c r="HU17" i="6" s="1"/>
  <c r="HU18" i="6" s="1"/>
  <c r="KM37" i="6"/>
  <c r="KM36" i="6"/>
  <c r="OP36" i="6"/>
  <c r="OP37" i="6"/>
  <c r="ES26" i="6"/>
  <c r="ES27" i="6"/>
  <c r="ES24" i="6"/>
  <c r="EM27" i="6"/>
  <c r="EM24" i="6"/>
  <c r="EM26" i="6"/>
  <c r="KC37" i="6"/>
  <c r="KC36" i="6"/>
  <c r="JO26" i="6"/>
  <c r="JO27" i="6"/>
  <c r="JO24" i="6"/>
  <c r="EP111" i="6"/>
  <c r="EP110" i="6"/>
  <c r="KX26" i="6"/>
  <c r="KX24" i="6"/>
  <c r="KX27" i="6"/>
  <c r="ED26" i="6"/>
  <c r="KM17" i="6"/>
  <c r="KM18" i="6" s="1"/>
  <c r="GK27" i="6"/>
  <c r="EX111" i="6"/>
  <c r="EX110" i="6"/>
  <c r="OW29" i="6"/>
  <c r="OW27" i="6"/>
  <c r="OW24" i="6"/>
  <c r="CC27" i="6"/>
  <c r="HW27" i="6"/>
  <c r="KY36" i="6"/>
  <c r="KY37" i="6"/>
  <c r="ND26" i="6"/>
  <c r="ND31" i="6" s="1"/>
  <c r="PT15" i="6"/>
  <c r="PT17" i="6" s="1"/>
  <c r="PT18" i="6" s="1"/>
  <c r="PU13" i="6"/>
  <c r="DZ111" i="6"/>
  <c r="DZ110" i="6"/>
  <c r="OT15" i="6"/>
  <c r="OT17" i="6" s="1"/>
  <c r="OT18" i="6" s="1"/>
  <c r="OT29" i="6" s="1"/>
  <c r="QI22" i="6" l="1"/>
  <c r="QI21" i="6" s="1"/>
  <c r="IG22" i="6"/>
  <c r="IG21" i="6" s="1"/>
  <c r="HA22" i="6"/>
  <c r="HA21" i="6" s="1"/>
  <c r="FZ43" i="6"/>
  <c r="DS38" i="6"/>
  <c r="DT36" i="6"/>
  <c r="DT37" i="6"/>
  <c r="JA38" i="6"/>
  <c r="JA37" i="6" s="1"/>
  <c r="JB37" i="6"/>
  <c r="CK22" i="6"/>
  <c r="CK21" i="6" s="1"/>
  <c r="QA22" i="6"/>
  <c r="QA21" i="6" s="1"/>
  <c r="LV38" i="6"/>
  <c r="LV37" i="6" s="1"/>
  <c r="LV35" i="6" s="1"/>
  <c r="LW37" i="6"/>
  <c r="PG34" i="6"/>
  <c r="IQ22" i="6"/>
  <c r="IQ21" i="6" s="1"/>
  <c r="FA38" i="6"/>
  <c r="FB36" i="6"/>
  <c r="QL38" i="6"/>
  <c r="QL37" i="6" s="1"/>
  <c r="QL40" i="6" s="1"/>
  <c r="QM37" i="6"/>
  <c r="QM40" i="6" s="1"/>
  <c r="CH38" i="6"/>
  <c r="CI36" i="6"/>
  <c r="CI37" i="6"/>
  <c r="BQ29" i="6"/>
  <c r="JI22" i="6"/>
  <c r="JI21" i="6" s="1"/>
  <c r="EK38" i="6"/>
  <c r="EL36" i="6"/>
  <c r="EL37" i="6"/>
  <c r="CU38" i="6"/>
  <c r="CV36" i="6"/>
  <c r="CV37" i="6"/>
  <c r="FB37" i="6"/>
  <c r="FK37" i="6"/>
  <c r="FK35" i="6" s="1"/>
  <c r="FK36" i="6"/>
  <c r="BN22" i="6"/>
  <c r="BN21" i="6" s="1"/>
  <c r="GA100" i="6"/>
  <c r="GA101" i="6"/>
  <c r="JO22" i="6"/>
  <c r="JO21" i="6" s="1"/>
  <c r="AW22" i="6"/>
  <c r="AW21" i="6" s="1"/>
  <c r="H37" i="6"/>
  <c r="H36" i="6"/>
  <c r="JC38" i="6"/>
  <c r="JC37" i="6" s="1"/>
  <c r="JD37" i="6"/>
  <c r="PH151" i="6"/>
  <c r="PH139" i="6"/>
  <c r="DW38" i="6"/>
  <c r="DX37" i="6"/>
  <c r="DX36" i="6"/>
  <c r="DG38" i="6"/>
  <c r="DH36" i="6"/>
  <c r="DH37" i="6"/>
  <c r="F37" i="6"/>
  <c r="F36" i="6"/>
  <c r="BO29" i="6"/>
  <c r="PH140" i="6"/>
  <c r="PH147" i="6" s="1"/>
  <c r="IO22" i="6"/>
  <c r="IO21" i="6" s="1"/>
  <c r="EW38" i="6"/>
  <c r="EX37" i="6"/>
  <c r="QJ38" i="6"/>
  <c r="QJ37" i="6" s="1"/>
  <c r="QJ40" i="6" s="1"/>
  <c r="QK37" i="6"/>
  <c r="QK40" i="6" s="1"/>
  <c r="LR38" i="6"/>
  <c r="LR37" i="6" s="1"/>
  <c r="LR35" i="6" s="1"/>
  <c r="LS37" i="6"/>
  <c r="CW38" i="6"/>
  <c r="CX36" i="6"/>
  <c r="CX37" i="6"/>
  <c r="IN38" i="6"/>
  <c r="IN37" i="6" s="1"/>
  <c r="IN35" i="6" s="1"/>
  <c r="IO37" i="6"/>
  <c r="EZ36" i="6"/>
  <c r="GA109" i="6"/>
  <c r="GA93" i="6"/>
  <c r="CM35" i="6"/>
  <c r="CM34" i="6" s="1"/>
  <c r="CL34" i="6"/>
  <c r="NZ37" i="6"/>
  <c r="LK37" i="6"/>
  <c r="EZ37" i="6"/>
  <c r="BE110" i="6"/>
  <c r="BE111" i="6"/>
  <c r="QQ38" i="6"/>
  <c r="QQ36" i="6"/>
  <c r="QP39" i="6"/>
  <c r="QP36" i="6" s="1"/>
  <c r="BM83" i="6"/>
  <c r="NZ22" i="6"/>
  <c r="NZ21" i="6" s="1"/>
  <c r="OU38" i="6"/>
  <c r="OV37" i="6"/>
  <c r="OV36" i="6"/>
  <c r="CF36" i="6"/>
  <c r="CF37" i="6"/>
  <c r="CF35" i="6" s="1"/>
  <c r="EX36" i="6"/>
  <c r="DI38" i="6"/>
  <c r="DJ36" i="6"/>
  <c r="NT26" i="6"/>
  <c r="NT27" i="6"/>
  <c r="NT24" i="6"/>
  <c r="NT22" i="6" s="1"/>
  <c r="NT21" i="6" s="1"/>
  <c r="JB24" i="6"/>
  <c r="JB26" i="6"/>
  <c r="ME27" i="6"/>
  <c r="ME29" i="6"/>
  <c r="ME26" i="6"/>
  <c r="ME24" i="6"/>
  <c r="ME22" i="6" s="1"/>
  <c r="ME21" i="6" s="1"/>
  <c r="OL22" i="6"/>
  <c r="OL21" i="6" s="1"/>
  <c r="CE22" i="6"/>
  <c r="CE21" i="6" s="1"/>
  <c r="PP22" i="6"/>
  <c r="PP21" i="6" s="1"/>
  <c r="PK38" i="6"/>
  <c r="PL36" i="6"/>
  <c r="PL37" i="6"/>
  <c r="HG22" i="6"/>
  <c r="HG21" i="6" s="1"/>
  <c r="FI36" i="6"/>
  <c r="FI37" i="6"/>
  <c r="FI35" i="6" s="1"/>
  <c r="ED22" i="6"/>
  <c r="ED21" i="6" s="1"/>
  <c r="MG22" i="6"/>
  <c r="MG21" i="6" s="1"/>
  <c r="EL22" i="6"/>
  <c r="EL21" i="6" s="1"/>
  <c r="QO22" i="6"/>
  <c r="QO21" i="6" s="1"/>
  <c r="EV22" i="6"/>
  <c r="EV21" i="6" s="1"/>
  <c r="CV22" i="6"/>
  <c r="CV21" i="6" s="1"/>
  <c r="ON36" i="6"/>
  <c r="CC22" i="6"/>
  <c r="CC21" i="6" s="1"/>
  <c r="LE22" i="6"/>
  <c r="LE21" i="6" s="1"/>
  <c r="PH29" i="6"/>
  <c r="PH27" i="6"/>
  <c r="PH24" i="6"/>
  <c r="PH22" i="6" s="1"/>
  <c r="PH21" i="6" s="1"/>
  <c r="PN22" i="6"/>
  <c r="PN21" i="6" s="1"/>
  <c r="LK22" i="6"/>
  <c r="LK21" i="6" s="1"/>
  <c r="OY38" i="6"/>
  <c r="OZ36" i="6"/>
  <c r="OZ37" i="6"/>
  <c r="OJ27" i="6"/>
  <c r="HW22" i="6"/>
  <c r="HW21" i="6" s="1"/>
  <c r="HK37" i="6"/>
  <c r="JW37" i="6"/>
  <c r="DN22" i="6"/>
  <c r="DN21" i="6" s="1"/>
  <c r="PS22" i="6"/>
  <c r="PS21" i="6" s="1"/>
  <c r="FY27" i="6"/>
  <c r="FY26" i="6"/>
  <c r="FY31" i="6" s="1"/>
  <c r="EY36" i="6"/>
  <c r="EY37" i="6"/>
  <c r="EY35" i="6" s="1"/>
  <c r="ER22" i="6"/>
  <c r="ER21" i="6" s="1"/>
  <c r="IU83" i="6"/>
  <c r="ER142" i="6"/>
  <c r="OB22" i="6"/>
  <c r="OB21" i="6" s="1"/>
  <c r="EJ22" i="6"/>
  <c r="EJ21" i="6" s="1"/>
  <c r="HU37" i="6"/>
  <c r="FJ22" i="6"/>
  <c r="FJ21" i="6" s="1"/>
  <c r="KS22" i="6"/>
  <c r="KS21" i="6" s="1"/>
  <c r="DJ22" i="6"/>
  <c r="DJ21" i="6" s="1"/>
  <c r="BI24" i="6"/>
  <c r="BI26" i="6"/>
  <c r="BI27" i="6"/>
  <c r="BI29" i="6"/>
  <c r="GA26" i="6"/>
  <c r="GA31" i="6" s="1"/>
  <c r="GA27" i="6"/>
  <c r="GS26" i="6"/>
  <c r="GS31" i="6" s="1"/>
  <c r="GS27" i="6"/>
  <c r="QI113" i="6"/>
  <c r="QI112" i="6"/>
  <c r="GU36" i="6"/>
  <c r="GU37" i="6"/>
  <c r="GU24" i="6"/>
  <c r="GU22" i="6" s="1"/>
  <c r="GU21" i="6" s="1"/>
  <c r="MN36" i="6"/>
  <c r="MN37" i="6"/>
  <c r="MN24" i="6"/>
  <c r="MN22" i="6" s="1"/>
  <c r="MN21" i="6" s="1"/>
  <c r="GI37" i="6"/>
  <c r="GI36" i="6"/>
  <c r="GI24" i="6"/>
  <c r="GI22" i="6" s="1"/>
  <c r="GI21" i="6" s="1"/>
  <c r="PY112" i="6"/>
  <c r="PY113" i="6"/>
  <c r="PY24" i="6"/>
  <c r="PY26" i="6"/>
  <c r="PY27" i="6"/>
  <c r="HO24" i="6"/>
  <c r="HO26" i="6"/>
  <c r="HO27" i="6"/>
  <c r="JY24" i="6"/>
  <c r="JY26" i="6"/>
  <c r="JY27" i="6"/>
  <c r="ND36" i="6"/>
  <c r="ND37" i="6"/>
  <c r="ND24" i="6"/>
  <c r="ND22" i="6" s="1"/>
  <c r="ND21" i="6" s="1"/>
  <c r="HS24" i="6"/>
  <c r="HS27" i="6"/>
  <c r="HS26" i="6"/>
  <c r="GW36" i="6"/>
  <c r="GW37" i="6"/>
  <c r="GW24" i="6"/>
  <c r="GW22" i="6" s="1"/>
  <c r="GW21" i="6" s="1"/>
  <c r="IC24" i="6"/>
  <c r="IC26" i="6"/>
  <c r="IC27" i="6"/>
  <c r="PT27" i="6"/>
  <c r="PT24" i="6"/>
  <c r="PT26" i="6"/>
  <c r="AM36" i="6"/>
  <c r="AM37" i="6"/>
  <c r="AM24" i="6"/>
  <c r="AM22" i="6" s="1"/>
  <c r="AM21" i="6" s="1"/>
  <c r="FU26" i="6"/>
  <c r="FU31" i="6" s="1"/>
  <c r="FU27" i="6"/>
  <c r="BM24" i="6"/>
  <c r="BM27" i="6"/>
  <c r="BM26" i="6"/>
  <c r="BM29" i="6"/>
  <c r="HQ24" i="6"/>
  <c r="HQ26" i="6"/>
  <c r="HQ27" i="6"/>
  <c r="LT34" i="6"/>
  <c r="LU35" i="6"/>
  <c r="LU34" i="6" s="1"/>
  <c r="NP24" i="6"/>
  <c r="NP26" i="6"/>
  <c r="NP27" i="6"/>
  <c r="K37" i="6"/>
  <c r="K36" i="6"/>
  <c r="K24" i="6"/>
  <c r="K22" i="6" s="1"/>
  <c r="K21" i="6" s="1"/>
  <c r="LM24" i="6"/>
  <c r="LM22" i="6" s="1"/>
  <c r="LM21" i="6" s="1"/>
  <c r="LM26" i="6"/>
  <c r="LM27" i="6"/>
  <c r="LM29" i="6"/>
  <c r="DX27" i="6"/>
  <c r="DX24" i="6"/>
  <c r="DX26" i="6"/>
  <c r="AA36" i="6"/>
  <c r="AA37" i="6"/>
  <c r="AA24" i="6"/>
  <c r="AA22" i="6" s="1"/>
  <c r="AA21" i="6" s="1"/>
  <c r="GM37" i="6"/>
  <c r="GM36" i="6"/>
  <c r="GM24" i="6"/>
  <c r="GM22" i="6" s="1"/>
  <c r="GM21" i="6" s="1"/>
  <c r="Y36" i="6"/>
  <c r="Y37" i="6"/>
  <c r="Y24" i="6"/>
  <c r="Y22" i="6" s="1"/>
  <c r="Y21" i="6" s="1"/>
  <c r="NJ37" i="6"/>
  <c r="NJ36" i="6"/>
  <c r="NJ24" i="6"/>
  <c r="NJ22" i="6" s="1"/>
  <c r="NJ21" i="6" s="1"/>
  <c r="EZ27" i="6"/>
  <c r="EZ24" i="6"/>
  <c r="EZ22" i="6" s="1"/>
  <c r="EZ21" i="6" s="1"/>
  <c r="EZ26" i="6"/>
  <c r="NL37" i="6"/>
  <c r="NL36" i="6"/>
  <c r="NL24" i="6"/>
  <c r="NL22" i="6" s="1"/>
  <c r="NL21" i="6" s="1"/>
  <c r="ML37" i="6"/>
  <c r="ML36" i="6"/>
  <c r="ML24" i="6"/>
  <c r="ML22" i="6" s="1"/>
  <c r="ML21" i="6" s="1"/>
  <c r="KA24" i="6"/>
  <c r="KA26" i="6"/>
  <c r="KA27" i="6"/>
  <c r="OP24" i="6"/>
  <c r="OP26" i="6"/>
  <c r="OP29" i="6"/>
  <c r="OP27" i="6"/>
  <c r="GG37" i="6"/>
  <c r="GG36" i="6"/>
  <c r="GG24" i="6"/>
  <c r="GG22" i="6" s="1"/>
  <c r="GG21" i="6" s="1"/>
  <c r="PU113" i="6"/>
  <c r="PU112" i="6"/>
  <c r="AO31" i="6"/>
  <c r="AO24" i="6" s="1"/>
  <c r="AO22" i="6" s="1"/>
  <c r="AO21" i="6" s="1"/>
  <c r="AO26" i="6"/>
  <c r="AO29" i="6"/>
  <c r="AO27" i="6"/>
  <c r="JS27" i="6"/>
  <c r="JS24" i="6"/>
  <c r="JS26" i="6"/>
  <c r="DT27" i="6"/>
  <c r="DT24" i="6"/>
  <c r="DT26" i="6"/>
  <c r="MZ26" i="6"/>
  <c r="MZ31" i="6" s="1"/>
  <c r="MZ27" i="6"/>
  <c r="W27" i="6"/>
  <c r="W26" i="6"/>
  <c r="W31" i="6" s="1"/>
  <c r="NB26" i="6"/>
  <c r="NB31" i="6" s="1"/>
  <c r="NB27" i="6"/>
  <c r="BA24" i="6"/>
  <c r="BA26" i="6"/>
  <c r="BA29" i="6"/>
  <c r="BA27" i="6"/>
  <c r="IW26" i="6"/>
  <c r="IW24" i="6"/>
  <c r="IW27" i="6"/>
  <c r="IW29" i="6"/>
  <c r="MT36" i="6"/>
  <c r="MT37" i="6"/>
  <c r="MT24" i="6"/>
  <c r="MT22" i="6" s="1"/>
  <c r="MT21" i="6" s="1"/>
  <c r="MP36" i="6"/>
  <c r="MP37" i="6"/>
  <c r="MP24" i="6"/>
  <c r="MP22" i="6" s="1"/>
  <c r="MP21" i="6" s="1"/>
  <c r="AG26" i="6"/>
  <c r="AG31" i="6" s="1"/>
  <c r="AG27" i="6"/>
  <c r="DR27" i="6"/>
  <c r="DR24" i="6"/>
  <c r="DR26" i="6"/>
  <c r="GC26" i="6"/>
  <c r="GC31" i="6" s="1"/>
  <c r="GC27" i="6"/>
  <c r="I37" i="6"/>
  <c r="I36" i="6"/>
  <c r="I24" i="6"/>
  <c r="I22" i="6" s="1"/>
  <c r="I21" i="6" s="1"/>
  <c r="O26" i="6"/>
  <c r="O31" i="6" s="1"/>
  <c r="O27" i="6"/>
  <c r="FS36" i="6"/>
  <c r="FS37" i="6"/>
  <c r="FS24" i="6"/>
  <c r="FS22" i="6" s="1"/>
  <c r="FS21" i="6" s="1"/>
  <c r="GE37" i="6"/>
  <c r="GE36" i="6"/>
  <c r="GE24" i="6"/>
  <c r="GE22" i="6" s="1"/>
  <c r="GE21" i="6" s="1"/>
  <c r="MR37" i="6"/>
  <c r="MR36" i="6"/>
  <c r="MR24" i="6"/>
  <c r="MR22" i="6" s="1"/>
  <c r="MR21" i="6" s="1"/>
  <c r="HI26" i="6"/>
  <c r="HI24" i="6"/>
  <c r="HI22" i="6" s="1"/>
  <c r="HI21" i="6" s="1"/>
  <c r="HI27" i="6"/>
  <c r="FF27" i="6"/>
  <c r="FF24" i="6"/>
  <c r="FF26" i="6"/>
  <c r="KK26" i="6"/>
  <c r="KK24" i="6"/>
  <c r="KK27" i="6"/>
  <c r="U36" i="6"/>
  <c r="U37" i="6"/>
  <c r="U24" i="6"/>
  <c r="U22" i="6" s="1"/>
  <c r="U21" i="6" s="1"/>
  <c r="LS27" i="6"/>
  <c r="LS24" i="6"/>
  <c r="LS29" i="6"/>
  <c r="LS26" i="6"/>
  <c r="AY24" i="6"/>
  <c r="AY26" i="6"/>
  <c r="AY29" i="6"/>
  <c r="AY27" i="6"/>
  <c r="BK24" i="6"/>
  <c r="BK26" i="6"/>
  <c r="BK29" i="6"/>
  <c r="BK27" i="6"/>
  <c r="AI26" i="6"/>
  <c r="AI31" i="6" s="1"/>
  <c r="AI27" i="6"/>
  <c r="AQ26" i="6"/>
  <c r="AQ31" i="6" s="1"/>
  <c r="AQ29" i="6"/>
  <c r="AQ27" i="6"/>
  <c r="S36" i="6"/>
  <c r="S37" i="6"/>
  <c r="S24" i="6"/>
  <c r="S22" i="6" s="1"/>
  <c r="S21" i="6" s="1"/>
  <c r="EN24" i="6"/>
  <c r="EN26" i="6"/>
  <c r="EN27" i="6"/>
  <c r="QG26" i="6"/>
  <c r="QG27" i="6"/>
  <c r="QG24" i="6"/>
  <c r="BU24" i="6"/>
  <c r="BU26" i="6"/>
  <c r="BU29" i="6"/>
  <c r="BU27" i="6"/>
  <c r="FH27" i="6"/>
  <c r="FH24" i="6"/>
  <c r="FH26" i="6"/>
  <c r="AK110" i="6"/>
  <c r="AK111" i="6"/>
  <c r="ED145" i="6"/>
  <c r="ED149" i="6"/>
  <c r="MY22" i="6"/>
  <c r="MY21" i="6" s="1"/>
  <c r="MY23" i="6"/>
  <c r="MZ23" i="6" s="1"/>
  <c r="FM23" i="6"/>
  <c r="FN23" i="6" s="1"/>
  <c r="FM22" i="6"/>
  <c r="FM21" i="6" s="1"/>
  <c r="JL23" i="6"/>
  <c r="JM23" i="6" s="1"/>
  <c r="JL22" i="6"/>
  <c r="JL21" i="6" s="1"/>
  <c r="MO23" i="6"/>
  <c r="MP23" i="6" s="1"/>
  <c r="MO22" i="6"/>
  <c r="MO21" i="6" s="1"/>
  <c r="GP22" i="6"/>
  <c r="GP21" i="6" s="1"/>
  <c r="GP23" i="6"/>
  <c r="GQ23" i="6" s="1"/>
  <c r="PW104" i="6"/>
  <c r="PW105" i="6"/>
  <c r="MP106" i="6"/>
  <c r="MP128" i="6"/>
  <c r="N22" i="6"/>
  <c r="N21" i="6" s="1"/>
  <c r="N23" i="6"/>
  <c r="O23" i="6" s="1"/>
  <c r="LU79" i="6"/>
  <c r="LU80" i="6"/>
  <c r="JW112" i="6"/>
  <c r="JW113" i="6"/>
  <c r="OP102" i="6"/>
  <c r="OP103" i="6"/>
  <c r="GF23" i="6"/>
  <c r="GG23" i="6" s="1"/>
  <c r="GF22" i="6"/>
  <c r="GF21" i="6" s="1"/>
  <c r="JW103" i="6"/>
  <c r="JW102" i="6"/>
  <c r="HI103" i="6"/>
  <c r="HI102" i="6"/>
  <c r="AE103" i="6"/>
  <c r="AE102" i="6"/>
  <c r="ER149" i="6"/>
  <c r="ER145" i="6"/>
  <c r="OT35" i="6"/>
  <c r="OT34" i="6" s="1"/>
  <c r="OS34" i="6"/>
  <c r="PL105" i="6"/>
  <c r="PL104" i="6"/>
  <c r="BS112" i="6"/>
  <c r="BS113" i="6"/>
  <c r="PD24" i="6"/>
  <c r="PD22" i="6" s="1"/>
  <c r="PD21" i="6" s="1"/>
  <c r="PD27" i="6"/>
  <c r="W111" i="6"/>
  <c r="W110" i="6"/>
  <c r="PB103" i="6"/>
  <c r="PB102" i="6"/>
  <c r="AC113" i="6"/>
  <c r="AC112" i="6"/>
  <c r="CX102" i="6"/>
  <c r="CX103" i="6"/>
  <c r="FD36" i="6"/>
  <c r="NT112" i="6"/>
  <c r="NT113" i="6"/>
  <c r="MZ112" i="6"/>
  <c r="MZ113" i="6"/>
  <c r="OO36" i="6"/>
  <c r="OO37" i="6"/>
  <c r="OO35" i="6" s="1"/>
  <c r="CW23" i="6"/>
  <c r="CX23" i="6" s="1"/>
  <c r="CW22" i="6"/>
  <c r="CW21" i="6" s="1"/>
  <c r="ER103" i="6"/>
  <c r="ER102" i="6"/>
  <c r="IC144" i="6"/>
  <c r="IC142" i="6"/>
  <c r="CQ114" i="6"/>
  <c r="CQ115" i="6"/>
  <c r="CQ116" i="6" s="1"/>
  <c r="CO103" i="6"/>
  <c r="CO102" i="6"/>
  <c r="AU103" i="6"/>
  <c r="AU102" i="6"/>
  <c r="GC103" i="6"/>
  <c r="GC104" i="6" s="1"/>
  <c r="GC102" i="6"/>
  <c r="JS114" i="6"/>
  <c r="JS115" i="6"/>
  <c r="JS116" i="6" s="1"/>
  <c r="NS22" i="6"/>
  <c r="NS21" i="6" s="1"/>
  <c r="NS23" i="6"/>
  <c r="NT23" i="6" s="1"/>
  <c r="ON37" i="6"/>
  <c r="LI103" i="6"/>
  <c r="LI102" i="6"/>
  <c r="OR144" i="6"/>
  <c r="OR142" i="6"/>
  <c r="DO37" i="6"/>
  <c r="DO36" i="6"/>
  <c r="JR22" i="6"/>
  <c r="JR21" i="6" s="1"/>
  <c r="JR23" i="6"/>
  <c r="JS23" i="6" s="1"/>
  <c r="ON79" i="6"/>
  <c r="ON80" i="6"/>
  <c r="LO111" i="6"/>
  <c r="LO110" i="6"/>
  <c r="IW144" i="6"/>
  <c r="IW142" i="6"/>
  <c r="LU27" i="6"/>
  <c r="LU24" i="6"/>
  <c r="LU29" i="6"/>
  <c r="LU26" i="6"/>
  <c r="L23" i="6"/>
  <c r="M23" i="6" s="1"/>
  <c r="L22" i="6"/>
  <c r="L21" i="6" s="1"/>
  <c r="EC23" i="6"/>
  <c r="ED23" i="6" s="1"/>
  <c r="EC22" i="6"/>
  <c r="EC21" i="6" s="1"/>
  <c r="DA23" i="6"/>
  <c r="DB23" i="6" s="1"/>
  <c r="DA22" i="6"/>
  <c r="DA21" i="6" s="1"/>
  <c r="KJ23" i="6"/>
  <c r="KK23" i="6" s="1"/>
  <c r="KJ22" i="6"/>
  <c r="KJ21" i="6" s="1"/>
  <c r="DC36" i="6"/>
  <c r="DC37" i="6"/>
  <c r="IQ113" i="6"/>
  <c r="IQ112" i="6"/>
  <c r="JY102" i="6"/>
  <c r="JY103" i="6"/>
  <c r="JP23" i="6"/>
  <c r="JQ23" i="6" s="1"/>
  <c r="JP22" i="6"/>
  <c r="JP21" i="6" s="1"/>
  <c r="IM144" i="6"/>
  <c r="IM142" i="6"/>
  <c r="ND149" i="6"/>
  <c r="ND145" i="6"/>
  <c r="EX102" i="6"/>
  <c r="EX103" i="6"/>
  <c r="AS112" i="6"/>
  <c r="AS113" i="6"/>
  <c r="OJ115" i="6"/>
  <c r="OJ116" i="6" s="1"/>
  <c r="OJ114" i="6"/>
  <c r="NN149" i="6"/>
  <c r="NN145" i="6"/>
  <c r="ND104" i="6"/>
  <c r="ND105" i="6"/>
  <c r="DJ113" i="6"/>
  <c r="DJ112" i="6"/>
  <c r="GY102" i="6"/>
  <c r="GY103" i="6"/>
  <c r="CQ144" i="6"/>
  <c r="CQ142" i="6"/>
  <c r="PU142" i="6"/>
  <c r="PU144" i="6"/>
  <c r="Y112" i="6"/>
  <c r="Y113" i="6"/>
  <c r="Y114" i="6" s="1"/>
  <c r="CX112" i="6"/>
  <c r="CX113" i="6"/>
  <c r="LN23" i="6"/>
  <c r="LO23" i="6" s="1"/>
  <c r="LN22" i="6"/>
  <c r="LN21" i="6" s="1"/>
  <c r="HO102" i="6"/>
  <c r="HO103" i="6"/>
  <c r="KW102" i="6"/>
  <c r="KW103" i="6"/>
  <c r="PO23" i="6"/>
  <c r="PP23" i="6" s="1"/>
  <c r="PO22" i="6"/>
  <c r="PO21" i="6" s="1"/>
  <c r="FD37" i="6"/>
  <c r="BG144" i="6"/>
  <c r="BG142" i="6"/>
  <c r="IY22" i="6"/>
  <c r="IY21" i="6" s="1"/>
  <c r="NH103" i="6"/>
  <c r="NH102" i="6"/>
  <c r="AQ144" i="6"/>
  <c r="AQ142" i="6"/>
  <c r="DV24" i="6"/>
  <c r="DV22" i="6" s="1"/>
  <c r="DV21" i="6" s="1"/>
  <c r="DV27" i="6"/>
  <c r="DV26" i="6"/>
  <c r="OH112" i="6"/>
  <c r="OH113" i="6"/>
  <c r="CE79" i="6"/>
  <c r="CE80" i="6"/>
  <c r="BQ113" i="6"/>
  <c r="BQ112" i="6"/>
  <c r="EA23" i="6"/>
  <c r="EB23" i="6" s="1"/>
  <c r="EA22" i="6"/>
  <c r="EA21" i="6" s="1"/>
  <c r="AU113" i="6"/>
  <c r="AU112" i="6"/>
  <c r="OL142" i="6"/>
  <c r="OL144" i="6"/>
  <c r="PJ112" i="6"/>
  <c r="PJ113" i="6"/>
  <c r="IK103" i="6"/>
  <c r="IK102" i="6"/>
  <c r="LM114" i="6"/>
  <c r="PD141" i="6"/>
  <c r="PD146" i="6"/>
  <c r="CK115" i="6"/>
  <c r="CK116" i="6" s="1"/>
  <c r="CK114" i="6"/>
  <c r="IM104" i="6"/>
  <c r="IM105" i="6"/>
  <c r="OB144" i="6"/>
  <c r="OB142" i="6"/>
  <c r="NH144" i="6"/>
  <c r="NH142" i="6"/>
  <c r="FY37" i="6"/>
  <c r="CA22" i="6"/>
  <c r="CA21" i="6" s="1"/>
  <c r="FE23" i="6"/>
  <c r="FF23" i="6" s="1"/>
  <c r="FE22" i="6"/>
  <c r="FE21" i="6" s="1"/>
  <c r="CP22" i="6"/>
  <c r="CP21" i="6" s="1"/>
  <c r="CP23" i="6"/>
  <c r="CQ23" i="6" s="1"/>
  <c r="JW22" i="6"/>
  <c r="JW21" i="6" s="1"/>
  <c r="IB22" i="6"/>
  <c r="IB21" i="6" s="1"/>
  <c r="IB23" i="6"/>
  <c r="IC23" i="6" s="1"/>
  <c r="BL23" i="6"/>
  <c r="BM23" i="6" s="1"/>
  <c r="BL22" i="6"/>
  <c r="BL21" i="6" s="1"/>
  <c r="IR23" i="6"/>
  <c r="IS23" i="6" s="1"/>
  <c r="IR22" i="6"/>
  <c r="IR21" i="6" s="1"/>
  <c r="NO22" i="6"/>
  <c r="NO21" i="6" s="1"/>
  <c r="NO23" i="6"/>
  <c r="NP23" i="6" s="1"/>
  <c r="EP22" i="6"/>
  <c r="EP21" i="6" s="1"/>
  <c r="ID22" i="6"/>
  <c r="ID21" i="6" s="1"/>
  <c r="ID23" i="6"/>
  <c r="IE23" i="6" s="1"/>
  <c r="PP113" i="6"/>
  <c r="PP112" i="6"/>
  <c r="NL115" i="6"/>
  <c r="NL116" i="6" s="1"/>
  <c r="NL114" i="6"/>
  <c r="FE36" i="6"/>
  <c r="FE37" i="6"/>
  <c r="FE35" i="6" s="1"/>
  <c r="EP142" i="6"/>
  <c r="EP144" i="6"/>
  <c r="DE23" i="6"/>
  <c r="DF23" i="6" s="1"/>
  <c r="DE22" i="6"/>
  <c r="DE21" i="6" s="1"/>
  <c r="ES23" i="6"/>
  <c r="ET23" i="6" s="1"/>
  <c r="ES22" i="6"/>
  <c r="ES21" i="6" s="1"/>
  <c r="OV112" i="6"/>
  <c r="OV113" i="6"/>
  <c r="MB38" i="6"/>
  <c r="MB37" i="6" s="1"/>
  <c r="MB35" i="6" s="1"/>
  <c r="MC37" i="6"/>
  <c r="EX112" i="6"/>
  <c r="EX113" i="6"/>
  <c r="OL113" i="6"/>
  <c r="OL112" i="6"/>
  <c r="KO144" i="6"/>
  <c r="KO142" i="6"/>
  <c r="HP23" i="6"/>
  <c r="HQ23" i="6" s="1"/>
  <c r="HP22" i="6"/>
  <c r="HP21" i="6" s="1"/>
  <c r="AO142" i="6"/>
  <c r="AO144" i="6"/>
  <c r="FF102" i="6"/>
  <c r="FF103" i="6"/>
  <c r="CA149" i="6"/>
  <c r="CA145" i="6"/>
  <c r="FO23" i="6"/>
  <c r="FP23" i="6" s="1"/>
  <c r="FO22" i="6"/>
  <c r="FO21" i="6" s="1"/>
  <c r="OM22" i="6"/>
  <c r="OM21" i="6" s="1"/>
  <c r="OM23" i="6"/>
  <c r="ON23" i="6" s="1"/>
  <c r="KQ22" i="6"/>
  <c r="KQ21" i="6" s="1"/>
  <c r="GZ23" i="6"/>
  <c r="HA23" i="6" s="1"/>
  <c r="GZ22" i="6"/>
  <c r="GZ21" i="6" s="1"/>
  <c r="KM113" i="6"/>
  <c r="KM112" i="6"/>
  <c r="HK22" i="6"/>
  <c r="HK21" i="6" s="1"/>
  <c r="JD102" i="6"/>
  <c r="JD103" i="6"/>
  <c r="FW103" i="6"/>
  <c r="FW102" i="6"/>
  <c r="PG22" i="6"/>
  <c r="PG21" i="6" s="1"/>
  <c r="PG23" i="6"/>
  <c r="PH23" i="6" s="1"/>
  <c r="FC22" i="6"/>
  <c r="FC21" i="6" s="1"/>
  <c r="FC23" i="6"/>
  <c r="FD23" i="6" s="1"/>
  <c r="BS144" i="6"/>
  <c r="BS142" i="6"/>
  <c r="EL112" i="6"/>
  <c r="EL113" i="6"/>
  <c r="CF23" i="6"/>
  <c r="CG23" i="6" s="1"/>
  <c r="CF22" i="6"/>
  <c r="CF21" i="6" s="1"/>
  <c r="BO144" i="6"/>
  <c r="BO142" i="6"/>
  <c r="PS113" i="6"/>
  <c r="PS112" i="6"/>
  <c r="MC22" i="6"/>
  <c r="MC21" i="6" s="1"/>
  <c r="OX112" i="6"/>
  <c r="OX113" i="6"/>
  <c r="EN144" i="6"/>
  <c r="EN142" i="6"/>
  <c r="KW37" i="6"/>
  <c r="DX112" i="6"/>
  <c r="DX113" i="6"/>
  <c r="QN23" i="6"/>
  <c r="QO23" i="6" s="1"/>
  <c r="QN22" i="6"/>
  <c r="QN21" i="6" s="1"/>
  <c r="CM102" i="6"/>
  <c r="CM103" i="6"/>
  <c r="OR103" i="6"/>
  <c r="OR102" i="6"/>
  <c r="LO37" i="6"/>
  <c r="DX103" i="6"/>
  <c r="DX102" i="6"/>
  <c r="LW112" i="6"/>
  <c r="LW113" i="6"/>
  <c r="FB146" i="6"/>
  <c r="FB141" i="6"/>
  <c r="QI144" i="6"/>
  <c r="QI142" i="6"/>
  <c r="HG101" i="6"/>
  <c r="HG100" i="6"/>
  <c r="FP22" i="6"/>
  <c r="FP21" i="6" s="1"/>
  <c r="LH22" i="6"/>
  <c r="LH21" i="6" s="1"/>
  <c r="LH23" i="6"/>
  <c r="LI23" i="6" s="1"/>
  <c r="IU22" i="6"/>
  <c r="IU21" i="6" s="1"/>
  <c r="IM22" i="6"/>
  <c r="IM21" i="6" s="1"/>
  <c r="LP23" i="6"/>
  <c r="LQ23" i="6" s="1"/>
  <c r="LP22" i="6"/>
  <c r="LP21" i="6" s="1"/>
  <c r="NY23" i="6"/>
  <c r="NZ23" i="6" s="1"/>
  <c r="NY22" i="6"/>
  <c r="NY21" i="6" s="1"/>
  <c r="GN22" i="6"/>
  <c r="GN21" i="6" s="1"/>
  <c r="GN23" i="6"/>
  <c r="GO23" i="6" s="1"/>
  <c r="KH23" i="6"/>
  <c r="KI23" i="6" s="1"/>
  <c r="KH22" i="6"/>
  <c r="KH21" i="6" s="1"/>
  <c r="GS112" i="6"/>
  <c r="GS113" i="6"/>
  <c r="BE102" i="6"/>
  <c r="BE103" i="6"/>
  <c r="DS23" i="6"/>
  <c r="DT23" i="6" s="1"/>
  <c r="DS22" i="6"/>
  <c r="DS21" i="6" s="1"/>
  <c r="GO26" i="6"/>
  <c r="GO31" i="6" s="1"/>
  <c r="GO24" i="6" s="1"/>
  <c r="GO22" i="6" s="1"/>
  <c r="GO21" i="6" s="1"/>
  <c r="BI149" i="6"/>
  <c r="BI145" i="6"/>
  <c r="LO101" i="6"/>
  <c r="LO100" i="6"/>
  <c r="QC142" i="6"/>
  <c r="QC144" i="6"/>
  <c r="QJ23" i="6"/>
  <c r="QK23" i="6" s="1"/>
  <c r="QJ22" i="6"/>
  <c r="QJ21" i="6" s="1"/>
  <c r="PB79" i="6"/>
  <c r="PB80" i="6"/>
  <c r="BY100" i="6"/>
  <c r="BY101" i="6"/>
  <c r="CS103" i="6"/>
  <c r="CS102" i="6"/>
  <c r="JH38" i="6"/>
  <c r="JH37" i="6" s="1"/>
  <c r="JI37" i="6"/>
  <c r="MA79" i="6"/>
  <c r="MA80" i="6"/>
  <c r="PS145" i="6"/>
  <c r="PS149" i="6"/>
  <c r="FN103" i="6"/>
  <c r="FN102" i="6"/>
  <c r="DV113" i="6"/>
  <c r="DV112" i="6"/>
  <c r="HC103" i="6"/>
  <c r="HC102" i="6"/>
  <c r="KK149" i="6"/>
  <c r="KK145" i="6"/>
  <c r="CA103" i="6"/>
  <c r="CA102" i="6"/>
  <c r="FP112" i="6"/>
  <c r="FP113" i="6"/>
  <c r="FH103" i="6"/>
  <c r="FH102" i="6"/>
  <c r="JL38" i="6"/>
  <c r="JL37" i="6" s="1"/>
  <c r="JM37" i="6"/>
  <c r="CC113" i="6"/>
  <c r="CC112" i="6"/>
  <c r="HY144" i="6"/>
  <c r="HY142" i="6"/>
  <c r="MZ103" i="6"/>
  <c r="MZ102" i="6"/>
  <c r="GH23" i="6"/>
  <c r="GI23" i="6" s="1"/>
  <c r="GH22" i="6"/>
  <c r="GH21" i="6" s="1"/>
  <c r="PF109" i="6"/>
  <c r="PF99" i="6"/>
  <c r="PE85" i="6"/>
  <c r="PF88" i="6"/>
  <c r="PF89" i="6" s="1"/>
  <c r="PF92" i="6"/>
  <c r="PF93" i="6" s="1"/>
  <c r="EZ102" i="6"/>
  <c r="EZ103" i="6"/>
  <c r="CG79" i="6"/>
  <c r="CG80" i="6"/>
  <c r="JY113" i="6"/>
  <c r="JY112" i="6"/>
  <c r="IG103" i="6"/>
  <c r="IG102" i="6"/>
  <c r="PK23" i="6"/>
  <c r="PL23" i="6" s="1"/>
  <c r="PK22" i="6"/>
  <c r="PK21" i="6" s="1"/>
  <c r="GE112" i="6"/>
  <c r="GE113" i="6"/>
  <c r="GE114" i="6" s="1"/>
  <c r="OZ112" i="6"/>
  <c r="OZ113" i="6"/>
  <c r="EG38" i="6"/>
  <c r="EH36" i="6"/>
  <c r="EH37" i="6"/>
  <c r="BK103" i="6"/>
  <c r="BK102" i="6"/>
  <c r="OP144" i="6"/>
  <c r="OP142" i="6"/>
  <c r="GT23" i="6"/>
  <c r="GU23" i="6" s="1"/>
  <c r="GT22" i="6"/>
  <c r="GT21" i="6" s="1"/>
  <c r="AW79" i="6"/>
  <c r="AW80" i="6"/>
  <c r="GI105" i="6"/>
  <c r="GI104" i="6"/>
  <c r="MP113" i="6"/>
  <c r="MP114" i="6" s="1"/>
  <c r="MP112" i="6"/>
  <c r="FL113" i="6"/>
  <c r="FL112" i="6"/>
  <c r="BC149" i="6"/>
  <c r="BC145" i="6"/>
  <c r="AI112" i="6"/>
  <c r="AI113" i="6"/>
  <c r="HI115" i="6"/>
  <c r="HI116" i="6" s="1"/>
  <c r="HI114" i="6"/>
  <c r="GO27" i="6"/>
  <c r="HG111" i="6"/>
  <c r="HG110" i="6"/>
  <c r="AJ22" i="6"/>
  <c r="AJ21" i="6" s="1"/>
  <c r="AJ23" i="6"/>
  <c r="AK23" i="6" s="1"/>
  <c r="PA23" i="6"/>
  <c r="PB23" i="6" s="1"/>
  <c r="PA22" i="6"/>
  <c r="PA21" i="6" s="1"/>
  <c r="HD23" i="6"/>
  <c r="HE23" i="6" s="1"/>
  <c r="HD22" i="6"/>
  <c r="HD21" i="6" s="1"/>
  <c r="LF22" i="6"/>
  <c r="LF21" i="6" s="1"/>
  <c r="LF23" i="6"/>
  <c r="LG23" i="6" s="1"/>
  <c r="AK79" i="6"/>
  <c r="AK80" i="6"/>
  <c r="HE145" i="6"/>
  <c r="HE149" i="6"/>
  <c r="DQ36" i="6"/>
  <c r="DQ37" i="6"/>
  <c r="BG112" i="6"/>
  <c r="BG113" i="6"/>
  <c r="IT23" i="6"/>
  <c r="IU23" i="6" s="1"/>
  <c r="IT22" i="6"/>
  <c r="IT21" i="6" s="1"/>
  <c r="KW149" i="6"/>
  <c r="KW145" i="6"/>
  <c r="AE112" i="6"/>
  <c r="AE113" i="6"/>
  <c r="IU109" i="6"/>
  <c r="IU99" i="6"/>
  <c r="IT85" i="6"/>
  <c r="IU88" i="6"/>
  <c r="IU89" i="6" s="1"/>
  <c r="IU140" i="6"/>
  <c r="IU92" i="6"/>
  <c r="IU93" i="6" s="1"/>
  <c r="AW103" i="6"/>
  <c r="AW102" i="6"/>
  <c r="IX38" i="6"/>
  <c r="IX37" i="6" s="1"/>
  <c r="IX35" i="6" s="1"/>
  <c r="IY37" i="6"/>
  <c r="PP103" i="6"/>
  <c r="PP102" i="6"/>
  <c r="IY144" i="6"/>
  <c r="IY142" i="6"/>
  <c r="MM23" i="6"/>
  <c r="MN23" i="6" s="1"/>
  <c r="MM22" i="6"/>
  <c r="MM21" i="6" s="1"/>
  <c r="MA35" i="6"/>
  <c r="MA34" i="6" s="1"/>
  <c r="LZ34" i="6"/>
  <c r="I113" i="6"/>
  <c r="I114" i="6" s="1"/>
  <c r="I112" i="6"/>
  <c r="AW144" i="6"/>
  <c r="AW142" i="6"/>
  <c r="JM22" i="6"/>
  <c r="JM21" i="6" s="1"/>
  <c r="QQ113" i="6"/>
  <c r="QQ112" i="6"/>
  <c r="MN113" i="6"/>
  <c r="MN112" i="6"/>
  <c r="IY113" i="6"/>
  <c r="IY112" i="6"/>
  <c r="LH77" i="6"/>
  <c r="LH35" i="6" s="1"/>
  <c r="LI78" i="6"/>
  <c r="LJ22" i="6"/>
  <c r="LJ21" i="6" s="1"/>
  <c r="LJ23" i="6"/>
  <c r="LK23" i="6" s="1"/>
  <c r="BE79" i="6"/>
  <c r="BE80" i="6"/>
  <c r="GM102" i="6"/>
  <c r="GM103" i="6"/>
  <c r="EB145" i="6"/>
  <c r="EB149" i="6"/>
  <c r="JN23" i="6"/>
  <c r="JO23" i="6" s="1"/>
  <c r="JN22" i="6"/>
  <c r="JN21" i="6" s="1"/>
  <c r="QK102" i="6"/>
  <c r="QK103" i="6"/>
  <c r="KM103" i="6"/>
  <c r="KM102" i="6"/>
  <c r="CS79" i="6"/>
  <c r="CS80" i="6"/>
  <c r="NV101" i="6"/>
  <c r="NV100" i="6"/>
  <c r="JS102" i="6"/>
  <c r="JS103" i="6"/>
  <c r="BQ79" i="6"/>
  <c r="BQ80" i="6"/>
  <c r="KQ112" i="6"/>
  <c r="KQ113" i="6"/>
  <c r="BU145" i="6"/>
  <c r="BU149" i="6"/>
  <c r="GW103" i="6"/>
  <c r="GW102" i="6"/>
  <c r="BW103" i="6"/>
  <c r="BW102" i="6"/>
  <c r="LK112" i="6"/>
  <c r="LK113" i="6"/>
  <c r="OD113" i="6"/>
  <c r="OD112" i="6"/>
  <c r="JD24" i="6"/>
  <c r="JD27" i="6"/>
  <c r="JD26" i="6"/>
  <c r="LW146" i="6"/>
  <c r="LW141" i="6"/>
  <c r="LA113" i="6"/>
  <c r="LA112" i="6"/>
  <c r="AB23" i="6"/>
  <c r="AC23" i="6" s="1"/>
  <c r="AB22" i="6"/>
  <c r="AB21" i="6" s="1"/>
  <c r="BQ26" i="6"/>
  <c r="BQ24" i="6"/>
  <c r="AI102" i="6"/>
  <c r="AI103" i="6"/>
  <c r="LW102" i="6"/>
  <c r="LW103" i="6"/>
  <c r="DJ144" i="6"/>
  <c r="DJ142" i="6"/>
  <c r="OI22" i="6"/>
  <c r="OI21" i="6" s="1"/>
  <c r="OI23" i="6"/>
  <c r="OJ23" i="6" s="1"/>
  <c r="HN23" i="6"/>
  <c r="HO23" i="6" s="1"/>
  <c r="HN22" i="6"/>
  <c r="HN21" i="6" s="1"/>
  <c r="OK22" i="6"/>
  <c r="OK21" i="6" s="1"/>
  <c r="OK23" i="6"/>
  <c r="OL23" i="6" s="1"/>
  <c r="AD23" i="6"/>
  <c r="AE23" i="6" s="1"/>
  <c r="AD22" i="6"/>
  <c r="AD21" i="6" s="1"/>
  <c r="HF23" i="6"/>
  <c r="HG23" i="6" s="1"/>
  <c r="HF22" i="6"/>
  <c r="HF21" i="6" s="1"/>
  <c r="MU22" i="6"/>
  <c r="MU21" i="6" s="1"/>
  <c r="MU23" i="6"/>
  <c r="MV23" i="6" s="1"/>
  <c r="AA112" i="6"/>
  <c r="AA113" i="6"/>
  <c r="AA114" i="6" s="1"/>
  <c r="LG114" i="6"/>
  <c r="KM24" i="6"/>
  <c r="KM26" i="6"/>
  <c r="HA112" i="6"/>
  <c r="HA113" i="6"/>
  <c r="JO109" i="6"/>
  <c r="JO93" i="6"/>
  <c r="EV142" i="6"/>
  <c r="EV144" i="6"/>
  <c r="KM27" i="6"/>
  <c r="NT144" i="6"/>
  <c r="NT142" i="6"/>
  <c r="DT113" i="6"/>
  <c r="DT112" i="6"/>
  <c r="BE142" i="6"/>
  <c r="BE144" i="6"/>
  <c r="JF23" i="6"/>
  <c r="JG23" i="6" s="1"/>
  <c r="JF22" i="6"/>
  <c r="JF21" i="6" s="1"/>
  <c r="EN112" i="6"/>
  <c r="EN113" i="6"/>
  <c r="DJ102" i="6"/>
  <c r="DJ103" i="6"/>
  <c r="PX39" i="6"/>
  <c r="PX36" i="6" s="1"/>
  <c r="PY38" i="6"/>
  <c r="AS102" i="6"/>
  <c r="AS103" i="6"/>
  <c r="BO79" i="6"/>
  <c r="BO80" i="6"/>
  <c r="GM112" i="6"/>
  <c r="GM113" i="6"/>
  <c r="GQ26" i="6"/>
  <c r="GQ31" i="6" s="1"/>
  <c r="GQ27" i="6"/>
  <c r="BS103" i="6"/>
  <c r="BS102" i="6"/>
  <c r="GY115" i="6"/>
  <c r="GY116" i="6" s="1"/>
  <c r="GY114" i="6"/>
  <c r="IE22" i="6"/>
  <c r="IE21" i="6" s="1"/>
  <c r="DP102" i="6"/>
  <c r="DP103" i="6"/>
  <c r="PE38" i="6"/>
  <c r="PF36" i="6"/>
  <c r="PF37" i="6"/>
  <c r="NV110" i="6"/>
  <c r="NV111" i="6"/>
  <c r="PD113" i="6"/>
  <c r="PD112" i="6"/>
  <c r="JY37" i="6"/>
  <c r="QA112" i="6"/>
  <c r="QA113" i="6"/>
  <c r="OJ142" i="6"/>
  <c r="OJ144" i="6"/>
  <c r="KQ103" i="6"/>
  <c r="KQ102" i="6"/>
  <c r="FF151" i="6"/>
  <c r="FF139" i="6"/>
  <c r="FF143" i="6"/>
  <c r="FF140" i="6"/>
  <c r="FF147" i="6" s="1"/>
  <c r="JA22" i="6"/>
  <c r="JA21" i="6" s="1"/>
  <c r="JA23" i="6"/>
  <c r="JB23" i="6" s="1"/>
  <c r="LB23" i="6"/>
  <c r="LC23" i="6" s="1"/>
  <c r="LB22" i="6"/>
  <c r="LB21" i="6" s="1"/>
  <c r="QM103" i="6"/>
  <c r="QM102" i="6"/>
  <c r="IC102" i="6"/>
  <c r="IC103" i="6"/>
  <c r="OX149" i="6"/>
  <c r="OX145" i="6"/>
  <c r="EB22" i="6"/>
  <c r="EB21" i="6" s="1"/>
  <c r="LJ77" i="6"/>
  <c r="LJ35" i="6" s="1"/>
  <c r="LK78" i="6"/>
  <c r="IS103" i="6"/>
  <c r="IS102" i="6"/>
  <c r="LL77" i="6"/>
  <c r="LM78" i="6"/>
  <c r="LM115" i="6" s="1"/>
  <c r="LM116" i="6" s="1"/>
  <c r="HV23" i="6"/>
  <c r="HW23" i="6" s="1"/>
  <c r="HV22" i="6"/>
  <c r="HV21" i="6" s="1"/>
  <c r="CM113" i="6"/>
  <c r="CM112" i="6"/>
  <c r="MC140" i="6"/>
  <c r="MC147" i="6" s="1"/>
  <c r="MC151" i="6"/>
  <c r="MC143" i="6"/>
  <c r="MC139" i="6"/>
  <c r="GC111" i="6"/>
  <c r="GC110" i="6"/>
  <c r="GG113" i="6"/>
  <c r="GG114" i="6" s="1"/>
  <c r="GG112" i="6"/>
  <c r="GG103" i="6"/>
  <c r="GG104" i="6" s="1"/>
  <c r="GG102" i="6"/>
  <c r="EK23" i="6"/>
  <c r="EL23" i="6" s="1"/>
  <c r="EK22" i="6"/>
  <c r="EK21" i="6" s="1"/>
  <c r="IL23" i="6"/>
  <c r="IM23" i="6" s="1"/>
  <c r="IL22" i="6"/>
  <c r="IL21" i="6" s="1"/>
  <c r="BV22" i="6"/>
  <c r="BV21" i="6" s="1"/>
  <c r="BV23" i="6"/>
  <c r="BW23" i="6" s="1"/>
  <c r="JC23" i="6"/>
  <c r="JD23" i="6" s="1"/>
  <c r="JC22" i="6"/>
  <c r="JC21" i="6" s="1"/>
  <c r="CN23" i="6"/>
  <c r="CO23" i="6" s="1"/>
  <c r="CN22" i="6"/>
  <c r="CN21" i="6" s="1"/>
  <c r="LL23" i="6"/>
  <c r="LM23" i="6" s="1"/>
  <c r="LL22" i="6"/>
  <c r="LL21" i="6" s="1"/>
  <c r="EW23" i="6"/>
  <c r="EX23" i="6" s="1"/>
  <c r="EW22" i="6"/>
  <c r="EW21" i="6" s="1"/>
  <c r="EG22" i="6"/>
  <c r="EG21" i="6" s="1"/>
  <c r="EG23" i="6"/>
  <c r="EH23" i="6" s="1"/>
  <c r="HZ23" i="6"/>
  <c r="IA23" i="6" s="1"/>
  <c r="HZ22" i="6"/>
  <c r="HZ21" i="6" s="1"/>
  <c r="BH23" i="6"/>
  <c r="BI23" i="6" s="1"/>
  <c r="BH22" i="6"/>
  <c r="BH21" i="6" s="1"/>
  <c r="NP142" i="6"/>
  <c r="NP144" i="6"/>
  <c r="LG24" i="6"/>
  <c r="LG26" i="6"/>
  <c r="AL22" i="6"/>
  <c r="AL21" i="6" s="1"/>
  <c r="AL23" i="6"/>
  <c r="AM23" i="6" s="1"/>
  <c r="LK102" i="6"/>
  <c r="LK103" i="6"/>
  <c r="CS113" i="6"/>
  <c r="CS112" i="6"/>
  <c r="FX22" i="6"/>
  <c r="FX21" i="6" s="1"/>
  <c r="FX23" i="6"/>
  <c r="FY23" i="6" s="1"/>
  <c r="NH26" i="6"/>
  <c r="NH31" i="6" s="1"/>
  <c r="BY147" i="6"/>
  <c r="BY141" i="6"/>
  <c r="NJ113" i="6"/>
  <c r="NJ112" i="6"/>
  <c r="GU141" i="6"/>
  <c r="JV22" i="6"/>
  <c r="JV21" i="6" s="1"/>
  <c r="JV23" i="6"/>
  <c r="JW23" i="6" s="1"/>
  <c r="HE26" i="6"/>
  <c r="HE24" i="6"/>
  <c r="LC101" i="6"/>
  <c r="LC100" i="6"/>
  <c r="QF38" i="6"/>
  <c r="QF37" i="6" s="1"/>
  <c r="QF40" i="6" s="1"/>
  <c r="QG37" i="6"/>
  <c r="QG40" i="6" s="1"/>
  <c r="PH141" i="6"/>
  <c r="PH146" i="6"/>
  <c r="T23" i="6"/>
  <c r="U23" i="6" s="1"/>
  <c r="T22" i="6"/>
  <c r="T21" i="6" s="1"/>
  <c r="IK27" i="6"/>
  <c r="IK24" i="6"/>
  <c r="IK26" i="6"/>
  <c r="NT103" i="6"/>
  <c r="NT102" i="6"/>
  <c r="DZ144" i="6"/>
  <c r="DZ142" i="6"/>
  <c r="BI112" i="6"/>
  <c r="BI113" i="6"/>
  <c r="Q103" i="6"/>
  <c r="Q102" i="6"/>
  <c r="FD151" i="6"/>
  <c r="FD139" i="6"/>
  <c r="FD143" i="6"/>
  <c r="FD140" i="6"/>
  <c r="FD147" i="6" s="1"/>
  <c r="JA27" i="6"/>
  <c r="JB28" i="6"/>
  <c r="HK144" i="6"/>
  <c r="HK142" i="6"/>
  <c r="MA103" i="6"/>
  <c r="MA102" i="6"/>
  <c r="AV23" i="6"/>
  <c r="AW23" i="6" s="1"/>
  <c r="AV22" i="6"/>
  <c r="AV21" i="6" s="1"/>
  <c r="OR24" i="6"/>
  <c r="OR26" i="6"/>
  <c r="OR29" i="6"/>
  <c r="IS113" i="6"/>
  <c r="IS112" i="6"/>
  <c r="PN103" i="6"/>
  <c r="PN102" i="6"/>
  <c r="BN37" i="6"/>
  <c r="BN35" i="6" s="1"/>
  <c r="BN36" i="6"/>
  <c r="DA38" i="6"/>
  <c r="DB37" i="6"/>
  <c r="DB36" i="6"/>
  <c r="KI112" i="6"/>
  <c r="KI113" i="6"/>
  <c r="JH23" i="6"/>
  <c r="JI23" i="6" s="1"/>
  <c r="JH22" i="6"/>
  <c r="JH21" i="6" s="1"/>
  <c r="AM103" i="6"/>
  <c r="AM102" i="6"/>
  <c r="NZ103" i="6"/>
  <c r="NZ102" i="6"/>
  <c r="OR37" i="6"/>
  <c r="KE112" i="6"/>
  <c r="KE113" i="6"/>
  <c r="DT144" i="6"/>
  <c r="DT142" i="6"/>
  <c r="QI102" i="6"/>
  <c r="QI103" i="6"/>
  <c r="MD22" i="6"/>
  <c r="MD21" i="6" s="1"/>
  <c r="MD23" i="6"/>
  <c r="ME23" i="6" s="1"/>
  <c r="CI146" i="6"/>
  <c r="CI141" i="6"/>
  <c r="BB22" i="6"/>
  <c r="BB21" i="6" s="1"/>
  <c r="BB23" i="6"/>
  <c r="BC23" i="6" s="1"/>
  <c r="AZ23" i="6"/>
  <c r="BA23" i="6" s="1"/>
  <c r="AZ22" i="6"/>
  <c r="AZ21" i="6" s="1"/>
  <c r="AN23" i="6"/>
  <c r="AO23" i="6" s="1"/>
  <c r="AN22" i="6"/>
  <c r="AN21" i="6" s="1"/>
  <c r="JQ113" i="6"/>
  <c r="JQ114" i="6" s="1"/>
  <c r="JQ112" i="6"/>
  <c r="K112" i="6"/>
  <c r="K113" i="6"/>
  <c r="K114" i="6" s="1"/>
  <c r="QA102" i="6"/>
  <c r="QA103" i="6"/>
  <c r="BK144" i="6"/>
  <c r="BK142" i="6"/>
  <c r="HU103" i="6"/>
  <c r="HU102" i="6"/>
  <c r="BY111" i="6"/>
  <c r="BY110" i="6"/>
  <c r="PW144" i="6"/>
  <c r="PW142" i="6"/>
  <c r="IP23" i="6"/>
  <c r="IQ23" i="6" s="1"/>
  <c r="IP22" i="6"/>
  <c r="IP21" i="6" s="1"/>
  <c r="AK144" i="6"/>
  <c r="AK142" i="6"/>
  <c r="QB22" i="6"/>
  <c r="QB21" i="6" s="1"/>
  <c r="QB23" i="6"/>
  <c r="QC23" i="6" s="1"/>
  <c r="IH23" i="6"/>
  <c r="II23" i="6" s="1"/>
  <c r="IH22" i="6"/>
  <c r="IH21" i="6" s="1"/>
  <c r="PR23" i="6"/>
  <c r="PS23" i="6" s="1"/>
  <c r="PR22" i="6"/>
  <c r="PR21" i="6" s="1"/>
  <c r="KA113" i="6"/>
  <c r="KA112" i="6"/>
  <c r="HC113" i="6"/>
  <c r="HC112" i="6"/>
  <c r="IO149" i="6"/>
  <c r="IO145" i="6"/>
  <c r="LC111" i="6"/>
  <c r="LC110" i="6"/>
  <c r="LQ100" i="6"/>
  <c r="LQ101" i="6"/>
  <c r="OT79" i="6"/>
  <c r="OT80" i="6"/>
  <c r="NR102" i="6"/>
  <c r="NR103" i="6"/>
  <c r="Q113" i="6"/>
  <c r="Q112" i="6"/>
  <c r="KU144" i="6"/>
  <c r="KU142" i="6"/>
  <c r="FJ112" i="6"/>
  <c r="FJ113" i="6"/>
  <c r="EJ112" i="6"/>
  <c r="EJ113" i="6"/>
  <c r="FJ102" i="6"/>
  <c r="FJ103" i="6"/>
  <c r="OR79" i="6"/>
  <c r="OR80" i="6"/>
  <c r="HY102" i="6"/>
  <c r="HY103" i="6"/>
  <c r="MA141" i="6"/>
  <c r="MA146" i="6"/>
  <c r="NN112" i="6"/>
  <c r="NN113" i="6"/>
  <c r="LU102" i="6"/>
  <c r="LU103" i="6"/>
  <c r="PP144" i="6"/>
  <c r="PP142" i="6"/>
  <c r="IN23" i="6"/>
  <c r="IO23" i="6" s="1"/>
  <c r="IN22" i="6"/>
  <c r="IN21" i="6" s="1"/>
  <c r="KU103" i="6"/>
  <c r="KU102" i="6"/>
  <c r="PN112" i="6"/>
  <c r="PN113" i="6"/>
  <c r="IK144" i="6"/>
  <c r="IK142" i="6"/>
  <c r="NT79" i="6"/>
  <c r="NX78" i="6"/>
  <c r="NT80" i="6"/>
  <c r="II101" i="6"/>
  <c r="II100" i="6"/>
  <c r="OR36" i="6"/>
  <c r="OF35" i="6"/>
  <c r="OF34" i="6" s="1"/>
  <c r="OE34" i="6"/>
  <c r="OD145" i="6"/>
  <c r="OD149" i="6"/>
  <c r="H23" i="6"/>
  <c r="I23" i="6" s="1"/>
  <c r="H22" i="6"/>
  <c r="H21" i="6" s="1"/>
  <c r="HR23" i="6"/>
  <c r="HS23" i="6" s="1"/>
  <c r="HR22" i="6"/>
  <c r="HR21" i="6" s="1"/>
  <c r="OH22" i="6"/>
  <c r="OH21" i="6" s="1"/>
  <c r="NM23" i="6"/>
  <c r="NN23" i="6" s="1"/>
  <c r="NM22" i="6"/>
  <c r="NM21" i="6" s="1"/>
  <c r="PV23" i="6"/>
  <c r="PW23" i="6" s="1"/>
  <c r="PV22" i="6"/>
  <c r="PV21" i="6" s="1"/>
  <c r="CR22" i="6"/>
  <c r="CR21" i="6" s="1"/>
  <c r="CR23" i="6"/>
  <c r="CS23" i="6" s="1"/>
  <c r="NA23" i="6"/>
  <c r="NB23" i="6" s="1"/>
  <c r="NA22" i="6"/>
  <c r="NA21" i="6" s="1"/>
  <c r="GL23" i="6"/>
  <c r="GM23" i="6" s="1"/>
  <c r="GL22" i="6"/>
  <c r="GL21" i="6" s="1"/>
  <c r="HJ22" i="6"/>
  <c r="HJ21" i="6" s="1"/>
  <c r="HJ23" i="6"/>
  <c r="HK23" i="6" s="1"/>
  <c r="CY23" i="6"/>
  <c r="CZ23" i="6" s="1"/>
  <c r="CY22" i="6"/>
  <c r="CY21" i="6" s="1"/>
  <c r="IX22" i="6"/>
  <c r="IX21" i="6" s="1"/>
  <c r="IX23" i="6"/>
  <c r="IY23" i="6" s="1"/>
  <c r="EE22" i="6"/>
  <c r="EE21" i="6" s="1"/>
  <c r="EE23" i="6"/>
  <c r="EF23" i="6" s="1"/>
  <c r="OH79" i="6"/>
  <c r="OH80" i="6"/>
  <c r="AS144" i="6"/>
  <c r="AS142" i="6"/>
  <c r="KG149" i="6"/>
  <c r="KG145" i="6"/>
  <c r="ET113" i="6"/>
  <c r="ET112" i="6"/>
  <c r="OV102" i="6"/>
  <c r="OV103" i="6"/>
  <c r="DD113" i="6"/>
  <c r="DD112" i="6"/>
  <c r="OF109" i="6"/>
  <c r="OF99" i="6"/>
  <c r="OF88" i="6"/>
  <c r="OF89" i="6" s="1"/>
  <c r="OE85" i="6"/>
  <c r="OF140" i="6"/>
  <c r="OF92" i="6"/>
  <c r="OF93" i="6" s="1"/>
  <c r="S113" i="6"/>
  <c r="S114" i="6" s="1"/>
  <c r="S112" i="6"/>
  <c r="CS142" i="6"/>
  <c r="CS144" i="6"/>
  <c r="DZ103" i="6"/>
  <c r="DZ102" i="6"/>
  <c r="FN113" i="6"/>
  <c r="FN112" i="6"/>
  <c r="I102" i="6"/>
  <c r="I103" i="6"/>
  <c r="I104" i="6" s="1"/>
  <c r="CZ24" i="6"/>
  <c r="CZ27" i="6"/>
  <c r="CZ26" i="6"/>
  <c r="EX144" i="6"/>
  <c r="EX142" i="6"/>
  <c r="ED112" i="6"/>
  <c r="ED113" i="6"/>
  <c r="PU38" i="6"/>
  <c r="PT39" i="6"/>
  <c r="PT36" i="6" s="1"/>
  <c r="BK113" i="6"/>
  <c r="BK112" i="6"/>
  <c r="FP103" i="6"/>
  <c r="FP102" i="6"/>
  <c r="NU23" i="6"/>
  <c r="NV23" i="6" s="1"/>
  <c r="NU22" i="6"/>
  <c r="NU21" i="6" s="1"/>
  <c r="HM103" i="6"/>
  <c r="HM102" i="6"/>
  <c r="ER113" i="6"/>
  <c r="ER112" i="6"/>
  <c r="MC83" i="6"/>
  <c r="NP103" i="6"/>
  <c r="NP102" i="6"/>
  <c r="BF22" i="6"/>
  <c r="BF21" i="6" s="1"/>
  <c r="BF23" i="6"/>
  <c r="BG23" i="6" s="1"/>
  <c r="FB103" i="6"/>
  <c r="FB102" i="6"/>
  <c r="O113" i="6"/>
  <c r="O114" i="6" s="1"/>
  <c r="O112" i="6"/>
  <c r="KM144" i="6"/>
  <c r="KM142" i="6"/>
  <c r="F23" i="6"/>
  <c r="G23" i="6" s="1"/>
  <c r="F22" i="6"/>
  <c r="F21" i="6" s="1"/>
  <c r="KI142" i="6"/>
  <c r="KI144" i="6"/>
  <c r="GV23" i="6"/>
  <c r="GW23" i="6" s="1"/>
  <c r="GV22" i="6"/>
  <c r="GV21" i="6" s="1"/>
  <c r="IQ103" i="6"/>
  <c r="IQ102" i="6"/>
  <c r="OJ79" i="6"/>
  <c r="OJ80" i="6"/>
  <c r="KO103" i="6"/>
  <c r="KO102" i="6"/>
  <c r="QF23" i="6"/>
  <c r="QG23" i="6" s="1"/>
  <c r="QF22" i="6"/>
  <c r="QF21" i="6" s="1"/>
  <c r="NN102" i="6"/>
  <c r="NN103" i="6"/>
  <c r="HO144" i="6"/>
  <c r="HO142" i="6"/>
  <c r="NV79" i="6"/>
  <c r="NZ78" i="6"/>
  <c r="NV80" i="6"/>
  <c r="GK113" i="6"/>
  <c r="GK112" i="6"/>
  <c r="DB102" i="6"/>
  <c r="DB103" i="6"/>
  <c r="KK102" i="6"/>
  <c r="KK103" i="6"/>
  <c r="DN113" i="6"/>
  <c r="DN112" i="6"/>
  <c r="AM79" i="6"/>
  <c r="AM80" i="6"/>
  <c r="KS101" i="6"/>
  <c r="KS100" i="6"/>
  <c r="G103" i="6"/>
  <c r="G104" i="6" s="1"/>
  <c r="G102" i="6"/>
  <c r="KY142" i="6"/>
  <c r="KY144" i="6"/>
  <c r="CZ101" i="6"/>
  <c r="CZ100" i="6"/>
  <c r="KY114" i="6"/>
  <c r="KY115" i="6"/>
  <c r="KY116" i="6" s="1"/>
  <c r="LQ78" i="6"/>
  <c r="LP77" i="6"/>
  <c r="LP35" i="6" s="1"/>
  <c r="NQ22" i="6"/>
  <c r="NQ21" i="6" s="1"/>
  <c r="NQ23" i="6"/>
  <c r="NR23" i="6" s="1"/>
  <c r="MK23" i="6"/>
  <c r="ML23" i="6" s="1"/>
  <c r="MK22" i="6"/>
  <c r="MK21" i="6" s="1"/>
  <c r="EY22" i="6"/>
  <c r="EY21" i="6" s="1"/>
  <c r="EY23" i="6"/>
  <c r="EZ23" i="6" s="1"/>
  <c r="HH22" i="6"/>
  <c r="HH21" i="6" s="1"/>
  <c r="HH23" i="6"/>
  <c r="HI23" i="6" s="1"/>
  <c r="PJ22" i="6"/>
  <c r="PJ21" i="6" s="1"/>
  <c r="KL22" i="6"/>
  <c r="KL21" i="6" s="1"/>
  <c r="KL23" i="6"/>
  <c r="KM23" i="6" s="1"/>
  <c r="FF113" i="6"/>
  <c r="FF112" i="6"/>
  <c r="QA142" i="6"/>
  <c r="QA144" i="6"/>
  <c r="EB113" i="6"/>
  <c r="EB112" i="6"/>
  <c r="AY101" i="6"/>
  <c r="AY100" i="6"/>
  <c r="PM38" i="6"/>
  <c r="PN37" i="6"/>
  <c r="PN36" i="6"/>
  <c r="LM144" i="6"/>
  <c r="LM142" i="6"/>
  <c r="NJ105" i="6"/>
  <c r="NJ104" i="6"/>
  <c r="QG113" i="6"/>
  <c r="QG112" i="6"/>
  <c r="KC100" i="6"/>
  <c r="KC101" i="6"/>
  <c r="DR103" i="6"/>
  <c r="DR102" i="6"/>
  <c r="EL144" i="6"/>
  <c r="EL142" i="6"/>
  <c r="MI23" i="6"/>
  <c r="MJ23" i="6" s="1"/>
  <c r="MI22" i="6"/>
  <c r="MI21" i="6" s="1"/>
  <c r="OK34" i="6"/>
  <c r="OL35" i="6"/>
  <c r="OL34" i="6" s="1"/>
  <c r="GQ101" i="6"/>
  <c r="GQ100" i="6"/>
  <c r="DP142" i="6"/>
  <c r="DP144" i="6"/>
  <c r="EV112" i="6"/>
  <c r="EV113" i="6"/>
  <c r="MC99" i="6"/>
  <c r="MC109" i="6"/>
  <c r="MB85" i="6"/>
  <c r="MC88" i="6"/>
  <c r="MC89" i="6" s="1"/>
  <c r="MC92" i="6"/>
  <c r="MC93" i="6" s="1"/>
  <c r="EV103" i="6"/>
  <c r="EV102" i="6"/>
  <c r="LC144" i="6"/>
  <c r="LC142" i="6"/>
  <c r="DL27" i="6"/>
  <c r="DL26" i="6"/>
  <c r="DL24" i="6"/>
  <c r="EF24" i="6"/>
  <c r="EF26" i="6"/>
  <c r="EF27" i="6"/>
  <c r="CG103" i="6"/>
  <c r="CG102" i="6"/>
  <c r="NX142" i="6"/>
  <c r="NX144" i="6"/>
  <c r="LW22" i="6"/>
  <c r="LW21" i="6" s="1"/>
  <c r="MF23" i="6"/>
  <c r="MG23" i="6" s="1"/>
  <c r="MF22" i="6"/>
  <c r="MF21" i="6" s="1"/>
  <c r="PD29" i="6"/>
  <c r="JB102" i="6"/>
  <c r="JB103" i="6"/>
  <c r="EF142" i="6"/>
  <c r="EF144" i="6"/>
  <c r="QM112" i="6"/>
  <c r="QM113" i="6"/>
  <c r="DB113" i="6"/>
  <c r="DB112" i="6"/>
  <c r="OH35" i="6"/>
  <c r="OH34" i="6" s="1"/>
  <c r="OG34" i="6"/>
  <c r="CC79" i="6"/>
  <c r="CC80" i="6"/>
  <c r="CZ110" i="6"/>
  <c r="CZ111" i="6"/>
  <c r="LU144" i="6"/>
  <c r="LU142" i="6"/>
  <c r="KN22" i="6"/>
  <c r="KN21" i="6" s="1"/>
  <c r="KN23" i="6"/>
  <c r="KO23" i="6" s="1"/>
  <c r="AF23" i="6"/>
  <c r="AG23" i="6" s="1"/>
  <c r="AF22" i="6"/>
  <c r="AF21" i="6" s="1"/>
  <c r="OU23" i="6"/>
  <c r="OV23" i="6" s="1"/>
  <c r="OU22" i="6"/>
  <c r="OU21" i="6" s="1"/>
  <c r="AR23" i="6"/>
  <c r="AS23" i="6" s="1"/>
  <c r="AR22" i="6"/>
  <c r="AR21" i="6" s="1"/>
  <c r="IV22" i="6"/>
  <c r="IV21" i="6" s="1"/>
  <c r="IV23" i="6"/>
  <c r="IW23" i="6" s="1"/>
  <c r="IA112" i="6"/>
  <c r="IA113" i="6"/>
  <c r="NL144" i="6"/>
  <c r="NL142" i="6"/>
  <c r="LI114" i="6"/>
  <c r="LI115" i="6"/>
  <c r="LI116" i="6" s="1"/>
  <c r="DO22" i="6"/>
  <c r="DO21" i="6" s="1"/>
  <c r="DO23" i="6"/>
  <c r="DP23" i="6" s="1"/>
  <c r="MR128" i="6"/>
  <c r="MR106" i="6"/>
  <c r="DD103" i="6"/>
  <c r="DD102" i="6"/>
  <c r="BA101" i="6"/>
  <c r="BA100" i="6"/>
  <c r="EJ144" i="6"/>
  <c r="EJ142" i="6"/>
  <c r="BT34" i="6"/>
  <c r="BU35" i="6"/>
  <c r="BU34" i="6" s="1"/>
  <c r="QC103" i="6"/>
  <c r="QC102" i="6"/>
  <c r="CI105" i="6"/>
  <c r="CI104" i="6"/>
  <c r="LC78" i="6"/>
  <c r="LB77" i="6"/>
  <c r="LB35" i="6" s="1"/>
  <c r="OV79" i="6"/>
  <c r="OV80" i="6"/>
  <c r="JK113" i="6"/>
  <c r="JK112" i="6"/>
  <c r="GO114" i="6"/>
  <c r="GO115" i="6"/>
  <c r="GO116" i="6" s="1"/>
  <c r="EN102" i="6"/>
  <c r="EN103" i="6"/>
  <c r="KC110" i="6"/>
  <c r="KC111" i="6"/>
  <c r="MX112" i="6"/>
  <c r="MX113" i="6"/>
  <c r="QK145" i="6"/>
  <c r="QK149" i="6"/>
  <c r="LQ110" i="6"/>
  <c r="LQ111" i="6"/>
  <c r="HC149" i="6"/>
  <c r="HC145" i="6"/>
  <c r="KI26" i="6"/>
  <c r="KI24" i="6"/>
  <c r="AC103" i="6"/>
  <c r="AC102" i="6"/>
  <c r="AY79" i="6"/>
  <c r="AY80" i="6"/>
  <c r="KA37" i="6"/>
  <c r="KG113" i="6"/>
  <c r="KG112" i="6"/>
  <c r="FB113" i="6"/>
  <c r="FB112" i="6"/>
  <c r="HY113" i="6"/>
  <c r="HY112" i="6"/>
  <c r="CG112" i="6"/>
  <c r="CG113" i="6"/>
  <c r="BQ142" i="6"/>
  <c r="BQ144" i="6"/>
  <c r="DL112" i="6"/>
  <c r="DL113" i="6"/>
  <c r="LQ24" i="6"/>
  <c r="LQ26" i="6"/>
  <c r="FF37" i="6"/>
  <c r="PF79" i="6"/>
  <c r="PF80" i="6"/>
  <c r="MG105" i="6"/>
  <c r="MG104" i="6"/>
  <c r="PS103" i="6"/>
  <c r="PS102" i="6"/>
  <c r="NK23" i="6"/>
  <c r="NL23" i="6" s="1"/>
  <c r="NK22" i="6"/>
  <c r="NK21" i="6" s="1"/>
  <c r="QH23" i="6"/>
  <c r="QI23" i="6" s="1"/>
  <c r="QH22" i="6"/>
  <c r="QH21" i="6" s="1"/>
  <c r="PD79" i="6"/>
  <c r="PD80" i="6"/>
  <c r="HX23" i="6"/>
  <c r="HY23" i="6" s="1"/>
  <c r="HX22" i="6"/>
  <c r="HX21" i="6" s="1"/>
  <c r="MV102" i="6"/>
  <c r="MV103" i="6"/>
  <c r="II110" i="6"/>
  <c r="II111" i="6"/>
  <c r="AG113" i="6"/>
  <c r="AG112" i="6"/>
  <c r="KS110" i="6"/>
  <c r="KS111" i="6"/>
  <c r="IH38" i="6"/>
  <c r="IH37" i="6" s="1"/>
  <c r="IH35" i="6" s="1"/>
  <c r="II37" i="6"/>
  <c r="CQ103" i="6"/>
  <c r="CQ102" i="6"/>
  <c r="JJ38" i="6"/>
  <c r="JJ37" i="6" s="1"/>
  <c r="JK37" i="6"/>
  <c r="DQ23" i="6"/>
  <c r="DR23" i="6" s="1"/>
  <c r="DQ22" i="6"/>
  <c r="DQ21" i="6" s="1"/>
  <c r="QM22" i="6"/>
  <c r="QM21" i="6" s="1"/>
  <c r="MW22" i="6"/>
  <c r="MW21" i="6" s="1"/>
  <c r="MW23" i="6"/>
  <c r="MX23" i="6" s="1"/>
  <c r="DI23" i="6"/>
  <c r="DJ23" i="6" s="1"/>
  <c r="DI22" i="6"/>
  <c r="DI21" i="6" s="1"/>
  <c r="OO23" i="6"/>
  <c r="OP23" i="6" s="1"/>
  <c r="OO22" i="6"/>
  <c r="OO21" i="6" s="1"/>
  <c r="CO22" i="6"/>
  <c r="CO21" i="6" s="1"/>
  <c r="EO23" i="6"/>
  <c r="EP23" i="6" s="1"/>
  <c r="EO22" i="6"/>
  <c r="EO21" i="6" s="1"/>
  <c r="Z23" i="6"/>
  <c r="AA23" i="6" s="1"/>
  <c r="Z22" i="6"/>
  <c r="Z21" i="6" s="1"/>
  <c r="LE100" i="6"/>
  <c r="LE101" i="6"/>
  <c r="LQ141" i="6"/>
  <c r="NH27" i="6"/>
  <c r="CC146" i="6"/>
  <c r="CC141" i="6"/>
  <c r="BA111" i="6"/>
  <c r="BA110" i="6"/>
  <c r="JZ23" i="6"/>
  <c r="KA23" i="6" s="1"/>
  <c r="JZ22" i="6"/>
  <c r="JZ21" i="6" s="1"/>
  <c r="BS24" i="6"/>
  <c r="BS26" i="6"/>
  <c r="PI23" i="6"/>
  <c r="PJ23" i="6" s="1"/>
  <c r="PI22" i="6"/>
  <c r="PI21" i="6" s="1"/>
  <c r="OC23" i="6"/>
  <c r="OD23" i="6" s="1"/>
  <c r="OC22" i="6"/>
  <c r="OC21" i="6" s="1"/>
  <c r="PY142" i="6"/>
  <c r="PY144" i="6"/>
  <c r="GQ111" i="6"/>
  <c r="GQ110" i="6"/>
  <c r="JD112" i="6"/>
  <c r="JD113" i="6"/>
  <c r="GW144" i="6"/>
  <c r="GW142" i="6"/>
  <c r="EZ112" i="6"/>
  <c r="EZ113" i="6"/>
  <c r="NB105" i="6"/>
  <c r="NB104" i="6"/>
  <c r="OB103" i="6"/>
  <c r="OB102" i="6"/>
  <c r="EL102" i="6"/>
  <c r="EL103" i="6"/>
  <c r="IF22" i="6"/>
  <c r="IF21" i="6" s="1"/>
  <c r="IF23" i="6"/>
  <c r="IG23" i="6" s="1"/>
  <c r="FF36" i="6"/>
  <c r="HG142" i="6"/>
  <c r="HG144" i="6"/>
  <c r="BZ38" i="6"/>
  <c r="CA37" i="6"/>
  <c r="CA36" i="6"/>
  <c r="AM142" i="6"/>
  <c r="AM144" i="6"/>
  <c r="CK102" i="6"/>
  <c r="CK103" i="6"/>
  <c r="LA149" i="6"/>
  <c r="LA145" i="6"/>
  <c r="JM113" i="6"/>
  <c r="JM114" i="6" s="1"/>
  <c r="JM112" i="6"/>
  <c r="OA23" i="6"/>
  <c r="OB23" i="6" s="1"/>
  <c r="OA22" i="6"/>
  <c r="OA21" i="6" s="1"/>
  <c r="KU112" i="6"/>
  <c r="KU113" i="6"/>
  <c r="IW113" i="6"/>
  <c r="IW112" i="6"/>
  <c r="CK143" i="6"/>
  <c r="CK151" i="6"/>
  <c r="CK140" i="6"/>
  <c r="CK147" i="6" s="1"/>
  <c r="CK139" i="6"/>
  <c r="EO36" i="6"/>
  <c r="EO37" i="6"/>
  <c r="EO35" i="6" s="1"/>
  <c r="II147" i="6"/>
  <c r="II141" i="6"/>
  <c r="BI79" i="6"/>
  <c r="BI80" i="6"/>
  <c r="NZ113" i="6"/>
  <c r="NZ112" i="6"/>
  <c r="LI142" i="6"/>
  <c r="LI144" i="6"/>
  <c r="OR27" i="6"/>
  <c r="LO78" i="6"/>
  <c r="LN77" i="6"/>
  <c r="LN35" i="6" s="1"/>
  <c r="BO113" i="6"/>
  <c r="BO112" i="6"/>
  <c r="OT142" i="6"/>
  <c r="OT144" i="6"/>
  <c r="LE149" i="6"/>
  <c r="LE145" i="6"/>
  <c r="QK22" i="6"/>
  <c r="QK21" i="6" s="1"/>
  <c r="DM22" i="6"/>
  <c r="DM21" i="6" s="1"/>
  <c r="DM23" i="6"/>
  <c r="DN23" i="6" s="1"/>
  <c r="FV22" i="6"/>
  <c r="FV21" i="6" s="1"/>
  <c r="FV23" i="6"/>
  <c r="FW23" i="6" s="1"/>
  <c r="CU22" i="6"/>
  <c r="CU21" i="6" s="1"/>
  <c r="CU23" i="6"/>
  <c r="CV23" i="6" s="1"/>
  <c r="CD23" i="6"/>
  <c r="CE23" i="6" s="1"/>
  <c r="CD22" i="6"/>
  <c r="CD21" i="6" s="1"/>
  <c r="GD23" i="6"/>
  <c r="GE23" i="6" s="1"/>
  <c r="GD22" i="6"/>
  <c r="GD21" i="6" s="1"/>
  <c r="PX22" i="6"/>
  <c r="PX21" i="6" s="1"/>
  <c r="PX23" i="6"/>
  <c r="PY23" i="6" s="1"/>
  <c r="FW115" i="6"/>
  <c r="FW116" i="6" s="1"/>
  <c r="FW114" i="6"/>
  <c r="EP112" i="6"/>
  <c r="EP113" i="6"/>
  <c r="ON110" i="6"/>
  <c r="ON111" i="6"/>
  <c r="LS113" i="6"/>
  <c r="LS112" i="6"/>
  <c r="LK144" i="6"/>
  <c r="LK142" i="6"/>
  <c r="LE110" i="6"/>
  <c r="LE111" i="6"/>
  <c r="NR145" i="6"/>
  <c r="NR149" i="6"/>
  <c r="IJ23" i="6"/>
  <c r="IK23" i="6" s="1"/>
  <c r="IJ22" i="6"/>
  <c r="IJ21" i="6" s="1"/>
  <c r="AY111" i="6"/>
  <c r="AY110" i="6"/>
  <c r="EB103" i="6"/>
  <c r="EB102" i="6"/>
  <c r="BW79" i="6"/>
  <c r="BW80" i="6"/>
  <c r="QQ102" i="6"/>
  <c r="QQ103" i="6"/>
  <c r="MJ103" i="6"/>
  <c r="MJ102" i="6"/>
  <c r="MJ36" i="6"/>
  <c r="MJ37" i="6"/>
  <c r="KT23" i="6"/>
  <c r="KU23" i="6" s="1"/>
  <c r="KT22" i="6"/>
  <c r="KT21" i="6" s="1"/>
  <c r="IE103" i="6"/>
  <c r="IE102" i="6"/>
  <c r="GO105" i="6"/>
  <c r="GO104" i="6"/>
  <c r="PD104" i="6"/>
  <c r="PD105" i="6"/>
  <c r="GQ147" i="6"/>
  <c r="GQ141" i="6"/>
  <c r="BS29" i="6"/>
  <c r="IG112" i="6"/>
  <c r="IG113" i="6"/>
  <c r="KE149" i="6"/>
  <c r="KE145" i="6"/>
  <c r="LG29" i="6"/>
  <c r="NH112" i="6"/>
  <c r="NH113" i="6"/>
  <c r="DY23" i="6"/>
  <c r="DZ23" i="6" s="1"/>
  <c r="DY22" i="6"/>
  <c r="DY21" i="6" s="1"/>
  <c r="CR38" i="6"/>
  <c r="CS36" i="6"/>
  <c r="CS37" i="6"/>
  <c r="CO113" i="6"/>
  <c r="CO112" i="6"/>
  <c r="AW113" i="6"/>
  <c r="AW112" i="6"/>
  <c r="KA144" i="6"/>
  <c r="KA142" i="6"/>
  <c r="LM102" i="6"/>
  <c r="LM103" i="6"/>
  <c r="IW103" i="6"/>
  <c r="IW102" i="6"/>
  <c r="AU142" i="6"/>
  <c r="AU144" i="6"/>
  <c r="PL113" i="6"/>
  <c r="PL112" i="6"/>
  <c r="DD37" i="6"/>
  <c r="QH39" i="6"/>
  <c r="QH36" i="6" s="1"/>
  <c r="QI38" i="6"/>
  <c r="QI36" i="6"/>
  <c r="IO112" i="6"/>
  <c r="IO113" i="6"/>
  <c r="ME151" i="6"/>
  <c r="ME140" i="6"/>
  <c r="ME147" i="6" s="1"/>
  <c r="ME143" i="6"/>
  <c r="ME139" i="6"/>
  <c r="IJ38" i="6"/>
  <c r="IJ37" i="6" s="1"/>
  <c r="IJ35" i="6" s="1"/>
  <c r="IK37" i="6"/>
  <c r="ML113" i="6"/>
  <c r="ML114" i="6" s="1"/>
  <c r="ML112" i="6"/>
  <c r="CO137" i="6"/>
  <c r="CO138" i="6" s="1"/>
  <c r="BL38" i="6"/>
  <c r="BM37" i="6"/>
  <c r="BM36" i="6"/>
  <c r="GI115" i="6"/>
  <c r="GI116" i="6" s="1"/>
  <c r="GI114" i="6"/>
  <c r="AH22" i="6"/>
  <c r="AH21" i="6" s="1"/>
  <c r="AH23" i="6"/>
  <c r="AI23" i="6" s="1"/>
  <c r="FD22" i="6"/>
  <c r="FD21" i="6" s="1"/>
  <c r="ET22" i="6"/>
  <c r="ET21" i="6" s="1"/>
  <c r="DK22" i="6"/>
  <c r="DK21" i="6" s="1"/>
  <c r="DK23" i="6"/>
  <c r="DL23" i="6" s="1"/>
  <c r="JX23" i="6"/>
  <c r="JY23" i="6" s="1"/>
  <c r="JX22" i="6"/>
  <c r="JX21" i="6" s="1"/>
  <c r="CL23" i="6"/>
  <c r="CM23" i="6" s="1"/>
  <c r="CL22" i="6"/>
  <c r="CL21" i="6" s="1"/>
  <c r="AP23" i="6"/>
  <c r="AQ23" i="6" s="1"/>
  <c r="AP22" i="6"/>
  <c r="AP21" i="6" s="1"/>
  <c r="CB23" i="6"/>
  <c r="CC23" i="6" s="1"/>
  <c r="CB22" i="6"/>
  <c r="CB21" i="6" s="1"/>
  <c r="CA112" i="6"/>
  <c r="CA113" i="6"/>
  <c r="OM37" i="6"/>
  <c r="OM35" i="6" s="1"/>
  <c r="OM36" i="6"/>
  <c r="HW103" i="6"/>
  <c r="HW102" i="6"/>
  <c r="MJ113" i="6"/>
  <c r="MJ114" i="6" s="1"/>
  <c r="MJ112" i="6"/>
  <c r="HQ101" i="6"/>
  <c r="HQ100" i="6"/>
  <c r="QG144" i="6"/>
  <c r="QG142" i="6"/>
  <c r="KY103" i="6"/>
  <c r="KY102" i="6"/>
  <c r="BG79" i="6"/>
  <c r="BG80" i="6"/>
  <c r="ET144" i="6"/>
  <c r="ET142" i="6"/>
  <c r="FW37" i="6"/>
  <c r="FW36" i="6"/>
  <c r="BY79" i="6"/>
  <c r="BY80" i="6"/>
  <c r="PU103" i="6"/>
  <c r="PU102" i="6"/>
  <c r="DR144" i="6"/>
  <c r="DR142" i="6"/>
  <c r="ED102" i="6"/>
  <c r="ED103" i="6"/>
  <c r="DH102" i="6"/>
  <c r="DH103" i="6"/>
  <c r="CD38" i="6"/>
  <c r="CE36" i="6"/>
  <c r="CE37" i="6"/>
  <c r="IA144" i="6"/>
  <c r="IA142" i="6"/>
  <c r="CV103" i="6"/>
  <c r="CV102" i="6"/>
  <c r="FS103" i="6"/>
  <c r="FS104" i="6" s="1"/>
  <c r="FS102" i="6"/>
  <c r="LG103" i="6"/>
  <c r="LG102" i="6"/>
  <c r="BR23" i="6"/>
  <c r="BS23" i="6" s="1"/>
  <c r="BR22" i="6"/>
  <c r="BR21" i="6" s="1"/>
  <c r="BS79" i="6"/>
  <c r="BS80" i="6"/>
  <c r="BW113" i="6"/>
  <c r="BW112" i="6"/>
  <c r="PZ22" i="6"/>
  <c r="PZ21" i="6" s="1"/>
  <c r="PZ23" i="6"/>
  <c r="QA23" i="6" s="1"/>
  <c r="FD103" i="6"/>
  <c r="FD102" i="6"/>
  <c r="LF77" i="6"/>
  <c r="LF35" i="6" s="1"/>
  <c r="LG78" i="6"/>
  <c r="M112" i="6"/>
  <c r="M113" i="6"/>
  <c r="M114" i="6" s="1"/>
  <c r="IC112" i="6"/>
  <c r="IC113" i="6"/>
  <c r="FG38" i="6"/>
  <c r="FH37" i="6"/>
  <c r="FH36" i="6"/>
  <c r="BS27" i="6"/>
  <c r="KV23" i="6"/>
  <c r="KW23" i="6" s="1"/>
  <c r="KV22" i="6"/>
  <c r="KV21" i="6" s="1"/>
  <c r="DD36" i="6"/>
  <c r="OR113" i="6"/>
  <c r="OR112" i="6"/>
  <c r="LO144" i="6"/>
  <c r="LO142" i="6"/>
  <c r="JJ23" i="6"/>
  <c r="JK23" i="6" s="1"/>
  <c r="JJ22" i="6"/>
  <c r="JJ21" i="6" s="1"/>
  <c r="FH137" i="6"/>
  <c r="FH138" i="6" s="1"/>
  <c r="KP22" i="6"/>
  <c r="KP21" i="6" s="1"/>
  <c r="KP23" i="6"/>
  <c r="KQ23" i="6" s="1"/>
  <c r="IO102" i="6"/>
  <c r="IO103" i="6"/>
  <c r="LY113" i="6"/>
  <c r="LY112" i="6"/>
  <c r="OZ151" i="6"/>
  <c r="OZ139" i="6"/>
  <c r="OZ143" i="6"/>
  <c r="OZ140" i="6"/>
  <c r="OZ147" i="6" s="1"/>
  <c r="DR113" i="6"/>
  <c r="DR112" i="6"/>
  <c r="CK35" i="6"/>
  <c r="CK34" i="6" s="1"/>
  <c r="CJ34" i="6"/>
  <c r="HE113" i="6"/>
  <c r="HE112" i="6"/>
  <c r="GX23" i="6"/>
  <c r="GY23" i="6" s="1"/>
  <c r="GX22" i="6"/>
  <c r="GX21" i="6" s="1"/>
  <c r="BD22" i="6"/>
  <c r="BD21" i="6" s="1"/>
  <c r="BD23" i="6"/>
  <c r="BE23" i="6" s="1"/>
  <c r="FT22" i="6"/>
  <c r="FT21" i="6" s="1"/>
  <c r="FT23" i="6"/>
  <c r="FU23" i="6" s="1"/>
  <c r="QP23" i="6"/>
  <c r="QQ23" i="6" s="1"/>
  <c r="QP22" i="6"/>
  <c r="QP21" i="6" s="1"/>
  <c r="FA22" i="6"/>
  <c r="FA21" i="6" s="1"/>
  <c r="FA23" i="6"/>
  <c r="FB23" i="6" s="1"/>
  <c r="DU23" i="6"/>
  <c r="DV23" i="6" s="1"/>
  <c r="DU22" i="6"/>
  <c r="DU21" i="6" s="1"/>
  <c r="OE23" i="6"/>
  <c r="OF23" i="6" s="1"/>
  <c r="OE22" i="6"/>
  <c r="OE21" i="6" s="1"/>
  <c r="KX23" i="6"/>
  <c r="KY23" i="6" s="1"/>
  <c r="KX22" i="6"/>
  <c r="KX21" i="6" s="1"/>
  <c r="PU15" i="6"/>
  <c r="PU17" i="6" s="1"/>
  <c r="PU18" i="6" s="1"/>
  <c r="ON101" i="6"/>
  <c r="ON100" i="6"/>
  <c r="HA102" i="6"/>
  <c r="HA103" i="6"/>
  <c r="HL22" i="6"/>
  <c r="HL21" i="6" s="1"/>
  <c r="HL23" i="6"/>
  <c r="HM23" i="6" s="1"/>
  <c r="DL149" i="6"/>
  <c r="DL145" i="6"/>
  <c r="IE112" i="6"/>
  <c r="IE113" i="6"/>
  <c r="KB23" i="6"/>
  <c r="KC23" i="6" s="1"/>
  <c r="KB22" i="6"/>
  <c r="KB21" i="6" s="1"/>
  <c r="CQ79" i="6"/>
  <c r="CQ80" i="6"/>
  <c r="HQ111" i="6"/>
  <c r="HQ110" i="6"/>
  <c r="LD77" i="6"/>
  <c r="LD35" i="6" s="1"/>
  <c r="LE78" i="6"/>
  <c r="IF38" i="6"/>
  <c r="IF37" i="6" s="1"/>
  <c r="IF35" i="6" s="1"/>
  <c r="IG37" i="6"/>
  <c r="ME103" i="6"/>
  <c r="ME102" i="6"/>
  <c r="HO112" i="6"/>
  <c r="HO113" i="6"/>
  <c r="PC22" i="6"/>
  <c r="PC21" i="6" s="1"/>
  <c r="PC23" i="6"/>
  <c r="PD23" i="6" s="1"/>
  <c r="CB37" i="6"/>
  <c r="CB35" i="6" s="1"/>
  <c r="CB36" i="6"/>
  <c r="NP113" i="6"/>
  <c r="NP112" i="6"/>
  <c r="QO144" i="6"/>
  <c r="QO142" i="6"/>
  <c r="EF103" i="6"/>
  <c r="EF102" i="6"/>
  <c r="CE103" i="6"/>
  <c r="CE102" i="6"/>
  <c r="QB39" i="6"/>
  <c r="QB36" i="6" s="1"/>
  <c r="QC38" i="6"/>
  <c r="FS112" i="6"/>
  <c r="FS113" i="6"/>
  <c r="FS114" i="6" s="1"/>
  <c r="CE114" i="6"/>
  <c r="CE115" i="6"/>
  <c r="CE116" i="6" s="1"/>
  <c r="BW27" i="6"/>
  <c r="BW24" i="6"/>
  <c r="BW26" i="6"/>
  <c r="NW23" i="6"/>
  <c r="NX23" i="6" s="1"/>
  <c r="NW22" i="6"/>
  <c r="NW21" i="6" s="1"/>
  <c r="OX79" i="6"/>
  <c r="OX80" i="6"/>
  <c r="NR113" i="6"/>
  <c r="NR112" i="6"/>
  <c r="BI102" i="6"/>
  <c r="BI103" i="6"/>
  <c r="OH102" i="6"/>
  <c r="OH103" i="6"/>
  <c r="LS141" i="6"/>
  <c r="LS146" i="6"/>
  <c r="LI22" i="6"/>
  <c r="LI21" i="6" s="1"/>
  <c r="IW78" i="6"/>
  <c r="IV77" i="6"/>
  <c r="EQ23" i="6"/>
  <c r="ER23" i="6" s="1"/>
  <c r="EQ22" i="6"/>
  <c r="EQ21" i="6" s="1"/>
  <c r="OZ102" i="6"/>
  <c r="OZ103" i="6"/>
  <c r="MX37" i="6"/>
  <c r="MX36" i="6"/>
  <c r="OW34" i="6"/>
  <c r="OX35" i="6"/>
  <c r="OX34" i="6" s="1"/>
  <c r="AO113" i="6"/>
  <c r="AO112" i="6"/>
  <c r="DV144" i="6"/>
  <c r="DV142" i="6"/>
  <c r="KK112" i="6"/>
  <c r="KK113" i="6"/>
  <c r="NF100" i="6"/>
  <c r="NF101" i="6"/>
  <c r="BP36" i="6"/>
  <c r="BP37" i="6"/>
  <c r="BP35" i="6" s="1"/>
  <c r="OF83" i="6"/>
  <c r="PF143" i="6"/>
  <c r="PF140" i="6"/>
  <c r="PF147" i="6" s="1"/>
  <c r="PF139" i="6"/>
  <c r="PF151" i="6"/>
  <c r="BU102" i="6"/>
  <c r="BU103" i="6"/>
  <c r="LY103" i="6"/>
  <c r="LY102" i="6"/>
  <c r="EH144" i="6"/>
  <c r="EH142" i="6"/>
  <c r="ND114" i="6"/>
  <c r="ND115" i="6"/>
  <c r="ND116" i="6" s="1"/>
  <c r="LO22" i="6"/>
  <c r="LO21" i="6" s="1"/>
  <c r="MS23" i="6"/>
  <c r="MT23" i="6" s="1"/>
  <c r="MS22" i="6"/>
  <c r="MS21" i="6" s="1"/>
  <c r="CI22" i="6"/>
  <c r="CI21" i="6" s="1"/>
  <c r="II22" i="6"/>
  <c r="II21" i="6" s="1"/>
  <c r="AE22" i="6"/>
  <c r="AE21" i="6" s="1"/>
  <c r="BT23" i="6"/>
  <c r="BU23" i="6" s="1"/>
  <c r="BT22" i="6"/>
  <c r="BT21" i="6" s="1"/>
  <c r="JT22" i="6"/>
  <c r="JT21" i="6" s="1"/>
  <c r="JT23" i="6"/>
  <c r="JU23" i="6" s="1"/>
  <c r="FI23" i="6"/>
  <c r="FJ23" i="6" s="1"/>
  <c r="FI22" i="6"/>
  <c r="FI21" i="6" s="1"/>
  <c r="FD112" i="6"/>
  <c r="FD113" i="6"/>
  <c r="OT24" i="6"/>
  <c r="OT26" i="6"/>
  <c r="EP102" i="6"/>
  <c r="EP103" i="6"/>
  <c r="LS79" i="6"/>
  <c r="LS80" i="6"/>
  <c r="MT102" i="6"/>
  <c r="MT103" i="6"/>
  <c r="DF113" i="6"/>
  <c r="DF112" i="6"/>
  <c r="MN105" i="6"/>
  <c r="MN104" i="6"/>
  <c r="U112" i="6"/>
  <c r="U113" i="6"/>
  <c r="U114" i="6" s="1"/>
  <c r="AY142" i="6"/>
  <c r="AY144" i="6"/>
  <c r="QG105" i="6"/>
  <c r="QG104" i="6"/>
  <c r="KZ23" i="6"/>
  <c r="LA23" i="6" s="1"/>
  <c r="KZ22" i="6"/>
  <c r="KZ21" i="6" s="1"/>
  <c r="DF103" i="6"/>
  <c r="DF102" i="6"/>
  <c r="NX113" i="6"/>
  <c r="NX112" i="6"/>
  <c r="IA102" i="6"/>
  <c r="IA103" i="6"/>
  <c r="BC79" i="6"/>
  <c r="BC80" i="6"/>
  <c r="IE142" i="6"/>
  <c r="IE144" i="6"/>
  <c r="KQ142" i="6"/>
  <c r="KQ144" i="6"/>
  <c r="JQ102" i="6"/>
  <c r="JQ103" i="6"/>
  <c r="JQ104" i="6" s="1"/>
  <c r="HQ147" i="6"/>
  <c r="HQ141" i="6"/>
  <c r="CH23" i="6"/>
  <c r="CI23" i="6" s="1"/>
  <c r="CH22" i="6"/>
  <c r="CH21" i="6" s="1"/>
  <c r="OJ35" i="6"/>
  <c r="OJ34" i="6" s="1"/>
  <c r="OI34" i="6"/>
  <c r="FH113" i="6"/>
  <c r="FH112" i="6"/>
  <c r="KW113" i="6"/>
  <c r="KW112" i="6"/>
  <c r="DP112" i="6"/>
  <c r="DP113" i="6"/>
  <c r="PY103" i="6"/>
  <c r="PY102" i="6"/>
  <c r="HU142" i="6"/>
  <c r="HU144" i="6"/>
  <c r="CC103" i="6"/>
  <c r="CC102" i="6"/>
  <c r="IM115" i="6"/>
  <c r="IM116" i="6" s="1"/>
  <c r="IM114" i="6"/>
  <c r="OQ23" i="6"/>
  <c r="OR23" i="6" s="1"/>
  <c r="OQ22" i="6"/>
  <c r="OQ21" i="6" s="1"/>
  <c r="BK79" i="6"/>
  <c r="BK80" i="6"/>
  <c r="CM79" i="6"/>
  <c r="CM80" i="6"/>
  <c r="AU79" i="6"/>
  <c r="AU80" i="6"/>
  <c r="DN149" i="6"/>
  <c r="DN145" i="6"/>
  <c r="FK23" i="6"/>
  <c r="FL23" i="6" s="1"/>
  <c r="FK22" i="6"/>
  <c r="FK21" i="6" s="1"/>
  <c r="LY141" i="6"/>
  <c r="LY146" i="6"/>
  <c r="GR22" i="6"/>
  <c r="GR21" i="6" s="1"/>
  <c r="GR23" i="6"/>
  <c r="GS23" i="6" s="1"/>
  <c r="NB114" i="6"/>
  <c r="NB115" i="6"/>
  <c r="NB116" i="6" s="1"/>
  <c r="AM113" i="6"/>
  <c r="AM112" i="6"/>
  <c r="QO103" i="6"/>
  <c r="QO102" i="6"/>
  <c r="PB146" i="6"/>
  <c r="PB141" i="6"/>
  <c r="CG146" i="6"/>
  <c r="CG141" i="6"/>
  <c r="PM23" i="6"/>
  <c r="PN23" i="6" s="1"/>
  <c r="PM22" i="6"/>
  <c r="PM21" i="6" s="1"/>
  <c r="LA103" i="6"/>
  <c r="LA102" i="6"/>
  <c r="IS145" i="6"/>
  <c r="IS149" i="6"/>
  <c r="NF110" i="6"/>
  <c r="NF111" i="6"/>
  <c r="DN102" i="6"/>
  <c r="DN103" i="6"/>
  <c r="AX23" i="6"/>
  <c r="AY23" i="6" s="1"/>
  <c r="AX22" i="6"/>
  <c r="AX21" i="6" s="1"/>
  <c r="HR38" i="6"/>
  <c r="HR37" i="6" s="1"/>
  <c r="HR35" i="6" s="1"/>
  <c r="HS37" i="6"/>
  <c r="MG112" i="6"/>
  <c r="MG113" i="6"/>
  <c r="IQ144" i="6"/>
  <c r="IQ142" i="6"/>
  <c r="BU113" i="6"/>
  <c r="BU112" i="6"/>
  <c r="FZ23" i="6"/>
  <c r="GA23" i="6" s="1"/>
  <c r="FZ22" i="6"/>
  <c r="FZ21" i="6" s="1"/>
  <c r="KG22" i="6"/>
  <c r="KG21" i="6" s="1"/>
  <c r="P22" i="6"/>
  <c r="P21" i="6" s="1"/>
  <c r="P23" i="6"/>
  <c r="Q23" i="6" s="1"/>
  <c r="QL23" i="6"/>
  <c r="QM23" i="6" s="1"/>
  <c r="QL22" i="6"/>
  <c r="QL21" i="6" s="1"/>
  <c r="GJ23" i="6"/>
  <c r="GK23" i="6" s="1"/>
  <c r="GJ22" i="6"/>
  <c r="GJ21" i="6" s="1"/>
  <c r="OF22" i="6"/>
  <c r="OF21" i="6" s="1"/>
  <c r="R22" i="6"/>
  <c r="R21" i="6" s="1"/>
  <c r="R23" i="6"/>
  <c r="S23" i="6" s="1"/>
  <c r="OH144" i="6"/>
  <c r="OH142" i="6"/>
  <c r="FC37" i="6"/>
  <c r="FC35" i="6" s="1"/>
  <c r="FC36" i="6"/>
  <c r="HU24" i="6"/>
  <c r="HU26" i="6"/>
  <c r="HS140" i="6"/>
  <c r="HS109" i="6"/>
  <c r="HS99" i="6"/>
  <c r="HR85" i="6"/>
  <c r="HS88" i="6"/>
  <c r="HS89" i="6" s="1"/>
  <c r="HS92" i="6"/>
  <c r="HS93" i="6" s="1"/>
  <c r="QQ144" i="6"/>
  <c r="QQ142" i="6"/>
  <c r="HW113" i="6"/>
  <c r="HW112" i="6"/>
  <c r="PH114" i="6"/>
  <c r="PH115" i="6"/>
  <c r="PH116" i="6" s="1"/>
  <c r="OL105" i="6"/>
  <c r="OL104" i="6"/>
  <c r="PW113" i="6"/>
  <c r="PW112" i="6"/>
  <c r="BA144" i="6"/>
  <c r="BA142" i="6"/>
  <c r="PN144" i="6"/>
  <c r="PN142" i="6"/>
  <c r="MA24" i="6"/>
  <c r="MA29" i="6"/>
  <c r="MA26" i="6"/>
  <c r="MA27" i="6"/>
  <c r="MT113" i="6"/>
  <c r="MT114" i="6" s="1"/>
  <c r="MT112" i="6"/>
  <c r="IY102" i="6"/>
  <c r="IY103" i="6"/>
  <c r="CJ23" i="6"/>
  <c r="CK23" i="6" s="1"/>
  <c r="CJ22" i="6"/>
  <c r="CJ21" i="6" s="1"/>
  <c r="HS83" i="6"/>
  <c r="GS102" i="6"/>
  <c r="GS103" i="6"/>
  <c r="G36" i="6"/>
  <c r="G37" i="6"/>
  <c r="OJ24" i="6"/>
  <c r="OJ26" i="6"/>
  <c r="OQ36" i="6"/>
  <c r="OQ37" i="6"/>
  <c r="OQ35" i="6" s="1"/>
  <c r="PB113" i="6"/>
  <c r="PB112" i="6"/>
  <c r="DV103" i="6"/>
  <c r="DV102" i="6"/>
  <c r="KS144" i="6"/>
  <c r="KS142" i="6"/>
  <c r="CV112" i="6"/>
  <c r="CV113" i="6"/>
  <c r="OT27" i="6"/>
  <c r="KA102" i="6"/>
  <c r="KA103" i="6"/>
  <c r="BC113" i="6"/>
  <c r="BC112" i="6"/>
  <c r="CE144" i="6"/>
  <c r="CE142" i="6"/>
  <c r="BC24" i="6"/>
  <c r="BC26" i="6"/>
  <c r="MX102" i="6"/>
  <c r="MX103" i="6"/>
  <c r="AQ79" i="6"/>
  <c r="AQ80" i="6"/>
  <c r="OJ105" i="6"/>
  <c r="OJ104" i="6"/>
  <c r="PJ144" i="6"/>
  <c r="PJ142" i="6"/>
  <c r="EJ103" i="6"/>
  <c r="EJ102" i="6"/>
  <c r="GW113" i="6"/>
  <c r="GW112" i="6"/>
  <c r="OB113" i="6"/>
  <c r="OB112" i="6"/>
  <c r="DR37" i="6"/>
  <c r="KI103" i="6"/>
  <c r="KI102" i="6"/>
  <c r="HW142" i="6"/>
  <c r="HW144" i="6"/>
  <c r="AT23" i="6"/>
  <c r="AU23" i="6" s="1"/>
  <c r="AT22" i="6"/>
  <c r="AT21" i="6" s="1"/>
  <c r="DG23" i="6"/>
  <c r="DH23" i="6" s="1"/>
  <c r="DG22" i="6"/>
  <c r="DG21" i="6" s="1"/>
  <c r="OL79" i="6"/>
  <c r="OL80" i="6"/>
  <c r="LU112" i="6"/>
  <c r="LU113" i="6"/>
  <c r="QM144" i="6"/>
  <c r="QM142" i="6"/>
  <c r="IK113" i="6"/>
  <c r="IK112" i="6"/>
  <c r="OF79" i="6"/>
  <c r="OF80" i="6"/>
  <c r="BG103" i="6"/>
  <c r="BG102" i="6"/>
  <c r="HW37" i="6"/>
  <c r="HU113" i="6"/>
  <c r="HU112" i="6"/>
  <c r="CM143" i="6"/>
  <c r="CM151" i="6"/>
  <c r="CM140" i="6"/>
  <c r="CM147" i="6" s="1"/>
  <c r="CM139" i="6"/>
  <c r="NF147" i="6"/>
  <c r="NF141" i="6"/>
  <c r="BU79" i="6"/>
  <c r="BU80" i="6"/>
  <c r="OD104" i="6"/>
  <c r="HU27" i="6"/>
  <c r="JG22" i="6"/>
  <c r="JG21" i="6" s="1"/>
  <c r="AS22" i="6"/>
  <c r="AS21" i="6" s="1"/>
  <c r="MB22" i="6"/>
  <c r="MB21" i="6" s="1"/>
  <c r="MB23" i="6"/>
  <c r="MC23" i="6" s="1"/>
  <c r="KC22" i="6"/>
  <c r="KC21" i="6" s="1"/>
  <c r="NE23" i="6"/>
  <c r="NF23" i="6" s="1"/>
  <c r="NE22" i="6"/>
  <c r="NE21" i="6" s="1"/>
  <c r="PE22" i="6"/>
  <c r="PE21" i="6" s="1"/>
  <c r="PE23" i="6"/>
  <c r="PF23" i="6" s="1"/>
  <c r="HB23" i="6"/>
  <c r="HC23" i="6" s="1"/>
  <c r="HB22" i="6"/>
  <c r="HB21" i="6" s="1"/>
  <c r="HE102" i="6"/>
  <c r="HE103" i="6"/>
  <c r="JO103" i="6"/>
  <c r="JO104" i="6" s="1"/>
  <c r="JO102" i="6"/>
  <c r="LG145" i="6"/>
  <c r="LG149" i="6"/>
  <c r="QC112" i="6"/>
  <c r="QC113" i="6"/>
  <c r="EU23" i="6"/>
  <c r="EV23" i="6" s="1"/>
  <c r="EU22" i="6"/>
  <c r="EU21" i="6" s="1"/>
  <c r="DZ112" i="6"/>
  <c r="DZ113" i="6"/>
  <c r="FG23" i="6"/>
  <c r="FH23" i="6" s="1"/>
  <c r="FG22" i="6"/>
  <c r="FG21" i="6" s="1"/>
  <c r="PJ102" i="6"/>
  <c r="PJ103" i="6"/>
  <c r="OV144" i="6"/>
  <c r="OV142" i="6"/>
  <c r="FL102" i="6"/>
  <c r="FL103" i="6"/>
  <c r="JU112" i="6"/>
  <c r="JU113" i="6"/>
  <c r="ET103" i="6"/>
  <c r="ET102" i="6"/>
  <c r="DT102" i="6"/>
  <c r="DT103" i="6"/>
  <c r="AA103" i="6"/>
  <c r="AA104" i="6" s="1"/>
  <c r="AA102" i="6"/>
  <c r="ME113" i="6"/>
  <c r="ME112" i="6"/>
  <c r="KU22" i="6"/>
  <c r="KU21" i="6" s="1"/>
  <c r="QK113" i="6"/>
  <c r="QK112" i="6"/>
  <c r="EF113" i="6"/>
  <c r="EF112" i="6"/>
  <c r="DH113" i="6"/>
  <c r="DH112" i="6"/>
  <c r="JK103" i="6"/>
  <c r="JK102" i="6"/>
  <c r="KE102" i="6"/>
  <c r="KE103" i="6"/>
  <c r="GB23" i="6"/>
  <c r="GC23" i="6" s="1"/>
  <c r="GB22" i="6"/>
  <c r="GB21" i="6" s="1"/>
  <c r="EQ38" i="6"/>
  <c r="ER36" i="6"/>
  <c r="ER37" i="6"/>
  <c r="NC23" i="6"/>
  <c r="ND23" i="6" s="1"/>
  <c r="NC22" i="6"/>
  <c r="NC21" i="6" s="1"/>
  <c r="FM34" i="6"/>
  <c r="FN35" i="6"/>
  <c r="FN34" i="6" s="1"/>
  <c r="CI113" i="6"/>
  <c r="CI112" i="6"/>
  <c r="PL144" i="6"/>
  <c r="PL142" i="6"/>
  <c r="EI22" i="6"/>
  <c r="EI21" i="6" s="1"/>
  <c r="EI23" i="6"/>
  <c r="EJ23" i="6" s="1"/>
  <c r="BM79" i="6"/>
  <c r="BM80" i="6"/>
  <c r="MA113" i="6"/>
  <c r="MA112" i="6"/>
  <c r="LM37" i="6"/>
  <c r="BA79" i="6"/>
  <c r="BA80" i="6"/>
  <c r="DR36" i="6"/>
  <c r="BC105" i="6"/>
  <c r="BC104" i="6"/>
  <c r="GS144" i="6"/>
  <c r="GS142" i="6"/>
  <c r="KF23" i="6"/>
  <c r="KG23" i="6" s="1"/>
  <c r="KF22" i="6"/>
  <c r="KF21" i="6" s="1"/>
  <c r="JB115" i="6"/>
  <c r="JB116" i="6" s="1"/>
  <c r="JB114" i="6"/>
  <c r="NF26" i="6"/>
  <c r="NF31" i="6" s="1"/>
  <c r="DC23" i="6"/>
  <c r="DD23" i="6" s="1"/>
  <c r="DC22" i="6"/>
  <c r="DC21" i="6" s="1"/>
  <c r="GU101" i="6"/>
  <c r="GU100" i="6"/>
  <c r="QO113" i="6"/>
  <c r="QO112" i="6"/>
  <c r="EH102" i="6"/>
  <c r="EH103" i="6"/>
  <c r="HU35" i="6"/>
  <c r="HU34" i="6" s="1"/>
  <c r="HT34" i="6"/>
  <c r="AO103" i="6"/>
  <c r="AO102" i="6"/>
  <c r="AG102" i="6"/>
  <c r="AG103" i="6"/>
  <c r="DX144" i="6"/>
  <c r="DX142" i="6"/>
  <c r="AO79" i="6"/>
  <c r="AO80" i="6"/>
  <c r="OX102" i="6"/>
  <c r="OX103" i="6"/>
  <c r="NI23" i="6"/>
  <c r="NJ23" i="6" s="1"/>
  <c r="NI22" i="6"/>
  <c r="NI21" i="6" s="1"/>
  <c r="MG144" i="6"/>
  <c r="MG142" i="6"/>
  <c r="LV23" i="6"/>
  <c r="LW23" i="6" s="1"/>
  <c r="LV22" i="6"/>
  <c r="LV21" i="6" s="1"/>
  <c r="NL102" i="6"/>
  <c r="NL103" i="6"/>
  <c r="ML103" i="6"/>
  <c r="ML102" i="6"/>
  <c r="ON142" i="6"/>
  <c r="ON144" i="6"/>
  <c r="MV115" i="6"/>
  <c r="MV116" i="6" s="1"/>
  <c r="MV114" i="6"/>
  <c r="LX23" i="6"/>
  <c r="LY23" i="6" s="1"/>
  <c r="LX22" i="6"/>
  <c r="LX21" i="6" s="1"/>
  <c r="NN22" i="6"/>
  <c r="NN21" i="6" s="1"/>
  <c r="X23" i="6"/>
  <c r="Y23" i="6" s="1"/>
  <c r="X22" i="6"/>
  <c r="X21" i="6" s="1"/>
  <c r="V23" i="6"/>
  <c r="W23" i="6" s="1"/>
  <c r="V22" i="6"/>
  <c r="V21" i="6" s="1"/>
  <c r="LD23" i="6"/>
  <c r="LE23" i="6" s="1"/>
  <c r="LD22" i="6"/>
  <c r="LD21" i="6" s="1"/>
  <c r="OS23" i="6"/>
  <c r="OT23" i="6" s="1"/>
  <c r="OS22" i="6"/>
  <c r="OS21" i="6" s="1"/>
  <c r="BJ23" i="6"/>
  <c r="BK23" i="6" s="1"/>
  <c r="BJ22" i="6"/>
  <c r="BJ21" i="6" s="1"/>
  <c r="LZ22" i="6"/>
  <c r="LZ21" i="6" s="1"/>
  <c r="LZ23" i="6"/>
  <c r="MA23" i="6" s="1"/>
  <c r="HI144" i="6"/>
  <c r="HI142" i="6"/>
  <c r="PH102" i="6"/>
  <c r="PH103" i="6"/>
  <c r="EH113" i="6"/>
  <c r="EH112" i="6"/>
  <c r="BW142" i="6"/>
  <c r="BW144" i="6"/>
  <c r="OP113" i="6"/>
  <c r="OP112" i="6"/>
  <c r="KD23" i="6"/>
  <c r="KE23" i="6" s="1"/>
  <c r="KD22" i="6"/>
  <c r="KD21" i="6" s="1"/>
  <c r="ED78" i="6"/>
  <c r="DZ79" i="6"/>
  <c r="DZ80" i="6"/>
  <c r="OW23" i="6"/>
  <c r="OX23" i="6" s="1"/>
  <c r="OW22" i="6"/>
  <c r="OW21" i="6" s="1"/>
  <c r="EM23" i="6"/>
  <c r="EN23" i="6" s="1"/>
  <c r="EM22" i="6"/>
  <c r="EM21" i="6" s="1"/>
  <c r="EB79" i="6"/>
  <c r="EF78" i="6"/>
  <c r="EB80" i="6"/>
  <c r="AK100" i="6"/>
  <c r="AK101" i="6"/>
  <c r="NJ144" i="6"/>
  <c r="NJ142" i="6"/>
  <c r="LS102" i="6"/>
  <c r="LS103" i="6"/>
  <c r="NZ144" i="6"/>
  <c r="NZ142" i="6"/>
  <c r="EZ149" i="6"/>
  <c r="EZ145" i="6"/>
  <c r="OP79" i="6"/>
  <c r="OP80" i="6"/>
  <c r="NX102" i="6"/>
  <c r="NX103" i="6"/>
  <c r="NV142" i="6"/>
  <c r="NV144" i="6"/>
  <c r="MV26" i="6"/>
  <c r="MV31" i="6" s="1"/>
  <c r="JU102" i="6"/>
  <c r="JU103" i="6"/>
  <c r="KG103" i="6"/>
  <c r="KG102" i="6"/>
  <c r="LL35" i="6"/>
  <c r="AQ112" i="6"/>
  <c r="AQ113" i="6"/>
  <c r="HW35" i="6"/>
  <c r="HW34" i="6" s="1"/>
  <c r="HV34" i="6"/>
  <c r="AQ103" i="6"/>
  <c r="AQ102" i="6"/>
  <c r="BM109" i="6"/>
  <c r="BM99" i="6"/>
  <c r="BM88" i="6"/>
  <c r="BM89" i="6" s="1"/>
  <c r="BL85" i="6"/>
  <c r="BM140" i="6"/>
  <c r="BM92" i="6"/>
  <c r="BM93" i="6" s="1"/>
  <c r="OT103" i="6"/>
  <c r="OT102" i="6"/>
  <c r="HM113" i="6"/>
  <c r="HM112" i="6"/>
  <c r="HM142" i="6"/>
  <c r="HM144" i="6"/>
  <c r="BZ22" i="6"/>
  <c r="BZ21" i="6" s="1"/>
  <c r="BZ23" i="6"/>
  <c r="CA23" i="6" s="1"/>
  <c r="DF22" i="6"/>
  <c r="DF21" i="6" s="1"/>
  <c r="AS79" i="6"/>
  <c r="AS80" i="6"/>
  <c r="CQ27" i="6"/>
  <c r="CQ26" i="6"/>
  <c r="CQ24" i="6"/>
  <c r="HK113" i="6"/>
  <c r="HK112" i="6"/>
  <c r="DL103" i="6"/>
  <c r="DL102" i="6"/>
  <c r="BR34" i="6"/>
  <c r="BS35" i="6"/>
  <c r="BS34" i="6" s="1"/>
  <c r="BQ105" i="6"/>
  <c r="BQ104" i="6"/>
  <c r="BO103" i="6"/>
  <c r="BO102" i="6"/>
  <c r="IG149" i="6"/>
  <c r="IG145" i="6"/>
  <c r="HK103" i="6"/>
  <c r="HK102" i="6"/>
  <c r="FR27" i="6"/>
  <c r="FR26" i="6"/>
  <c r="FR24" i="6"/>
  <c r="BE37" i="6"/>
  <c r="GU111" i="6"/>
  <c r="GU110" i="6"/>
  <c r="KO37" i="6"/>
  <c r="GK103" i="6"/>
  <c r="GK102" i="6"/>
  <c r="OT113" i="6"/>
  <c r="OT112" i="6"/>
  <c r="KR23" i="6"/>
  <c r="KS23" i="6" s="1"/>
  <c r="KR22" i="6"/>
  <c r="KR21" i="6" s="1"/>
  <c r="AC36" i="6"/>
  <c r="AC37" i="6"/>
  <c r="BO24" i="6"/>
  <c r="BO26" i="6"/>
  <c r="KO113" i="6"/>
  <c r="KO112" i="6"/>
  <c r="KC144" i="6"/>
  <c r="KC142" i="6"/>
  <c r="DP22" i="6"/>
  <c r="DP21" i="6" s="1"/>
  <c r="OG23" i="6"/>
  <c r="OH23" i="6" s="1"/>
  <c r="OG22" i="6"/>
  <c r="OG21" i="6" s="1"/>
  <c r="M37" i="6"/>
  <c r="M36" i="6"/>
  <c r="J23" i="6"/>
  <c r="K23" i="6" s="1"/>
  <c r="J22" i="6"/>
  <c r="J21" i="6" s="1"/>
  <c r="BX22" i="6"/>
  <c r="BX21" i="6" s="1"/>
  <c r="BX23" i="6"/>
  <c r="BY23" i="6" s="1"/>
  <c r="ON22" i="6"/>
  <c r="ON21" i="6" s="1"/>
  <c r="MQ23" i="6"/>
  <c r="MR23" i="6" s="1"/>
  <c r="MQ22" i="6"/>
  <c r="MQ21" i="6" s="1"/>
  <c r="LS35" i="6" l="1"/>
  <c r="LS34" i="6" s="1"/>
  <c r="LR34" i="6"/>
  <c r="KK22" i="6"/>
  <c r="KK21" i="6" s="1"/>
  <c r="DS36" i="6"/>
  <c r="DS37" i="6"/>
  <c r="DI36" i="6"/>
  <c r="DI37" i="6"/>
  <c r="GA111" i="6"/>
  <c r="GA110" i="6"/>
  <c r="DG37" i="6"/>
  <c r="DG36" i="6"/>
  <c r="CU37" i="6"/>
  <c r="CU36" i="6"/>
  <c r="BA22" i="6"/>
  <c r="BA21" i="6" s="1"/>
  <c r="CF34" i="6"/>
  <c r="CG35" i="6"/>
  <c r="CG34" i="6" s="1"/>
  <c r="IN34" i="6"/>
  <c r="IO35" i="6"/>
  <c r="IO34" i="6" s="1"/>
  <c r="DW37" i="6"/>
  <c r="DW36" i="6"/>
  <c r="EK36" i="6"/>
  <c r="EK37" i="6"/>
  <c r="EK35" i="6" s="1"/>
  <c r="OU37" i="6"/>
  <c r="OU35" i="6" s="1"/>
  <c r="OU36" i="6"/>
  <c r="CW37" i="6"/>
  <c r="CW36" i="6"/>
  <c r="CH37" i="6"/>
  <c r="CH35" i="6" s="1"/>
  <c r="CH36" i="6"/>
  <c r="QG22" i="6"/>
  <c r="QG21" i="6" s="1"/>
  <c r="QP38" i="6"/>
  <c r="QP37" i="6" s="1"/>
  <c r="QP40" i="6" s="1"/>
  <c r="QQ37" i="6"/>
  <c r="QQ40" i="6" s="1"/>
  <c r="BE112" i="6"/>
  <c r="BE113" i="6"/>
  <c r="EW36" i="6"/>
  <c r="EW37" i="6"/>
  <c r="EW35" i="6" s="1"/>
  <c r="GA103" i="6"/>
  <c r="GA104" i="6" s="1"/>
  <c r="GA102" i="6"/>
  <c r="FA37" i="6"/>
  <c r="FA35" i="6" s="1"/>
  <c r="FA36" i="6"/>
  <c r="DX22" i="6"/>
  <c r="DX21" i="6" s="1"/>
  <c r="FK34" i="6"/>
  <c r="FL35" i="6"/>
  <c r="FL34" i="6" s="1"/>
  <c r="LV34" i="6"/>
  <c r="LW35" i="6"/>
  <c r="LW34" i="6" s="1"/>
  <c r="FI34" i="6"/>
  <c r="FJ35" i="6"/>
  <c r="FJ34" i="6" s="1"/>
  <c r="KM22" i="6"/>
  <c r="KM21" i="6" s="1"/>
  <c r="FH22" i="6"/>
  <c r="FH21" i="6" s="1"/>
  <c r="FF22" i="6"/>
  <c r="FF21" i="6" s="1"/>
  <c r="MA22" i="6"/>
  <c r="MA21" i="6" s="1"/>
  <c r="BW22" i="6"/>
  <c r="BW21" i="6" s="1"/>
  <c r="OY37" i="6"/>
  <c r="OY35" i="6" s="1"/>
  <c r="OY36" i="6"/>
  <c r="PK36" i="6"/>
  <c r="PK37" i="6"/>
  <c r="PK35" i="6" s="1"/>
  <c r="HU22" i="6"/>
  <c r="HU21" i="6" s="1"/>
  <c r="KI22" i="6"/>
  <c r="KI21" i="6" s="1"/>
  <c r="HQ22" i="6"/>
  <c r="HQ21" i="6" s="1"/>
  <c r="OJ22" i="6"/>
  <c r="OJ21" i="6" s="1"/>
  <c r="DT22" i="6"/>
  <c r="DT21" i="6" s="1"/>
  <c r="KA22" i="6"/>
  <c r="KA21" i="6" s="1"/>
  <c r="AY22" i="6"/>
  <c r="AY21" i="6" s="1"/>
  <c r="EZ35" i="6"/>
  <c r="EZ34" i="6" s="1"/>
  <c r="EY34" i="6"/>
  <c r="BS22" i="6"/>
  <c r="BS21" i="6" s="1"/>
  <c r="EN22" i="6"/>
  <c r="EN21" i="6" s="1"/>
  <c r="HE22" i="6"/>
  <c r="HE21" i="6" s="1"/>
  <c r="FY36" i="6"/>
  <c r="FY24" i="6"/>
  <c r="FY22" i="6" s="1"/>
  <c r="FY21" i="6" s="1"/>
  <c r="CZ22" i="6"/>
  <c r="CZ21" i="6" s="1"/>
  <c r="NH36" i="6"/>
  <c r="NH37" i="6"/>
  <c r="NH24" i="6"/>
  <c r="NH22" i="6" s="1"/>
  <c r="NH21" i="6" s="1"/>
  <c r="NB36" i="6"/>
  <c r="NB37" i="6"/>
  <c r="NB24" i="6"/>
  <c r="NB22" i="6" s="1"/>
  <c r="NB21" i="6" s="1"/>
  <c r="W36" i="6"/>
  <c r="W37" i="6"/>
  <c r="W24" i="6"/>
  <c r="W22" i="6" s="1"/>
  <c r="W21" i="6" s="1"/>
  <c r="AG37" i="6"/>
  <c r="AG36" i="6"/>
  <c r="AG24" i="6"/>
  <c r="AG22" i="6" s="1"/>
  <c r="AG21" i="6" s="1"/>
  <c r="MZ37" i="6"/>
  <c r="MZ36" i="6"/>
  <c r="MZ24" i="6"/>
  <c r="MZ22" i="6" s="1"/>
  <c r="MZ21" i="6" s="1"/>
  <c r="MV37" i="6"/>
  <c r="MV36" i="6"/>
  <c r="MV24" i="6"/>
  <c r="MV22" i="6" s="1"/>
  <c r="MV21" i="6" s="1"/>
  <c r="LO35" i="6"/>
  <c r="LO34" i="6" s="1"/>
  <c r="LN34" i="6"/>
  <c r="GQ37" i="6"/>
  <c r="GQ36" i="6"/>
  <c r="GQ24" i="6"/>
  <c r="GQ22" i="6" s="1"/>
  <c r="GQ21" i="6" s="1"/>
  <c r="FU37" i="6"/>
  <c r="FU36" i="6"/>
  <c r="FU24" i="6"/>
  <c r="FU22" i="6" s="1"/>
  <c r="FU21" i="6" s="1"/>
  <c r="GS37" i="6"/>
  <c r="GS36" i="6"/>
  <c r="GS24" i="6"/>
  <c r="GS22" i="6" s="1"/>
  <c r="GS21" i="6" s="1"/>
  <c r="O37" i="6"/>
  <c r="O36" i="6"/>
  <c r="O24" i="6"/>
  <c r="O22" i="6" s="1"/>
  <c r="O21" i="6" s="1"/>
  <c r="GA36" i="6"/>
  <c r="GA37" i="6"/>
  <c r="GA24" i="6"/>
  <c r="GA22" i="6" s="1"/>
  <c r="GA21" i="6" s="1"/>
  <c r="AQ36" i="6"/>
  <c r="AQ37" i="6"/>
  <c r="AQ24" i="6"/>
  <c r="AQ22" i="6" s="1"/>
  <c r="AQ21" i="6" s="1"/>
  <c r="GC36" i="6"/>
  <c r="GC37" i="6"/>
  <c r="GC24" i="6"/>
  <c r="GC22" i="6" s="1"/>
  <c r="GC21" i="6" s="1"/>
  <c r="AQ115" i="6"/>
  <c r="AQ116" i="6" s="1"/>
  <c r="AQ114" i="6"/>
  <c r="LS105" i="6"/>
  <c r="LS104" i="6"/>
  <c r="BW145" i="6"/>
  <c r="BW149" i="6"/>
  <c r="NF37" i="6"/>
  <c r="NF36" i="6"/>
  <c r="PL145" i="6"/>
  <c r="PL149" i="6"/>
  <c r="OB114" i="6"/>
  <c r="HW115" i="6"/>
  <c r="HW116" i="6" s="1"/>
  <c r="HW114" i="6"/>
  <c r="LY144" i="6"/>
  <c r="LY142" i="6"/>
  <c r="PY104" i="6"/>
  <c r="PY105" i="6"/>
  <c r="IC114" i="6"/>
  <c r="IC115" i="6"/>
  <c r="IC116" i="6" s="1"/>
  <c r="ET149" i="6"/>
  <c r="ET145" i="6"/>
  <c r="GQ142" i="6"/>
  <c r="GQ144" i="6"/>
  <c r="LI145" i="6"/>
  <c r="LI149" i="6"/>
  <c r="HY115" i="6"/>
  <c r="HY116" i="6" s="1"/>
  <c r="HY114" i="6"/>
  <c r="KC112" i="6"/>
  <c r="KC113" i="6"/>
  <c r="KO105" i="6"/>
  <c r="KO104" i="6"/>
  <c r="OV105" i="6"/>
  <c r="OV104" i="6"/>
  <c r="LC113" i="6"/>
  <c r="LC112" i="6"/>
  <c r="BY112" i="6"/>
  <c r="BY113" i="6"/>
  <c r="DA36" i="6"/>
  <c r="DA37" i="6"/>
  <c r="FD146" i="6"/>
  <c r="FD141" i="6"/>
  <c r="LC102" i="6"/>
  <c r="LC103" i="6"/>
  <c r="BS105" i="6"/>
  <c r="BS104" i="6"/>
  <c r="AI115" i="6"/>
  <c r="AI116" i="6" s="1"/>
  <c r="AI114" i="6"/>
  <c r="EG36" i="6"/>
  <c r="EG37" i="6"/>
  <c r="QC145" i="6"/>
  <c r="QC149" i="6"/>
  <c r="OR105" i="6"/>
  <c r="OR104" i="6"/>
  <c r="PD142" i="6"/>
  <c r="PD144" i="6"/>
  <c r="PW128" i="6"/>
  <c r="PW106" i="6"/>
  <c r="AI37" i="6"/>
  <c r="AI36" i="6"/>
  <c r="IW22" i="6"/>
  <c r="IW21" i="6" s="1"/>
  <c r="NL105" i="6"/>
  <c r="NL104" i="6"/>
  <c r="QK114" i="6"/>
  <c r="QK115" i="6"/>
  <c r="QK116" i="6" s="1"/>
  <c r="DZ114" i="6"/>
  <c r="DZ115" i="6"/>
  <c r="DZ116" i="6" s="1"/>
  <c r="IY104" i="6"/>
  <c r="IY105" i="6"/>
  <c r="IS150" i="6"/>
  <c r="IS152" i="6"/>
  <c r="IS153" i="6" s="1"/>
  <c r="DP115" i="6"/>
  <c r="DP116" i="6" s="1"/>
  <c r="DP114" i="6"/>
  <c r="IA105" i="6"/>
  <c r="IA104" i="6"/>
  <c r="DV145" i="6"/>
  <c r="DV149" i="6"/>
  <c r="QO149" i="6"/>
  <c r="QO145" i="6"/>
  <c r="LY114" i="6"/>
  <c r="LY115" i="6"/>
  <c r="LY116" i="6" s="1"/>
  <c r="CV105" i="6"/>
  <c r="CV104" i="6"/>
  <c r="AY113" i="6"/>
  <c r="AY112" i="6"/>
  <c r="NB128" i="6"/>
  <c r="NB106" i="6"/>
  <c r="BA113" i="6"/>
  <c r="BA112" i="6"/>
  <c r="BA102" i="6"/>
  <c r="BA103" i="6"/>
  <c r="QG115" i="6"/>
  <c r="QG116" i="6" s="1"/>
  <c r="QG114" i="6"/>
  <c r="NP105" i="6"/>
  <c r="NP104" i="6"/>
  <c r="NX79" i="6"/>
  <c r="OB78" i="6"/>
  <c r="NX80" i="6"/>
  <c r="KQ105" i="6"/>
  <c r="KQ104" i="6"/>
  <c r="LA115" i="6"/>
  <c r="LA116" i="6" s="1"/>
  <c r="LA114" i="6"/>
  <c r="JS105" i="6"/>
  <c r="JS104" i="6"/>
  <c r="LI79" i="6"/>
  <c r="LI80" i="6"/>
  <c r="PP104" i="6"/>
  <c r="PP105" i="6"/>
  <c r="OZ114" i="6"/>
  <c r="OZ115" i="6"/>
  <c r="OZ116" i="6" s="1"/>
  <c r="DV115" i="6"/>
  <c r="DV116" i="6" s="1"/>
  <c r="DV114" i="6"/>
  <c r="CM105" i="6"/>
  <c r="CM104" i="6"/>
  <c r="ND152" i="6"/>
  <c r="ND153" i="6" s="1"/>
  <c r="ND150" i="6"/>
  <c r="NT115" i="6"/>
  <c r="NT116" i="6" s="1"/>
  <c r="NT114" i="6"/>
  <c r="ER152" i="6"/>
  <c r="ER153" i="6" s="1"/>
  <c r="ER150" i="6"/>
  <c r="NV149" i="6"/>
  <c r="NV145" i="6"/>
  <c r="OT114" i="6"/>
  <c r="OT115" i="6"/>
  <c r="OT116" i="6" s="1"/>
  <c r="KC149" i="6"/>
  <c r="KC145" i="6"/>
  <c r="LM35" i="6"/>
  <c r="LM34" i="6" s="1"/>
  <c r="LL34" i="6"/>
  <c r="CI115" i="6"/>
  <c r="CI116" i="6" s="1"/>
  <c r="CI114" i="6"/>
  <c r="GW115" i="6"/>
  <c r="GW116" i="6" s="1"/>
  <c r="GW114" i="6"/>
  <c r="CV115" i="6"/>
  <c r="CV116" i="6" s="1"/>
  <c r="CV114" i="6"/>
  <c r="QQ149" i="6"/>
  <c r="QQ145" i="6"/>
  <c r="NR115" i="6"/>
  <c r="NR116" i="6" s="1"/>
  <c r="NR114" i="6"/>
  <c r="IE114" i="6"/>
  <c r="IE115" i="6"/>
  <c r="IE116" i="6" s="1"/>
  <c r="IO105" i="6"/>
  <c r="IO104" i="6"/>
  <c r="IK35" i="6"/>
  <c r="IK34" i="6" s="1"/>
  <c r="IJ34" i="6"/>
  <c r="KA145" i="6"/>
  <c r="KA149" i="6"/>
  <c r="PD128" i="6"/>
  <c r="PD106" i="6"/>
  <c r="EZ115" i="6"/>
  <c r="EZ116" i="6" s="1"/>
  <c r="EZ114" i="6"/>
  <c r="CC142" i="6"/>
  <c r="CC144" i="6"/>
  <c r="FB114" i="6"/>
  <c r="FB115" i="6"/>
  <c r="FB116" i="6" s="1"/>
  <c r="EN105" i="6"/>
  <c r="EN104" i="6"/>
  <c r="MC111" i="6"/>
  <c r="MC110" i="6"/>
  <c r="IO150" i="6"/>
  <c r="IO152" i="6"/>
  <c r="IO153" i="6" s="1"/>
  <c r="HU105" i="6"/>
  <c r="HU104" i="6"/>
  <c r="QI104" i="6"/>
  <c r="QI105" i="6"/>
  <c r="BO35" i="6"/>
  <c r="BO34" i="6" s="1"/>
  <c r="BN34" i="6"/>
  <c r="LG22" i="6"/>
  <c r="LG21" i="6" s="1"/>
  <c r="IS105" i="6"/>
  <c r="IS104" i="6"/>
  <c r="OJ145" i="6"/>
  <c r="OJ149" i="6"/>
  <c r="DT114" i="6"/>
  <c r="DT115" i="6"/>
  <c r="DT116" i="6" s="1"/>
  <c r="LW144" i="6"/>
  <c r="LW142" i="6"/>
  <c r="LI35" i="6"/>
  <c r="LI34" i="6" s="1"/>
  <c r="LH34" i="6"/>
  <c r="HE150" i="6"/>
  <c r="HE152" i="6"/>
  <c r="HE153" i="6" s="1"/>
  <c r="BS145" i="6"/>
  <c r="BS149" i="6"/>
  <c r="PU145" i="6"/>
  <c r="PU149" i="6"/>
  <c r="LU22" i="6"/>
  <c r="LU21" i="6" s="1"/>
  <c r="BU22" i="6"/>
  <c r="BU21" i="6" s="1"/>
  <c r="JS22" i="6"/>
  <c r="JS21" i="6" s="1"/>
  <c r="HS22" i="6"/>
  <c r="HS21" i="6" s="1"/>
  <c r="HK105" i="6"/>
  <c r="HK104" i="6"/>
  <c r="NJ149" i="6"/>
  <c r="NJ145" i="6"/>
  <c r="EH114" i="6"/>
  <c r="DX145" i="6"/>
  <c r="DX149" i="6"/>
  <c r="IK114" i="6"/>
  <c r="IK115" i="6"/>
  <c r="IK116" i="6" s="1"/>
  <c r="EP105" i="6"/>
  <c r="EP104" i="6"/>
  <c r="AO115" i="6"/>
  <c r="AO116" i="6" s="1"/>
  <c r="AO114" i="6"/>
  <c r="NP114" i="6"/>
  <c r="NP115" i="6"/>
  <c r="NP116" i="6" s="1"/>
  <c r="IA149" i="6"/>
  <c r="IA145" i="6"/>
  <c r="ME146" i="6"/>
  <c r="ME141" i="6"/>
  <c r="NZ115" i="6"/>
  <c r="NZ116" i="6" s="1"/>
  <c r="NZ114" i="6"/>
  <c r="LA150" i="6"/>
  <c r="LA152" i="6"/>
  <c r="LA153" i="6" s="1"/>
  <c r="DD105" i="6"/>
  <c r="DD104" i="6"/>
  <c r="MC100" i="6"/>
  <c r="MC101" i="6"/>
  <c r="NJ128" i="6"/>
  <c r="NJ106" i="6"/>
  <c r="DN114" i="6"/>
  <c r="DN115" i="6"/>
  <c r="DN116" i="6" s="1"/>
  <c r="ET114" i="6"/>
  <c r="ET115" i="6"/>
  <c r="ET116" i="6" s="1"/>
  <c r="FJ105" i="6"/>
  <c r="FJ104" i="6"/>
  <c r="Q104" i="6"/>
  <c r="Q105" i="6"/>
  <c r="NP145" i="6"/>
  <c r="NP149" i="6"/>
  <c r="LK79" i="6"/>
  <c r="LK80" i="6"/>
  <c r="IX34" i="6"/>
  <c r="IY35" i="6"/>
  <c r="IY34" i="6" s="1"/>
  <c r="BC152" i="6"/>
  <c r="BC153" i="6" s="1"/>
  <c r="BC150" i="6"/>
  <c r="MZ104" i="6"/>
  <c r="MZ105" i="6"/>
  <c r="FN104" i="6"/>
  <c r="FN105" i="6"/>
  <c r="LO103" i="6"/>
  <c r="LO102" i="6"/>
  <c r="AQ149" i="6"/>
  <c r="AQ145" i="6"/>
  <c r="IM149" i="6"/>
  <c r="IM145" i="6"/>
  <c r="AE105" i="6"/>
  <c r="AE104" i="6"/>
  <c r="BM22" i="6"/>
  <c r="BM21" i="6" s="1"/>
  <c r="HM145" i="6"/>
  <c r="HM149" i="6"/>
  <c r="KG105" i="6"/>
  <c r="KG104" i="6"/>
  <c r="AK103" i="6"/>
  <c r="AK102" i="6"/>
  <c r="PH105" i="6"/>
  <c r="PH104" i="6"/>
  <c r="AG104" i="6"/>
  <c r="AG105" i="6"/>
  <c r="ME115" i="6"/>
  <c r="ME116" i="6" s="1"/>
  <c r="ME114" i="6"/>
  <c r="EJ104" i="6"/>
  <c r="LA105" i="6"/>
  <c r="LA104" i="6"/>
  <c r="DN152" i="6"/>
  <c r="DN153" i="6" s="1"/>
  <c r="DN150" i="6"/>
  <c r="KW114" i="6"/>
  <c r="KW115" i="6"/>
  <c r="KW116" i="6" s="1"/>
  <c r="NX114" i="6"/>
  <c r="NX115" i="6"/>
  <c r="NX116" i="6" s="1"/>
  <c r="EH149" i="6"/>
  <c r="EH145" i="6"/>
  <c r="LG79" i="6"/>
  <c r="LG80" i="6"/>
  <c r="KY105" i="6"/>
  <c r="KY104" i="6"/>
  <c r="AW115" i="6"/>
  <c r="AW116" i="6" s="1"/>
  <c r="AW114" i="6"/>
  <c r="NR150" i="6"/>
  <c r="NR152" i="6"/>
  <c r="NR153" i="6" s="1"/>
  <c r="CK104" i="6"/>
  <c r="CK105" i="6"/>
  <c r="KG115" i="6"/>
  <c r="KG116" i="6" s="1"/>
  <c r="KG114" i="6"/>
  <c r="EV114" i="6"/>
  <c r="EV115" i="6"/>
  <c r="EV116" i="6" s="1"/>
  <c r="KK105" i="6"/>
  <c r="KK104" i="6"/>
  <c r="IQ105" i="6"/>
  <c r="IQ104" i="6"/>
  <c r="ER115" i="6"/>
  <c r="ER116" i="6" s="1"/>
  <c r="ER114" i="6"/>
  <c r="IK149" i="6"/>
  <c r="IK145" i="6"/>
  <c r="HC115" i="6"/>
  <c r="HC116" i="6" s="1"/>
  <c r="HC114" i="6"/>
  <c r="BK149" i="6"/>
  <c r="BK145" i="6"/>
  <c r="PN105" i="6"/>
  <c r="PN104" i="6"/>
  <c r="BI114" i="6"/>
  <c r="BI115" i="6"/>
  <c r="BI116" i="6" s="1"/>
  <c r="QA115" i="6"/>
  <c r="QA116" i="6" s="1"/>
  <c r="QA114" i="6"/>
  <c r="NT149" i="6"/>
  <c r="NT145" i="6"/>
  <c r="NV102" i="6"/>
  <c r="NV103" i="6"/>
  <c r="IY115" i="6"/>
  <c r="IY116" i="6" s="1"/>
  <c r="IY114" i="6"/>
  <c r="PS152" i="6"/>
  <c r="PS153" i="6" s="1"/>
  <c r="PS150" i="6"/>
  <c r="CA152" i="6"/>
  <c r="CA153" i="6" s="1"/>
  <c r="CA150" i="6"/>
  <c r="IK104" i="6"/>
  <c r="IK105" i="6"/>
  <c r="CX104" i="6"/>
  <c r="CX105" i="6"/>
  <c r="BK22" i="6"/>
  <c r="BK21" i="6" s="1"/>
  <c r="EH104" i="6"/>
  <c r="QC115" i="6"/>
  <c r="QC116" i="6" s="1"/>
  <c r="QC114" i="6"/>
  <c r="QM145" i="6"/>
  <c r="QM149" i="6"/>
  <c r="KS145" i="6"/>
  <c r="KS149" i="6"/>
  <c r="CB34" i="6"/>
  <c r="CC35" i="6"/>
  <c r="CC34" i="6" s="1"/>
  <c r="DL152" i="6"/>
  <c r="DL153" i="6" s="1"/>
  <c r="DL150" i="6"/>
  <c r="LG35" i="6"/>
  <c r="LG34" i="6" s="1"/>
  <c r="LF34" i="6"/>
  <c r="GO128" i="6"/>
  <c r="GO106" i="6"/>
  <c r="GW149" i="6"/>
  <c r="GW145" i="6"/>
  <c r="LQ144" i="6"/>
  <c r="LQ142" i="6"/>
  <c r="CQ105" i="6"/>
  <c r="CQ104" i="6"/>
  <c r="PS105" i="6"/>
  <c r="PS104" i="6"/>
  <c r="MR133" i="6"/>
  <c r="MR134" i="6" s="1"/>
  <c r="MR129" i="6"/>
  <c r="LU145" i="6"/>
  <c r="LU149" i="6"/>
  <c r="NX145" i="6"/>
  <c r="NX149" i="6"/>
  <c r="LM149" i="6"/>
  <c r="LM145" i="6"/>
  <c r="FN115" i="6"/>
  <c r="FN116" i="6" s="1"/>
  <c r="FN114" i="6"/>
  <c r="KG152" i="6"/>
  <c r="KG153" i="6" s="1"/>
  <c r="KG150" i="6"/>
  <c r="PN115" i="6"/>
  <c r="PN116" i="6" s="1"/>
  <c r="PN114" i="6"/>
  <c r="EJ114" i="6"/>
  <c r="QA104" i="6"/>
  <c r="QA105" i="6"/>
  <c r="DT145" i="6"/>
  <c r="DT149" i="6"/>
  <c r="GU144" i="6"/>
  <c r="GU142" i="6"/>
  <c r="GM114" i="6"/>
  <c r="GM115" i="6"/>
  <c r="GM116" i="6" s="1"/>
  <c r="AW104" i="6"/>
  <c r="AW105" i="6"/>
  <c r="FL114" i="6"/>
  <c r="FL115" i="6"/>
  <c r="FL116" i="6" s="1"/>
  <c r="HY145" i="6"/>
  <c r="HY149" i="6"/>
  <c r="BI150" i="6"/>
  <c r="BI152" i="6"/>
  <c r="BI153" i="6" s="1"/>
  <c r="DX114" i="6"/>
  <c r="DX115" i="6"/>
  <c r="DX116" i="6" s="1"/>
  <c r="FF105" i="6"/>
  <c r="FF104" i="6"/>
  <c r="EP145" i="6"/>
  <c r="EP149" i="6"/>
  <c r="PJ115" i="6"/>
  <c r="PJ116" i="6" s="1"/>
  <c r="PJ114" i="6"/>
  <c r="NH105" i="6"/>
  <c r="NH104" i="6"/>
  <c r="CQ145" i="6"/>
  <c r="CQ149" i="6"/>
  <c r="IW149" i="6"/>
  <c r="IW145" i="6"/>
  <c r="HI105" i="6"/>
  <c r="HI104" i="6"/>
  <c r="NX104" i="6"/>
  <c r="NX105" i="6"/>
  <c r="KO115" i="6"/>
  <c r="KO116" i="6" s="1"/>
  <c r="KO114" i="6"/>
  <c r="IG152" i="6"/>
  <c r="IG153" i="6" s="1"/>
  <c r="IG150" i="6"/>
  <c r="JU105" i="6"/>
  <c r="JU104" i="6"/>
  <c r="BO22" i="6"/>
  <c r="BO21" i="6" s="1"/>
  <c r="ON145" i="6"/>
  <c r="ON149" i="6"/>
  <c r="GS149" i="6"/>
  <c r="GS145" i="6"/>
  <c r="LU114" i="6"/>
  <c r="LU115" i="6"/>
  <c r="LU116" i="6" s="1"/>
  <c r="PJ145" i="6"/>
  <c r="PJ149" i="6"/>
  <c r="HS100" i="6"/>
  <c r="HS101" i="6"/>
  <c r="FH115" i="6"/>
  <c r="FH116" i="6" s="1"/>
  <c r="FH114" i="6"/>
  <c r="DF104" i="6"/>
  <c r="DF105" i="6"/>
  <c r="OT22" i="6"/>
  <c r="OT21" i="6" s="1"/>
  <c r="LY105" i="6"/>
  <c r="LY104" i="6"/>
  <c r="FH143" i="6"/>
  <c r="FH139" i="6"/>
  <c r="FH140" i="6"/>
  <c r="FH147" i="6" s="1"/>
  <c r="FH151" i="6"/>
  <c r="CD36" i="6"/>
  <c r="CD37" i="6"/>
  <c r="CD35" i="6" s="1"/>
  <c r="QG145" i="6"/>
  <c r="QG149" i="6"/>
  <c r="CO114" i="6"/>
  <c r="CO115" i="6"/>
  <c r="CO116" i="6" s="1"/>
  <c r="LE113" i="6"/>
  <c r="LE112" i="6"/>
  <c r="II144" i="6"/>
  <c r="II142" i="6"/>
  <c r="AM145" i="6"/>
  <c r="AM149" i="6"/>
  <c r="JD114" i="6"/>
  <c r="JD115" i="6"/>
  <c r="JD116" i="6" s="1"/>
  <c r="LE102" i="6"/>
  <c r="LE103" i="6"/>
  <c r="CZ112" i="6"/>
  <c r="CZ113" i="6"/>
  <c r="DP149" i="6"/>
  <c r="DP145" i="6"/>
  <c r="DB104" i="6"/>
  <c r="DB105" i="6"/>
  <c r="HM104" i="6"/>
  <c r="HM105" i="6"/>
  <c r="KA115" i="6"/>
  <c r="KA116" i="6" s="1"/>
  <c r="KA114" i="6"/>
  <c r="KE114" i="6"/>
  <c r="KE115" i="6"/>
  <c r="KE116" i="6" s="1"/>
  <c r="IS114" i="6"/>
  <c r="IS115" i="6"/>
  <c r="IS116" i="6" s="1"/>
  <c r="EV145" i="6"/>
  <c r="EV149" i="6"/>
  <c r="JD22" i="6"/>
  <c r="JD21" i="6" s="1"/>
  <c r="MN114" i="6"/>
  <c r="MN115" i="6"/>
  <c r="MN116" i="6" s="1"/>
  <c r="GY104" i="6"/>
  <c r="GY105" i="6"/>
  <c r="JY104" i="6"/>
  <c r="JY105" i="6"/>
  <c r="AU105" i="6"/>
  <c r="AU104" i="6"/>
  <c r="DR22" i="6"/>
  <c r="DR21" i="6" s="1"/>
  <c r="HM114" i="6"/>
  <c r="HM115" i="6"/>
  <c r="HM116" i="6" s="1"/>
  <c r="EJ78" i="6"/>
  <c r="EJ115" i="6" s="1"/>
  <c r="EJ116" i="6" s="1"/>
  <c r="EF79" i="6"/>
  <c r="EF80" i="6"/>
  <c r="HI149" i="6"/>
  <c r="HI145" i="6"/>
  <c r="AO105" i="6"/>
  <c r="AO104" i="6"/>
  <c r="DT104" i="6"/>
  <c r="DT105" i="6"/>
  <c r="LG150" i="6"/>
  <c r="LG152" i="6"/>
  <c r="LG153" i="6" s="1"/>
  <c r="DV105" i="6"/>
  <c r="DV104" i="6"/>
  <c r="HS110" i="6"/>
  <c r="HS111" i="6"/>
  <c r="CG144" i="6"/>
  <c r="CG142" i="6"/>
  <c r="FD114" i="6"/>
  <c r="FD115" i="6"/>
  <c r="FD116" i="6" s="1"/>
  <c r="BU105" i="6"/>
  <c r="BU104" i="6"/>
  <c r="FD105" i="6"/>
  <c r="FD104" i="6"/>
  <c r="DH105" i="6"/>
  <c r="DH104" i="6"/>
  <c r="IO114" i="6"/>
  <c r="IO115" i="6"/>
  <c r="IO116" i="6" s="1"/>
  <c r="IE105" i="6"/>
  <c r="IE104" i="6"/>
  <c r="IH34" i="6"/>
  <c r="II35" i="6"/>
  <c r="II34" i="6" s="1"/>
  <c r="MG128" i="6"/>
  <c r="MG106" i="6"/>
  <c r="JK115" i="6"/>
  <c r="JK116" i="6" s="1"/>
  <c r="JK114" i="6"/>
  <c r="KI149" i="6"/>
  <c r="KI145" i="6"/>
  <c r="DZ104" i="6"/>
  <c r="DZ105" i="6"/>
  <c r="AS149" i="6"/>
  <c r="AS145" i="6"/>
  <c r="FJ114" i="6"/>
  <c r="FJ115" i="6"/>
  <c r="FJ116" i="6" s="1"/>
  <c r="DZ145" i="6"/>
  <c r="DZ149" i="6"/>
  <c r="NJ114" i="6"/>
  <c r="NJ115" i="6"/>
  <c r="NJ116" i="6" s="1"/>
  <c r="OX150" i="6"/>
  <c r="OX152" i="6"/>
  <c r="OX153" i="6" s="1"/>
  <c r="IU147" i="6"/>
  <c r="IU141" i="6"/>
  <c r="CC114" i="6"/>
  <c r="CC115" i="6"/>
  <c r="CC116" i="6" s="1"/>
  <c r="AO145" i="6"/>
  <c r="AO149" i="6"/>
  <c r="FE34" i="6"/>
  <c r="FF35" i="6"/>
  <c r="FF34" i="6" s="1"/>
  <c r="OL149" i="6"/>
  <c r="OL145" i="6"/>
  <c r="LO113" i="6"/>
  <c r="LO112" i="6"/>
  <c r="AC115" i="6"/>
  <c r="AC116" i="6" s="1"/>
  <c r="AC114" i="6"/>
  <c r="JW104" i="6"/>
  <c r="JW105" i="6"/>
  <c r="QI115" i="6"/>
  <c r="QI116" i="6" s="1"/>
  <c r="QI114" i="6"/>
  <c r="BC128" i="6"/>
  <c r="BC106" i="6"/>
  <c r="OJ128" i="6"/>
  <c r="OJ106" i="6"/>
  <c r="HS147" i="6"/>
  <c r="HS141" i="6"/>
  <c r="BU115" i="6"/>
  <c r="BU116" i="6" s="1"/>
  <c r="BU114" i="6"/>
  <c r="OZ105" i="6"/>
  <c r="OZ104" i="6"/>
  <c r="HO114" i="6"/>
  <c r="HO115" i="6"/>
  <c r="HO116" i="6" s="1"/>
  <c r="HA105" i="6"/>
  <c r="HA104" i="6"/>
  <c r="HQ102" i="6"/>
  <c r="HQ103" i="6"/>
  <c r="EO34" i="6"/>
  <c r="EP35" i="6"/>
  <c r="EP34" i="6" s="1"/>
  <c r="KS112" i="6"/>
  <c r="KS113" i="6"/>
  <c r="CG104" i="6"/>
  <c r="CG105" i="6"/>
  <c r="PM36" i="6"/>
  <c r="PM37" i="6"/>
  <c r="PM35" i="6" s="1"/>
  <c r="LQ35" i="6"/>
  <c r="LQ34" i="6" s="1"/>
  <c r="LP34" i="6"/>
  <c r="CS145" i="6"/>
  <c r="CS149" i="6"/>
  <c r="KU104" i="6"/>
  <c r="KU105" i="6"/>
  <c r="BY144" i="6"/>
  <c r="BY142" i="6"/>
  <c r="IC105" i="6"/>
  <c r="IC104" i="6"/>
  <c r="PD115" i="6"/>
  <c r="PD116" i="6" s="1"/>
  <c r="PD114" i="6"/>
  <c r="OD114" i="6"/>
  <c r="KM105" i="6"/>
  <c r="KM104" i="6"/>
  <c r="QQ114" i="6"/>
  <c r="QQ115" i="6"/>
  <c r="QQ116" i="6" s="1"/>
  <c r="IG105" i="6"/>
  <c r="IG104" i="6"/>
  <c r="GO37" i="6"/>
  <c r="GO36" i="6"/>
  <c r="FW104" i="6"/>
  <c r="FW105" i="6"/>
  <c r="BG149" i="6"/>
  <c r="BG145" i="6"/>
  <c r="CO105" i="6"/>
  <c r="CO104" i="6"/>
  <c r="AO36" i="6"/>
  <c r="AO37" i="6"/>
  <c r="JY22" i="6"/>
  <c r="JY21" i="6" s="1"/>
  <c r="ML104" i="6"/>
  <c r="ML105" i="6"/>
  <c r="EQ36" i="6"/>
  <c r="EQ37" i="6"/>
  <c r="EQ35" i="6" s="1"/>
  <c r="NF142" i="6"/>
  <c r="NF144" i="6"/>
  <c r="PB115" i="6"/>
  <c r="PB116" i="6" s="1"/>
  <c r="PB114" i="6"/>
  <c r="PB142" i="6"/>
  <c r="PB144" i="6"/>
  <c r="ED105" i="6"/>
  <c r="ED104" i="6"/>
  <c r="CR37" i="6"/>
  <c r="CR35" i="6" s="1"/>
  <c r="CR36" i="6"/>
  <c r="LK149" i="6"/>
  <c r="LK145" i="6"/>
  <c r="GQ112" i="6"/>
  <c r="GQ113" i="6"/>
  <c r="AC104" i="6"/>
  <c r="AC105" i="6"/>
  <c r="GQ103" i="6"/>
  <c r="GQ102" i="6"/>
  <c r="LQ79" i="6"/>
  <c r="LQ80" i="6"/>
  <c r="GK114" i="6"/>
  <c r="GK115" i="6"/>
  <c r="GK116" i="6" s="1"/>
  <c r="LK35" i="6"/>
  <c r="LK34" i="6" s="1"/>
  <c r="LJ34" i="6"/>
  <c r="OR22" i="6"/>
  <c r="OR21" i="6" s="1"/>
  <c r="NT105" i="6"/>
  <c r="NT104" i="6"/>
  <c r="NV112" i="6"/>
  <c r="NV113" i="6"/>
  <c r="AS105" i="6"/>
  <c r="AS104" i="6"/>
  <c r="JO110" i="6"/>
  <c r="JO111" i="6"/>
  <c r="LK114" i="6"/>
  <c r="LK115" i="6"/>
  <c r="LK116" i="6" s="1"/>
  <c r="QK105" i="6"/>
  <c r="QK104" i="6"/>
  <c r="GI128" i="6"/>
  <c r="GI106" i="6"/>
  <c r="HG103" i="6"/>
  <c r="HG102" i="6"/>
  <c r="EN145" i="6"/>
  <c r="EN149" i="6"/>
  <c r="JD105" i="6"/>
  <c r="JD104" i="6"/>
  <c r="DJ115" i="6"/>
  <c r="DJ116" i="6" s="1"/>
  <c r="DJ114" i="6"/>
  <c r="IQ115" i="6"/>
  <c r="IQ116" i="6" s="1"/>
  <c r="IQ114" i="6"/>
  <c r="PB104" i="6"/>
  <c r="PB105" i="6"/>
  <c r="ET105" i="6"/>
  <c r="ET104" i="6"/>
  <c r="OR35" i="6"/>
  <c r="OR34" i="6" s="1"/>
  <c r="OQ34" i="6"/>
  <c r="PN149" i="6"/>
  <c r="PN145" i="6"/>
  <c r="IQ149" i="6"/>
  <c r="IQ145" i="6"/>
  <c r="QG128" i="6"/>
  <c r="QG106" i="6"/>
  <c r="PF141" i="6"/>
  <c r="PF146" i="6"/>
  <c r="LO145" i="6"/>
  <c r="LO149" i="6"/>
  <c r="QH38" i="6"/>
  <c r="QH37" i="6" s="1"/>
  <c r="QH40" i="6" s="1"/>
  <c r="QI37" i="6"/>
  <c r="QI40" i="6" s="1"/>
  <c r="CK141" i="6"/>
  <c r="CK146" i="6"/>
  <c r="BZ37" i="6"/>
  <c r="BZ35" i="6" s="1"/>
  <c r="BZ36" i="6"/>
  <c r="PY149" i="6"/>
  <c r="PY145" i="6"/>
  <c r="LB34" i="6"/>
  <c r="LC35" i="6"/>
  <c r="LC34" i="6" s="1"/>
  <c r="AY103" i="6"/>
  <c r="AY102" i="6"/>
  <c r="FP105" i="6"/>
  <c r="FP104" i="6"/>
  <c r="KU149" i="6"/>
  <c r="KU145" i="6"/>
  <c r="NZ104" i="6"/>
  <c r="NZ105" i="6"/>
  <c r="GC112" i="6"/>
  <c r="GC113" i="6"/>
  <c r="GC114" i="6" s="1"/>
  <c r="HA114" i="6"/>
  <c r="HA115" i="6"/>
  <c r="HA116" i="6" s="1"/>
  <c r="IU100" i="6"/>
  <c r="IU101" i="6"/>
  <c r="JY115" i="6"/>
  <c r="JY116" i="6" s="1"/>
  <c r="JY114" i="6"/>
  <c r="OX115" i="6"/>
  <c r="OX116" i="6" s="1"/>
  <c r="OX114" i="6"/>
  <c r="AU115" i="6"/>
  <c r="AU116" i="6" s="1"/>
  <c r="AU114" i="6"/>
  <c r="ND128" i="6"/>
  <c r="ND106" i="6"/>
  <c r="OP104" i="6"/>
  <c r="OP105" i="6"/>
  <c r="PU114" i="6"/>
  <c r="PU115" i="6"/>
  <c r="PU116" i="6" s="1"/>
  <c r="JU114" i="6"/>
  <c r="JU115" i="6"/>
  <c r="JU116" i="6" s="1"/>
  <c r="HE105" i="6"/>
  <c r="HE104" i="6"/>
  <c r="CM141" i="6"/>
  <c r="CM146" i="6"/>
  <c r="MX104" i="6"/>
  <c r="MX105" i="6"/>
  <c r="MG115" i="6"/>
  <c r="MG116" i="6" s="1"/>
  <c r="MG114" i="6"/>
  <c r="HQ144" i="6"/>
  <c r="HQ142" i="6"/>
  <c r="AY145" i="6"/>
  <c r="AY149" i="6"/>
  <c r="ME105" i="6"/>
  <c r="ME104" i="6"/>
  <c r="ON102" i="6"/>
  <c r="ON103" i="6"/>
  <c r="HE115" i="6"/>
  <c r="HE116" i="6" s="1"/>
  <c r="HE114" i="6"/>
  <c r="BW115" i="6"/>
  <c r="BW116" i="6" s="1"/>
  <c r="BW114" i="6"/>
  <c r="LS114" i="6"/>
  <c r="LS115" i="6"/>
  <c r="LS116" i="6" s="1"/>
  <c r="HG145" i="6"/>
  <c r="HG149" i="6"/>
  <c r="AG115" i="6"/>
  <c r="AG116" i="6" s="1"/>
  <c r="AG114" i="6"/>
  <c r="LC79" i="6"/>
  <c r="LC80" i="6"/>
  <c r="NL149" i="6"/>
  <c r="NL145" i="6"/>
  <c r="EF22" i="6"/>
  <c r="EF21" i="6" s="1"/>
  <c r="NZ79" i="6"/>
  <c r="OD78" i="6"/>
  <c r="OD115" i="6" s="1"/>
  <c r="OD116" i="6" s="1"/>
  <c r="NZ80" i="6"/>
  <c r="IK22" i="6"/>
  <c r="IK21" i="6" s="1"/>
  <c r="MC141" i="6"/>
  <c r="MC146" i="6"/>
  <c r="QM105" i="6"/>
  <c r="QM104" i="6"/>
  <c r="PX38" i="6"/>
  <c r="PX37" i="6" s="1"/>
  <c r="PX40" i="6" s="1"/>
  <c r="PY37" i="6"/>
  <c r="PY40" i="6" s="1"/>
  <c r="DJ149" i="6"/>
  <c r="DJ145" i="6"/>
  <c r="AW145" i="6"/>
  <c r="AW149" i="6"/>
  <c r="IU111" i="6"/>
  <c r="IU110" i="6"/>
  <c r="FH105" i="6"/>
  <c r="FH104" i="6"/>
  <c r="CS105" i="6"/>
  <c r="CS104" i="6"/>
  <c r="BE105" i="6"/>
  <c r="BE104" i="6"/>
  <c r="QI145" i="6"/>
  <c r="QI149" i="6"/>
  <c r="W113" i="6"/>
  <c r="W114" i="6" s="1"/>
  <c r="W112" i="6"/>
  <c r="LS22" i="6"/>
  <c r="LS21" i="6" s="1"/>
  <c r="HO22" i="6"/>
  <c r="HO21" i="6" s="1"/>
  <c r="BQ128" i="6"/>
  <c r="BQ106" i="6"/>
  <c r="KE105" i="6"/>
  <c r="KE104" i="6"/>
  <c r="BA149" i="6"/>
  <c r="BA145" i="6"/>
  <c r="FC34" i="6"/>
  <c r="FD35" i="6"/>
  <c r="FD34" i="6" s="1"/>
  <c r="QO104" i="6"/>
  <c r="QO105" i="6"/>
  <c r="OR115" i="6"/>
  <c r="OR116" i="6" s="1"/>
  <c r="OR114" i="6"/>
  <c r="DR149" i="6"/>
  <c r="DR145" i="6"/>
  <c r="HW105" i="6"/>
  <c r="HW104" i="6"/>
  <c r="NH114" i="6"/>
  <c r="NH115" i="6"/>
  <c r="NH116" i="6" s="1"/>
  <c r="ON112" i="6"/>
  <c r="ON113" i="6"/>
  <c r="LE150" i="6"/>
  <c r="LE152" i="6"/>
  <c r="LE153" i="6" s="1"/>
  <c r="II112" i="6"/>
  <c r="II113" i="6"/>
  <c r="LQ22" i="6"/>
  <c r="LQ21" i="6" s="1"/>
  <c r="IA114" i="6"/>
  <c r="IA115" i="6"/>
  <c r="IA116" i="6" s="1"/>
  <c r="DL22" i="6"/>
  <c r="DL21" i="6" s="1"/>
  <c r="EB115" i="6"/>
  <c r="EB116" i="6" s="1"/>
  <c r="EB114" i="6"/>
  <c r="BK115" i="6"/>
  <c r="BK116" i="6" s="1"/>
  <c r="BK114" i="6"/>
  <c r="PP149" i="6"/>
  <c r="PP145" i="6"/>
  <c r="Q115" i="6"/>
  <c r="Q116" i="6" s="1"/>
  <c r="Q114" i="6"/>
  <c r="AM104" i="6"/>
  <c r="AM105" i="6"/>
  <c r="LW105" i="6"/>
  <c r="LW104" i="6"/>
  <c r="BW105" i="6"/>
  <c r="BW104" i="6"/>
  <c r="AE115" i="6"/>
  <c r="AE116" i="6" s="1"/>
  <c r="AE114" i="6"/>
  <c r="FP114" i="6"/>
  <c r="FP115" i="6"/>
  <c r="FP116" i="6" s="1"/>
  <c r="BY102" i="6"/>
  <c r="BY103" i="6"/>
  <c r="FB144" i="6"/>
  <c r="FB142" i="6"/>
  <c r="KO145" i="6"/>
  <c r="KO149" i="6"/>
  <c r="PP115" i="6"/>
  <c r="PP116" i="6" s="1"/>
  <c r="PP114" i="6"/>
  <c r="NH149" i="6"/>
  <c r="NH145" i="6"/>
  <c r="KW104" i="6"/>
  <c r="KW105" i="6"/>
  <c r="IC145" i="6"/>
  <c r="IC149" i="6"/>
  <c r="JW114" i="6"/>
  <c r="JW115" i="6"/>
  <c r="JW116" i="6" s="1"/>
  <c r="ED152" i="6"/>
  <c r="ED153" i="6" s="1"/>
  <c r="ED150" i="6"/>
  <c r="PT23" i="6"/>
  <c r="PU23" i="6" s="1"/>
  <c r="PT22" i="6"/>
  <c r="PT21" i="6" s="1"/>
  <c r="QO115" i="6"/>
  <c r="QO116" i="6" s="1"/>
  <c r="QO114" i="6"/>
  <c r="IW79" i="6"/>
  <c r="IW80" i="6"/>
  <c r="IF34" i="6"/>
  <c r="IG35" i="6"/>
  <c r="IG34" i="6" s="1"/>
  <c r="PU27" i="6"/>
  <c r="PU24" i="6"/>
  <c r="PU26" i="6"/>
  <c r="MJ104" i="6"/>
  <c r="MJ105" i="6"/>
  <c r="OT145" i="6"/>
  <c r="OT149" i="6"/>
  <c r="DL115" i="6"/>
  <c r="DL116" i="6" s="1"/>
  <c r="DL114" i="6"/>
  <c r="HC150" i="6"/>
  <c r="HC152" i="6"/>
  <c r="HC153" i="6" s="1"/>
  <c r="CI106" i="6"/>
  <c r="CI128" i="6"/>
  <c r="DB115" i="6"/>
  <c r="DB116" i="6" s="1"/>
  <c r="DB114" i="6"/>
  <c r="QA149" i="6"/>
  <c r="QA145" i="6"/>
  <c r="CZ103" i="6"/>
  <c r="CZ102" i="6"/>
  <c r="KM149" i="6"/>
  <c r="KM145" i="6"/>
  <c r="OF147" i="6"/>
  <c r="OF141" i="6"/>
  <c r="OD152" i="6"/>
  <c r="OD153" i="6" s="1"/>
  <c r="OD150" i="6"/>
  <c r="LU105" i="6"/>
  <c r="LU104" i="6"/>
  <c r="NR105" i="6"/>
  <c r="NR104" i="6"/>
  <c r="MA104" i="6"/>
  <c r="MA105" i="6"/>
  <c r="PE37" i="6"/>
  <c r="PE35" i="6" s="1"/>
  <c r="PE36" i="6"/>
  <c r="DJ105" i="6"/>
  <c r="DJ104" i="6"/>
  <c r="EB152" i="6"/>
  <c r="EB153" i="6" s="1"/>
  <c r="EB150" i="6"/>
  <c r="EZ105" i="6"/>
  <c r="EZ104" i="6"/>
  <c r="GS115" i="6"/>
  <c r="GS116" i="6" s="1"/>
  <c r="GS114" i="6"/>
  <c r="KM115" i="6"/>
  <c r="KM116" i="6" s="1"/>
  <c r="KM114" i="6"/>
  <c r="NN150" i="6"/>
  <c r="NN152" i="6"/>
  <c r="NN153" i="6" s="1"/>
  <c r="BM147" i="6"/>
  <c r="BM141" i="6"/>
  <c r="GK105" i="6"/>
  <c r="GK104" i="6"/>
  <c r="BC22" i="6"/>
  <c r="BC21" i="6" s="1"/>
  <c r="PW115" i="6"/>
  <c r="PW116" i="6" s="1"/>
  <c r="PW114" i="6"/>
  <c r="BQ35" i="6"/>
  <c r="BQ34" i="6" s="1"/>
  <c r="BP34" i="6"/>
  <c r="QB38" i="6"/>
  <c r="QB37" i="6" s="1"/>
  <c r="QB40" i="6" s="1"/>
  <c r="QC37" i="6"/>
  <c r="QC40" i="6" s="1"/>
  <c r="LE79" i="6"/>
  <c r="LE80" i="6"/>
  <c r="PU104" i="6"/>
  <c r="PU105" i="6"/>
  <c r="PL115" i="6"/>
  <c r="PL116" i="6" s="1"/>
  <c r="PL114" i="6"/>
  <c r="QQ104" i="6"/>
  <c r="QQ105" i="6"/>
  <c r="EP115" i="6"/>
  <c r="EP116" i="6" s="1"/>
  <c r="EP114" i="6"/>
  <c r="MV105" i="6"/>
  <c r="MV104" i="6"/>
  <c r="LQ113" i="6"/>
  <c r="LQ112" i="6"/>
  <c r="QM114" i="6"/>
  <c r="QM115" i="6"/>
  <c r="QM116" i="6" s="1"/>
  <c r="KY145" i="6"/>
  <c r="KY149" i="6"/>
  <c r="HO149" i="6"/>
  <c r="HO145" i="6"/>
  <c r="PT38" i="6"/>
  <c r="PT37" i="6" s="1"/>
  <c r="PT40" i="6" s="1"/>
  <c r="PU37" i="6"/>
  <c r="PU40" i="6" s="1"/>
  <c r="AK149" i="6"/>
  <c r="AK145" i="6"/>
  <c r="DP105" i="6"/>
  <c r="DP104" i="6"/>
  <c r="LG115" i="6"/>
  <c r="LG116" i="6" s="1"/>
  <c r="AI105" i="6"/>
  <c r="AI104" i="6"/>
  <c r="GW105" i="6"/>
  <c r="GW104" i="6"/>
  <c r="LW115" i="6"/>
  <c r="LW116" i="6" s="1"/>
  <c r="LW114" i="6"/>
  <c r="PS114" i="6"/>
  <c r="PS115" i="6"/>
  <c r="PS116" i="6" s="1"/>
  <c r="OL115" i="6"/>
  <c r="OL116" i="6" s="1"/>
  <c r="OL114" i="6"/>
  <c r="OB149" i="6"/>
  <c r="OB145" i="6"/>
  <c r="BQ115" i="6"/>
  <c r="BQ116" i="6" s="1"/>
  <c r="BQ114" i="6"/>
  <c r="HO104" i="6"/>
  <c r="HO105" i="6"/>
  <c r="ER105" i="6"/>
  <c r="ER104" i="6"/>
  <c r="BS114" i="6"/>
  <c r="BS115" i="6"/>
  <c r="BS116" i="6" s="1"/>
  <c r="AK113" i="6"/>
  <c r="AK112" i="6"/>
  <c r="NP22" i="6"/>
  <c r="NP21" i="6" s="1"/>
  <c r="PY22" i="6"/>
  <c r="PY21" i="6" s="1"/>
  <c r="DL105" i="6"/>
  <c r="DL104" i="6"/>
  <c r="FL104" i="6"/>
  <c r="FL105" i="6"/>
  <c r="HK115" i="6"/>
  <c r="HK116" i="6" s="1"/>
  <c r="HK114" i="6"/>
  <c r="BM110" i="6"/>
  <c r="BM111" i="6"/>
  <c r="EH78" i="6"/>
  <c r="EH115" i="6" s="1"/>
  <c r="EH116" i="6" s="1"/>
  <c r="ED79" i="6"/>
  <c r="ED80" i="6"/>
  <c r="MG145" i="6"/>
  <c r="MG149" i="6"/>
  <c r="GU102" i="6"/>
  <c r="GU103" i="6"/>
  <c r="JK105" i="6"/>
  <c r="JK104" i="6"/>
  <c r="KQ145" i="6"/>
  <c r="KQ149" i="6"/>
  <c r="LD34" i="6"/>
  <c r="LE35" i="6"/>
  <c r="LE34" i="6" s="1"/>
  <c r="DR115" i="6"/>
  <c r="DR116" i="6" s="1"/>
  <c r="DR114" i="6"/>
  <c r="AU149" i="6"/>
  <c r="AU145" i="6"/>
  <c r="IW114" i="6"/>
  <c r="IW115" i="6"/>
  <c r="IW116" i="6" s="1"/>
  <c r="BQ145" i="6"/>
  <c r="BQ149" i="6"/>
  <c r="QC104" i="6"/>
  <c r="QC105" i="6"/>
  <c r="EL149" i="6"/>
  <c r="EL145" i="6"/>
  <c r="NN105" i="6"/>
  <c r="NN104" i="6"/>
  <c r="ED115" i="6"/>
  <c r="ED116" i="6" s="1"/>
  <c r="ED114" i="6"/>
  <c r="NN115" i="6"/>
  <c r="NN116" i="6" s="1"/>
  <c r="NN114" i="6"/>
  <c r="FJ137" i="6"/>
  <c r="HK145" i="6"/>
  <c r="HK149" i="6"/>
  <c r="EN115" i="6"/>
  <c r="EN116" i="6" s="1"/>
  <c r="EN114" i="6"/>
  <c r="BU150" i="6"/>
  <c r="BU152" i="6"/>
  <c r="BU153" i="6" s="1"/>
  <c r="GM105" i="6"/>
  <c r="GM104" i="6"/>
  <c r="KW150" i="6"/>
  <c r="KW152" i="6"/>
  <c r="KW153" i="6" s="1"/>
  <c r="OP145" i="6"/>
  <c r="OP149" i="6"/>
  <c r="CA104" i="6"/>
  <c r="CA105" i="6"/>
  <c r="EX115" i="6"/>
  <c r="EX116" i="6" s="1"/>
  <c r="EX114" i="6"/>
  <c r="IM128" i="6"/>
  <c r="IM106" i="6"/>
  <c r="OR149" i="6"/>
  <c r="OR145" i="6"/>
  <c r="PY115" i="6"/>
  <c r="PY116" i="6" s="1"/>
  <c r="PY114" i="6"/>
  <c r="CQ22" i="6"/>
  <c r="CQ21" i="6" s="1"/>
  <c r="OV149" i="6"/>
  <c r="OV145" i="6"/>
  <c r="HU115" i="6"/>
  <c r="HU116" i="6" s="1"/>
  <c r="HU114" i="6"/>
  <c r="CE149" i="6"/>
  <c r="CE145" i="6"/>
  <c r="GS105" i="6"/>
  <c r="GS104" i="6"/>
  <c r="OL128" i="6"/>
  <c r="OL106" i="6"/>
  <c r="CC104" i="6"/>
  <c r="CC105" i="6"/>
  <c r="MN128" i="6"/>
  <c r="MN129" i="6" s="1"/>
  <c r="MN106" i="6"/>
  <c r="NF102" i="6"/>
  <c r="NF103" i="6"/>
  <c r="LS144" i="6"/>
  <c r="LS142" i="6"/>
  <c r="ON35" i="6"/>
  <c r="ON34" i="6" s="1"/>
  <c r="OM34" i="6"/>
  <c r="KE152" i="6"/>
  <c r="KE153" i="6" s="1"/>
  <c r="KE150" i="6"/>
  <c r="BO114" i="6"/>
  <c r="BO115" i="6"/>
  <c r="BO116" i="6" s="1"/>
  <c r="KU114" i="6"/>
  <c r="KU115" i="6"/>
  <c r="KU116" i="6" s="1"/>
  <c r="EL104" i="6"/>
  <c r="EL105" i="6"/>
  <c r="QK152" i="6"/>
  <c r="QK153" i="6" s="1"/>
  <c r="QK150" i="6"/>
  <c r="EF145" i="6"/>
  <c r="EF149" i="6"/>
  <c r="LC149" i="6"/>
  <c r="LC145" i="6"/>
  <c r="FF115" i="6"/>
  <c r="FF116" i="6" s="1"/>
  <c r="FF114" i="6"/>
  <c r="OF100" i="6"/>
  <c r="OF101" i="6"/>
  <c r="KI114" i="6"/>
  <c r="KI115" i="6"/>
  <c r="KI116" i="6" s="1"/>
  <c r="JB27" i="6"/>
  <c r="JB22" i="6"/>
  <c r="JB21" i="6" s="1"/>
  <c r="PH144" i="6"/>
  <c r="PH142" i="6"/>
  <c r="CS115" i="6"/>
  <c r="CS116" i="6" s="1"/>
  <c r="CS114" i="6"/>
  <c r="CM115" i="6"/>
  <c r="CM116" i="6" s="1"/>
  <c r="CM114" i="6"/>
  <c r="BQ22" i="6"/>
  <c r="BQ21" i="6" s="1"/>
  <c r="HG113" i="6"/>
  <c r="HG112" i="6"/>
  <c r="BO149" i="6"/>
  <c r="BO145" i="6"/>
  <c r="AS114" i="6"/>
  <c r="AS115" i="6"/>
  <c r="AS116" i="6" s="1"/>
  <c r="IC22" i="6"/>
  <c r="IC21" i="6" s="1"/>
  <c r="MA115" i="6"/>
  <c r="MA116" i="6" s="1"/>
  <c r="MA114" i="6"/>
  <c r="OH149" i="6"/>
  <c r="OH145" i="6"/>
  <c r="GU113" i="6"/>
  <c r="GU112" i="6"/>
  <c r="AQ105" i="6"/>
  <c r="AQ104" i="6"/>
  <c r="EZ150" i="6"/>
  <c r="EZ152" i="6"/>
  <c r="EZ153" i="6" s="1"/>
  <c r="DH115" i="6"/>
  <c r="DH116" i="6" s="1"/>
  <c r="DH114" i="6"/>
  <c r="PJ105" i="6"/>
  <c r="PJ104" i="6"/>
  <c r="KI105" i="6"/>
  <c r="KI104" i="6"/>
  <c r="DN104" i="6"/>
  <c r="DN105" i="6"/>
  <c r="HU149" i="6"/>
  <c r="HU145" i="6"/>
  <c r="IE145" i="6"/>
  <c r="IE149" i="6"/>
  <c r="OH104" i="6"/>
  <c r="OH105" i="6"/>
  <c r="CE105" i="6"/>
  <c r="CE104" i="6"/>
  <c r="HQ113" i="6"/>
  <c r="HQ112" i="6"/>
  <c r="LG105" i="6"/>
  <c r="LG104" i="6"/>
  <c r="CA115" i="6"/>
  <c r="CA116" i="6" s="1"/>
  <c r="CA114" i="6"/>
  <c r="BL36" i="6"/>
  <c r="BL37" i="6"/>
  <c r="BL35" i="6" s="1"/>
  <c r="IG115" i="6"/>
  <c r="IG116" i="6" s="1"/>
  <c r="IG114" i="6"/>
  <c r="CG115" i="6"/>
  <c r="CG116" i="6" s="1"/>
  <c r="CG114" i="6"/>
  <c r="DR105" i="6"/>
  <c r="DR104" i="6"/>
  <c r="FB104" i="6"/>
  <c r="FB105" i="6"/>
  <c r="OF111" i="6"/>
  <c r="OF110" i="6"/>
  <c r="LQ103" i="6"/>
  <c r="LQ102" i="6"/>
  <c r="LK105" i="6"/>
  <c r="LK104" i="6"/>
  <c r="KQ115" i="6"/>
  <c r="KQ116" i="6" s="1"/>
  <c r="KQ114" i="6"/>
  <c r="BK105" i="6"/>
  <c r="BK104" i="6"/>
  <c r="KK152" i="6"/>
  <c r="KK153" i="6" s="1"/>
  <c r="KK150" i="6"/>
  <c r="DX104" i="6"/>
  <c r="DX105" i="6"/>
  <c r="OH115" i="6"/>
  <c r="OH116" i="6" s="1"/>
  <c r="OH114" i="6"/>
  <c r="LI104" i="6"/>
  <c r="LI105" i="6"/>
  <c r="OP35" i="6"/>
  <c r="OP34" i="6" s="1"/>
  <c r="OO34" i="6"/>
  <c r="PL128" i="6"/>
  <c r="PL106" i="6"/>
  <c r="OP22" i="6"/>
  <c r="OP21" i="6" s="1"/>
  <c r="BO104" i="6"/>
  <c r="BO105" i="6"/>
  <c r="OT104" i="6"/>
  <c r="OT105" i="6"/>
  <c r="HS35" i="6"/>
  <c r="HS34" i="6" s="1"/>
  <c r="HR34" i="6"/>
  <c r="OX104" i="6"/>
  <c r="OX105" i="6"/>
  <c r="BC114" i="6"/>
  <c r="BC115" i="6"/>
  <c r="BC116" i="6" s="1"/>
  <c r="DF114" i="6"/>
  <c r="DF115" i="6"/>
  <c r="DF116" i="6" s="1"/>
  <c r="KK115" i="6"/>
  <c r="KK116" i="6" s="1"/>
  <c r="KK114" i="6"/>
  <c r="OZ146" i="6"/>
  <c r="OZ141" i="6"/>
  <c r="CO143" i="6"/>
  <c r="CO139" i="6"/>
  <c r="CO151" i="6"/>
  <c r="CO140" i="6"/>
  <c r="CO147" i="6" s="1"/>
  <c r="IW105" i="6"/>
  <c r="IW104" i="6"/>
  <c r="LO79" i="6"/>
  <c r="LO80" i="6"/>
  <c r="MX115" i="6"/>
  <c r="MX116" i="6" s="1"/>
  <c r="MX114" i="6"/>
  <c r="EV105" i="6"/>
  <c r="EV104" i="6"/>
  <c r="KC103" i="6"/>
  <c r="KC102" i="6"/>
  <c r="EX149" i="6"/>
  <c r="EX145" i="6"/>
  <c r="MA142" i="6"/>
  <c r="MA144" i="6"/>
  <c r="PW149" i="6"/>
  <c r="PW145" i="6"/>
  <c r="CI144" i="6"/>
  <c r="CI142" i="6"/>
  <c r="FF146" i="6"/>
  <c r="FF141" i="6"/>
  <c r="BG115" i="6"/>
  <c r="BG116" i="6" s="1"/>
  <c r="BG114" i="6"/>
  <c r="PF100" i="6"/>
  <c r="PF101" i="6"/>
  <c r="MC35" i="6"/>
  <c r="MC34" i="6" s="1"/>
  <c r="MB34" i="6"/>
  <c r="CX114" i="6"/>
  <c r="CX115" i="6"/>
  <c r="CX116" i="6" s="1"/>
  <c r="EX104" i="6"/>
  <c r="EX105" i="6"/>
  <c r="MP133" i="6"/>
  <c r="MP134" i="6" s="1"/>
  <c r="MP129" i="6"/>
  <c r="AI24" i="6"/>
  <c r="AI22" i="6" s="1"/>
  <c r="AI21" i="6" s="1"/>
  <c r="BM101" i="6"/>
  <c r="BM100" i="6"/>
  <c r="HW149" i="6"/>
  <c r="HW145" i="6"/>
  <c r="AM114" i="6"/>
  <c r="AM115" i="6"/>
  <c r="AM116" i="6" s="1"/>
  <c r="FR23" i="6"/>
  <c r="FS23" i="6" s="1"/>
  <c r="FR22" i="6"/>
  <c r="FR21" i="6" s="1"/>
  <c r="NZ149" i="6"/>
  <c r="NZ145" i="6"/>
  <c r="OP114" i="6"/>
  <c r="OP115" i="6"/>
  <c r="OP116" i="6" s="1"/>
  <c r="NF24" i="6"/>
  <c r="NF22" i="6" s="1"/>
  <c r="NF21" i="6" s="1"/>
  <c r="EF114" i="6"/>
  <c r="EF115" i="6"/>
  <c r="EF116" i="6" s="1"/>
  <c r="BG105" i="6"/>
  <c r="BG104" i="6"/>
  <c r="KA104" i="6"/>
  <c r="KA105" i="6"/>
  <c r="NF113" i="6"/>
  <c r="NF112" i="6"/>
  <c r="MT105" i="6"/>
  <c r="MT104" i="6"/>
  <c r="BI105" i="6"/>
  <c r="BI104" i="6"/>
  <c r="EF105" i="6"/>
  <c r="EF104" i="6"/>
  <c r="FG37" i="6"/>
  <c r="FG35" i="6" s="1"/>
  <c r="FG36" i="6"/>
  <c r="LM104" i="6"/>
  <c r="LM105" i="6"/>
  <c r="EB105" i="6"/>
  <c r="EB104" i="6"/>
  <c r="OB104" i="6"/>
  <c r="OB105" i="6"/>
  <c r="EJ149" i="6"/>
  <c r="EJ145" i="6"/>
  <c r="JB104" i="6"/>
  <c r="JB105" i="6"/>
  <c r="KS102" i="6"/>
  <c r="KS103" i="6"/>
  <c r="DD114" i="6"/>
  <c r="DD115" i="6"/>
  <c r="DD116" i="6" s="1"/>
  <c r="II103" i="6"/>
  <c r="II102" i="6"/>
  <c r="HY104" i="6"/>
  <c r="HY105" i="6"/>
  <c r="LM79" i="6"/>
  <c r="LM80" i="6"/>
  <c r="BE145" i="6"/>
  <c r="BE149" i="6"/>
  <c r="IY145" i="6"/>
  <c r="IY149" i="6"/>
  <c r="PF111" i="6"/>
  <c r="PF110" i="6"/>
  <c r="HC105" i="6"/>
  <c r="HC104" i="6"/>
  <c r="EL114" i="6"/>
  <c r="EL115" i="6"/>
  <c r="EL116" i="6" s="1"/>
  <c r="OV115" i="6"/>
  <c r="OV116" i="6" s="1"/>
  <c r="OV114" i="6"/>
  <c r="MZ115" i="6"/>
  <c r="MZ116" i="6" s="1"/>
  <c r="MZ114" i="6"/>
  <c r="BI22" i="6"/>
  <c r="BI21" i="6" s="1"/>
  <c r="OU34" i="6" l="1"/>
  <c r="OV35" i="6"/>
  <c r="OV34" i="6" s="1"/>
  <c r="EK34" i="6"/>
  <c r="EL35" i="6"/>
  <c r="EL34" i="6" s="1"/>
  <c r="FA34" i="6"/>
  <c r="FB35" i="6"/>
  <c r="FB34" i="6" s="1"/>
  <c r="EX35" i="6"/>
  <c r="EX34" i="6" s="1"/>
  <c r="EW34" i="6"/>
  <c r="BE114" i="6"/>
  <c r="BE115" i="6"/>
  <c r="BE116" i="6" s="1"/>
  <c r="GA112" i="6"/>
  <c r="GA113" i="6"/>
  <c r="GA114" i="6" s="1"/>
  <c r="CH34" i="6"/>
  <c r="CI35" i="6"/>
  <c r="CI34" i="6" s="1"/>
  <c r="PL35" i="6"/>
  <c r="PL34" i="6" s="1"/>
  <c r="PK34" i="6"/>
  <c r="OZ35" i="6"/>
  <c r="OZ34" i="6" s="1"/>
  <c r="OY34" i="6"/>
  <c r="PU22" i="6"/>
  <c r="PU21" i="6" s="1"/>
  <c r="KI152" i="6"/>
  <c r="KI153" i="6" s="1"/>
  <c r="KI150" i="6"/>
  <c r="NZ150" i="6"/>
  <c r="NZ152" i="6"/>
  <c r="NZ153" i="6" s="1"/>
  <c r="GM128" i="6"/>
  <c r="GM106" i="6"/>
  <c r="OB152" i="6"/>
  <c r="OB153" i="6" s="1"/>
  <c r="OB150" i="6"/>
  <c r="HO152" i="6"/>
  <c r="HO153" i="6" s="1"/>
  <c r="HO150" i="6"/>
  <c r="IU113" i="6"/>
  <c r="IU112" i="6"/>
  <c r="MX128" i="6"/>
  <c r="MX106" i="6"/>
  <c r="IU103" i="6"/>
  <c r="IU102" i="6"/>
  <c r="NV115" i="6"/>
  <c r="NV116" i="6" s="1"/>
  <c r="NV114" i="6"/>
  <c r="CR34" i="6"/>
  <c r="CS35" i="6"/>
  <c r="CS34" i="6" s="1"/>
  <c r="FW128" i="6"/>
  <c r="FW129" i="6" s="1"/>
  <c r="FW106" i="6"/>
  <c r="CS150" i="6"/>
  <c r="CS152" i="6"/>
  <c r="CS153" i="6" s="1"/>
  <c r="AO150" i="6"/>
  <c r="AO152" i="6"/>
  <c r="AO153" i="6" s="1"/>
  <c r="HS112" i="6"/>
  <c r="HS113" i="6"/>
  <c r="JY128" i="6"/>
  <c r="JY106" i="6"/>
  <c r="DP152" i="6"/>
  <c r="DP153" i="6" s="1"/>
  <c r="DP150" i="6"/>
  <c r="CQ128" i="6"/>
  <c r="CQ106" i="6"/>
  <c r="EH105" i="6"/>
  <c r="LO104" i="6"/>
  <c r="LO105" i="6"/>
  <c r="EP128" i="6"/>
  <c r="EP106" i="6"/>
  <c r="QO150" i="6"/>
  <c r="QO152" i="6"/>
  <c r="QO153" i="6" s="1"/>
  <c r="BY115" i="6"/>
  <c r="BY116" i="6" s="1"/>
  <c r="BY114" i="6"/>
  <c r="PY128" i="6"/>
  <c r="PY106" i="6"/>
  <c r="CG149" i="6"/>
  <c r="CG145" i="6"/>
  <c r="QA128" i="6"/>
  <c r="QA106" i="6"/>
  <c r="KQ128" i="6"/>
  <c r="KQ106" i="6"/>
  <c r="BO106" i="6"/>
  <c r="BO128" i="6"/>
  <c r="LK128" i="6"/>
  <c r="LK106" i="6"/>
  <c r="HQ114" i="6"/>
  <c r="HQ115" i="6"/>
  <c r="HQ116" i="6" s="1"/>
  <c r="AQ128" i="6"/>
  <c r="AQ106" i="6"/>
  <c r="PH149" i="6"/>
  <c r="PH145" i="6"/>
  <c r="KY150" i="6"/>
  <c r="KY152" i="6"/>
  <c r="KY153" i="6" s="1"/>
  <c r="DJ106" i="6"/>
  <c r="DJ128" i="6"/>
  <c r="AW150" i="6"/>
  <c r="AW152" i="6"/>
  <c r="AW153" i="6" s="1"/>
  <c r="CK142" i="6"/>
  <c r="CK144" i="6"/>
  <c r="CZ115" i="6"/>
  <c r="CZ116" i="6" s="1"/>
  <c r="CZ114" i="6"/>
  <c r="FH146" i="6"/>
  <c r="FH141" i="6"/>
  <c r="PN128" i="6"/>
  <c r="PN106" i="6"/>
  <c r="FN106" i="6"/>
  <c r="FN128" i="6"/>
  <c r="MC113" i="6"/>
  <c r="MC112" i="6"/>
  <c r="OB79" i="6"/>
  <c r="OB80" i="6"/>
  <c r="DV152" i="6"/>
  <c r="DV153" i="6" s="1"/>
  <c r="DV150" i="6"/>
  <c r="PW129" i="6"/>
  <c r="PW133" i="6"/>
  <c r="PW134" i="6" s="1"/>
  <c r="AU128" i="6"/>
  <c r="AU106" i="6"/>
  <c r="FG34" i="6"/>
  <c r="FH35" i="6"/>
  <c r="FH34" i="6" s="1"/>
  <c r="HY128" i="6"/>
  <c r="HY106" i="6"/>
  <c r="FF144" i="6"/>
  <c r="FF142" i="6"/>
  <c r="IW128" i="6"/>
  <c r="IW106" i="6"/>
  <c r="CI129" i="6"/>
  <c r="CI133" i="6"/>
  <c r="CI134" i="6" s="1"/>
  <c r="BA152" i="6"/>
  <c r="BA153" i="6" s="1"/>
  <c r="BA150" i="6"/>
  <c r="HG150" i="6"/>
  <c r="HG152" i="6"/>
  <c r="HG153" i="6" s="1"/>
  <c r="ED128" i="6"/>
  <c r="ED106" i="6"/>
  <c r="HS144" i="6"/>
  <c r="HS142" i="6"/>
  <c r="GY128" i="6"/>
  <c r="GY106" i="6"/>
  <c r="JU128" i="6"/>
  <c r="JU106" i="6"/>
  <c r="FF128" i="6"/>
  <c r="FF106" i="6"/>
  <c r="LQ149" i="6"/>
  <c r="LQ145" i="6"/>
  <c r="CX106" i="6"/>
  <c r="CX128" i="6"/>
  <c r="AG128" i="6"/>
  <c r="AG106" i="6"/>
  <c r="NJ129" i="6"/>
  <c r="NJ133" i="6"/>
  <c r="NJ134" i="6" s="1"/>
  <c r="PD145" i="6"/>
  <c r="PD149" i="6"/>
  <c r="AS128" i="6"/>
  <c r="AS106" i="6"/>
  <c r="EF128" i="6"/>
  <c r="EF106" i="6"/>
  <c r="LQ105" i="6"/>
  <c r="LQ104" i="6"/>
  <c r="CE128" i="6"/>
  <c r="CE106" i="6"/>
  <c r="GU114" i="6"/>
  <c r="GU115" i="6"/>
  <c r="GU116" i="6" s="1"/>
  <c r="OV150" i="6"/>
  <c r="OV152" i="6"/>
  <c r="OV153" i="6" s="1"/>
  <c r="AU152" i="6"/>
  <c r="AU153" i="6" s="1"/>
  <c r="AU150" i="6"/>
  <c r="FL128" i="6"/>
  <c r="FL106" i="6"/>
  <c r="PE34" i="6"/>
  <c r="PF35" i="6"/>
  <c r="PF34" i="6" s="1"/>
  <c r="II115" i="6"/>
  <c r="II116" i="6" s="1"/>
  <c r="II114" i="6"/>
  <c r="CM142" i="6"/>
  <c r="CM144" i="6"/>
  <c r="NT128" i="6"/>
  <c r="NT106" i="6"/>
  <c r="PB149" i="6"/>
  <c r="PB145" i="6"/>
  <c r="MG133" i="6"/>
  <c r="MG134" i="6" s="1"/>
  <c r="MG129" i="6"/>
  <c r="DV128" i="6"/>
  <c r="DV106" i="6"/>
  <c r="LE105" i="6"/>
  <c r="LE104" i="6"/>
  <c r="BK152" i="6"/>
  <c r="BK153" i="6" s="1"/>
  <c r="BK150" i="6"/>
  <c r="MZ128" i="6"/>
  <c r="MZ106" i="6"/>
  <c r="MC102" i="6"/>
  <c r="MC103" i="6"/>
  <c r="DX150" i="6"/>
  <c r="DX152" i="6"/>
  <c r="DX153" i="6" s="1"/>
  <c r="EN128" i="6"/>
  <c r="EN106" i="6"/>
  <c r="QQ150" i="6"/>
  <c r="QQ152" i="6"/>
  <c r="QQ153" i="6" s="1"/>
  <c r="LC115" i="6"/>
  <c r="LC116" i="6" s="1"/>
  <c r="LC114" i="6"/>
  <c r="LY149" i="6"/>
  <c r="LY145" i="6"/>
  <c r="EP150" i="6"/>
  <c r="EP152" i="6"/>
  <c r="EP153" i="6" s="1"/>
  <c r="OH128" i="6"/>
  <c r="OH106" i="6"/>
  <c r="MA106" i="6"/>
  <c r="MA128" i="6"/>
  <c r="KE128" i="6"/>
  <c r="KE106" i="6"/>
  <c r="DJ152" i="6"/>
  <c r="DJ153" i="6" s="1"/>
  <c r="DJ150" i="6"/>
  <c r="LO150" i="6"/>
  <c r="LO152" i="6"/>
  <c r="LO153" i="6" s="1"/>
  <c r="PN35" i="6"/>
  <c r="PN34" i="6" s="1"/>
  <c r="PM34" i="6"/>
  <c r="IU142" i="6"/>
  <c r="IU144" i="6"/>
  <c r="LY128" i="6"/>
  <c r="LY106" i="6"/>
  <c r="GW152" i="6"/>
  <c r="GW153" i="6" s="1"/>
  <c r="GW150" i="6"/>
  <c r="IK106" i="6"/>
  <c r="IK128" i="6"/>
  <c r="LW149" i="6"/>
  <c r="LW145" i="6"/>
  <c r="NP128" i="6"/>
  <c r="NP106" i="6"/>
  <c r="IA128" i="6"/>
  <c r="IA106" i="6"/>
  <c r="LG128" i="6"/>
  <c r="LG106" i="6"/>
  <c r="II105" i="6"/>
  <c r="II104" i="6"/>
  <c r="BI128" i="6"/>
  <c r="BI106" i="6"/>
  <c r="CI149" i="6"/>
  <c r="CI145" i="6"/>
  <c r="CO146" i="6"/>
  <c r="CO141" i="6"/>
  <c r="PL129" i="6"/>
  <c r="PL133" i="6"/>
  <c r="PL134" i="6" s="1"/>
  <c r="OF113" i="6"/>
  <c r="OF112" i="6"/>
  <c r="OH150" i="6"/>
  <c r="OH152" i="6"/>
  <c r="OH153" i="6" s="1"/>
  <c r="HK152" i="6"/>
  <c r="HK153" i="6" s="1"/>
  <c r="HK150" i="6"/>
  <c r="HE128" i="6"/>
  <c r="HE106" i="6"/>
  <c r="JD128" i="6"/>
  <c r="JD106" i="6"/>
  <c r="IG128" i="6"/>
  <c r="IG106" i="6"/>
  <c r="OJ133" i="6"/>
  <c r="OJ134" i="6" s="1"/>
  <c r="OJ129" i="6"/>
  <c r="KY128" i="6"/>
  <c r="KY106" i="6"/>
  <c r="PH128" i="6"/>
  <c r="PH106" i="6"/>
  <c r="CM128" i="6"/>
  <c r="CM106" i="6"/>
  <c r="OR128" i="6"/>
  <c r="OR106" i="6"/>
  <c r="OV106" i="6"/>
  <c r="OV128" i="6"/>
  <c r="BM113" i="6"/>
  <c r="BM112" i="6"/>
  <c r="DL128" i="6"/>
  <c r="DL106" i="6"/>
  <c r="BQ129" i="6"/>
  <c r="BQ133" i="6"/>
  <c r="BQ134" i="6" s="1"/>
  <c r="DT106" i="6"/>
  <c r="DT128" i="6"/>
  <c r="DF128" i="6"/>
  <c r="DF106" i="6"/>
  <c r="GO129" i="6"/>
  <c r="GO133" i="6"/>
  <c r="GO134" i="6" s="1"/>
  <c r="DD128" i="6"/>
  <c r="DD106" i="6"/>
  <c r="CC149" i="6"/>
  <c r="CC145" i="6"/>
  <c r="QC150" i="6"/>
  <c r="QC152" i="6"/>
  <c r="QC153" i="6" s="1"/>
  <c r="OZ128" i="6"/>
  <c r="OZ106" i="6"/>
  <c r="MT128" i="6"/>
  <c r="MT106" i="6"/>
  <c r="OZ144" i="6"/>
  <c r="OZ142" i="6"/>
  <c r="LS149" i="6"/>
  <c r="LS145" i="6"/>
  <c r="FJ138" i="6"/>
  <c r="GK128" i="6"/>
  <c r="GK106" i="6"/>
  <c r="NR128" i="6"/>
  <c r="NR106" i="6"/>
  <c r="IC150" i="6"/>
  <c r="IC152" i="6"/>
  <c r="IC153" i="6" s="1"/>
  <c r="ON115" i="6"/>
  <c r="ON116" i="6" s="1"/>
  <c r="ON114" i="6"/>
  <c r="PF144" i="6"/>
  <c r="PF142" i="6"/>
  <c r="NF149" i="6"/>
  <c r="NF145" i="6"/>
  <c r="BC133" i="6"/>
  <c r="BC134" i="6" s="1"/>
  <c r="BC129" i="6"/>
  <c r="IE128" i="6"/>
  <c r="IE106" i="6"/>
  <c r="EV150" i="6"/>
  <c r="EV152" i="6"/>
  <c r="EV153" i="6" s="1"/>
  <c r="AM152" i="6"/>
  <c r="AM153" i="6" s="1"/>
  <c r="AM150" i="6"/>
  <c r="NX128" i="6"/>
  <c r="NX106" i="6"/>
  <c r="HY152" i="6"/>
  <c r="HY153" i="6" s="1"/>
  <c r="HY150" i="6"/>
  <c r="IK152" i="6"/>
  <c r="IK153" i="6" s="1"/>
  <c r="IK150" i="6"/>
  <c r="AK105" i="6"/>
  <c r="AK104" i="6"/>
  <c r="OJ152" i="6"/>
  <c r="OJ153" i="6" s="1"/>
  <c r="OJ150" i="6"/>
  <c r="BA104" i="6"/>
  <c r="BA105" i="6"/>
  <c r="KO128" i="6"/>
  <c r="KO106" i="6"/>
  <c r="OB115" i="6"/>
  <c r="OB116" i="6" s="1"/>
  <c r="BY105" i="6"/>
  <c r="BY104" i="6"/>
  <c r="PW150" i="6"/>
  <c r="PW152" i="6"/>
  <c r="PW153" i="6" s="1"/>
  <c r="KS105" i="6"/>
  <c r="KS104" i="6"/>
  <c r="BM102" i="6"/>
  <c r="BM103" i="6"/>
  <c r="MA149" i="6"/>
  <c r="MA145" i="6"/>
  <c r="LI128" i="6"/>
  <c r="LI106" i="6"/>
  <c r="NF104" i="6"/>
  <c r="NF105" i="6"/>
  <c r="OR152" i="6"/>
  <c r="OR153" i="6" s="1"/>
  <c r="OR150" i="6"/>
  <c r="KQ150" i="6"/>
  <c r="KQ152" i="6"/>
  <c r="KQ153" i="6" s="1"/>
  <c r="MV128" i="6"/>
  <c r="MV106" i="6"/>
  <c r="BM144" i="6"/>
  <c r="BM142" i="6"/>
  <c r="OT150" i="6"/>
  <c r="OT152" i="6"/>
  <c r="OT153" i="6" s="1"/>
  <c r="LW128" i="6"/>
  <c r="LW106" i="6"/>
  <c r="QM128" i="6"/>
  <c r="QM106" i="6"/>
  <c r="KS114" i="6"/>
  <c r="KS115" i="6"/>
  <c r="KS116" i="6" s="1"/>
  <c r="NJ150" i="6"/>
  <c r="NJ152" i="6"/>
  <c r="NJ153" i="6" s="1"/>
  <c r="KC114" i="6"/>
  <c r="KC115" i="6"/>
  <c r="KC116" i="6" s="1"/>
  <c r="PL150" i="6"/>
  <c r="PL152" i="6"/>
  <c r="PL153" i="6" s="1"/>
  <c r="QA152" i="6"/>
  <c r="QA153" i="6" s="1"/>
  <c r="QA150" i="6"/>
  <c r="NF115" i="6"/>
  <c r="NF116" i="6" s="1"/>
  <c r="NF114" i="6"/>
  <c r="DR128" i="6"/>
  <c r="DR106" i="6"/>
  <c r="HU150" i="6"/>
  <c r="HU152" i="6"/>
  <c r="HU153" i="6" s="1"/>
  <c r="GW128" i="6"/>
  <c r="GW106" i="6"/>
  <c r="LU128" i="6"/>
  <c r="LU106" i="6"/>
  <c r="KW128" i="6"/>
  <c r="KW106" i="6"/>
  <c r="AM128" i="6"/>
  <c r="AM106" i="6"/>
  <c r="KU152" i="6"/>
  <c r="KU153" i="6" s="1"/>
  <c r="KU150" i="6"/>
  <c r="QG129" i="6"/>
  <c r="QG133" i="6"/>
  <c r="QG134" i="6" s="1"/>
  <c r="HG104" i="6"/>
  <c r="HG105" i="6"/>
  <c r="EQ34" i="6"/>
  <c r="ER35" i="6"/>
  <c r="ER34" i="6" s="1"/>
  <c r="KM128" i="6"/>
  <c r="KM106" i="6"/>
  <c r="AO128" i="6"/>
  <c r="AO106" i="6"/>
  <c r="EH150" i="6"/>
  <c r="EH152" i="6"/>
  <c r="EH153" i="6" s="1"/>
  <c r="KG128" i="6"/>
  <c r="KG106" i="6"/>
  <c r="IY128" i="6"/>
  <c r="IY106" i="6"/>
  <c r="BZ34" i="6"/>
  <c r="CA35" i="6"/>
  <c r="CA34" i="6" s="1"/>
  <c r="OF103" i="6"/>
  <c r="OF102" i="6"/>
  <c r="JB128" i="6"/>
  <c r="JB106" i="6"/>
  <c r="KA128" i="6"/>
  <c r="KA106" i="6"/>
  <c r="DN128" i="6"/>
  <c r="DN106" i="6"/>
  <c r="IM129" i="6"/>
  <c r="IM133" i="6"/>
  <c r="IM134" i="6" s="1"/>
  <c r="AK115" i="6"/>
  <c r="AK116" i="6" s="1"/>
  <c r="AK114" i="6"/>
  <c r="MJ128" i="6"/>
  <c r="MJ129" i="6" s="1"/>
  <c r="MJ106" i="6"/>
  <c r="MC144" i="6"/>
  <c r="MC142" i="6"/>
  <c r="ON104" i="6"/>
  <c r="ON105" i="6"/>
  <c r="OP106" i="6"/>
  <c r="OP128" i="6"/>
  <c r="JW128" i="6"/>
  <c r="JW106" i="6"/>
  <c r="DZ150" i="6"/>
  <c r="DZ152" i="6"/>
  <c r="DZ153" i="6" s="1"/>
  <c r="II145" i="6"/>
  <c r="II149" i="6"/>
  <c r="HS103" i="6"/>
  <c r="HS102" i="6"/>
  <c r="HI128" i="6"/>
  <c r="HI106" i="6"/>
  <c r="LM152" i="6"/>
  <c r="LM153" i="6" s="1"/>
  <c r="LM150" i="6"/>
  <c r="HM150" i="6"/>
  <c r="HM152" i="6"/>
  <c r="HM153" i="6" s="1"/>
  <c r="HK128" i="6"/>
  <c r="HK106" i="6"/>
  <c r="IS128" i="6"/>
  <c r="IS106" i="6"/>
  <c r="PP128" i="6"/>
  <c r="PP106" i="6"/>
  <c r="BA114" i="6"/>
  <c r="BA115" i="6"/>
  <c r="BA116" i="6" s="1"/>
  <c r="LC150" i="6"/>
  <c r="LC152" i="6"/>
  <c r="LC153" i="6" s="1"/>
  <c r="JK128" i="6"/>
  <c r="JK129" i="6" s="1"/>
  <c r="JK106" i="6"/>
  <c r="AI106" i="6"/>
  <c r="AI128" i="6"/>
  <c r="QQ128" i="6"/>
  <c r="QQ106" i="6"/>
  <c r="QI152" i="6"/>
  <c r="QI153" i="6" s="1"/>
  <c r="QI150" i="6"/>
  <c r="FP128" i="6"/>
  <c r="FP106" i="6"/>
  <c r="IQ150" i="6"/>
  <c r="IQ152" i="6"/>
  <c r="IQ153" i="6" s="1"/>
  <c r="GI129" i="6"/>
  <c r="GI133" i="6"/>
  <c r="GI134" i="6" s="1"/>
  <c r="ML128" i="6"/>
  <c r="ML129" i="6" s="1"/>
  <c r="ML106" i="6"/>
  <c r="DH128" i="6"/>
  <c r="DH106" i="6"/>
  <c r="HI152" i="6"/>
  <c r="HI153" i="6" s="1"/>
  <c r="HI150" i="6"/>
  <c r="AW128" i="6"/>
  <c r="AW106" i="6"/>
  <c r="NX150" i="6"/>
  <c r="NX152" i="6"/>
  <c r="NX153" i="6" s="1"/>
  <c r="IQ128" i="6"/>
  <c r="IQ106" i="6"/>
  <c r="NP150" i="6"/>
  <c r="NP152" i="6"/>
  <c r="NP153" i="6" s="1"/>
  <c r="ME142" i="6"/>
  <c r="ME144" i="6"/>
  <c r="PD129" i="6"/>
  <c r="PD133" i="6"/>
  <c r="PD134" i="6" s="1"/>
  <c r="NZ128" i="6"/>
  <c r="NZ106" i="6"/>
  <c r="EX152" i="6"/>
  <c r="EX153" i="6" s="1"/>
  <c r="EX150" i="6"/>
  <c r="EX128" i="6"/>
  <c r="EX106" i="6"/>
  <c r="DX128" i="6"/>
  <c r="DX106" i="6"/>
  <c r="BO152" i="6"/>
  <c r="BO153" i="6" s="1"/>
  <c r="BO150" i="6"/>
  <c r="EF150" i="6"/>
  <c r="EF152" i="6"/>
  <c r="EF153" i="6" s="1"/>
  <c r="CC128" i="6"/>
  <c r="CC106" i="6"/>
  <c r="GU104" i="6"/>
  <c r="GU105" i="6"/>
  <c r="OF142" i="6"/>
  <c r="OF144" i="6"/>
  <c r="NH152" i="6"/>
  <c r="NH153" i="6" s="1"/>
  <c r="NH150" i="6"/>
  <c r="HW128" i="6"/>
  <c r="HW106" i="6"/>
  <c r="GQ105" i="6"/>
  <c r="GQ104" i="6"/>
  <c r="HQ105" i="6"/>
  <c r="HQ104" i="6"/>
  <c r="LE115" i="6"/>
  <c r="LE116" i="6" s="1"/>
  <c r="LE114" i="6"/>
  <c r="PJ152" i="6"/>
  <c r="PJ153" i="6" s="1"/>
  <c r="PJ150" i="6"/>
  <c r="IW152" i="6"/>
  <c r="IW153" i="6" s="1"/>
  <c r="IW150" i="6"/>
  <c r="NV105" i="6"/>
  <c r="NV104" i="6"/>
  <c r="KA150" i="6"/>
  <c r="KA152" i="6"/>
  <c r="KA153" i="6" s="1"/>
  <c r="NB133" i="6"/>
  <c r="NB134" i="6" s="1"/>
  <c r="NB129" i="6"/>
  <c r="LI150" i="6"/>
  <c r="LI152" i="6"/>
  <c r="LI153" i="6" s="1"/>
  <c r="BW150" i="6"/>
  <c r="BW152" i="6"/>
  <c r="BW153" i="6" s="1"/>
  <c r="BG150" i="6"/>
  <c r="BG152" i="6"/>
  <c r="BG153" i="6" s="1"/>
  <c r="CA128" i="6"/>
  <c r="CA106" i="6"/>
  <c r="NN128" i="6"/>
  <c r="NN106" i="6"/>
  <c r="OD79" i="6"/>
  <c r="OD80" i="6"/>
  <c r="OD105" i="6"/>
  <c r="ME106" i="6"/>
  <c r="ME128" i="6"/>
  <c r="ND133" i="6"/>
  <c r="ND134" i="6" s="1"/>
  <c r="ND129" i="6"/>
  <c r="AY104" i="6"/>
  <c r="AY105" i="6"/>
  <c r="PN150" i="6"/>
  <c r="PN152" i="6"/>
  <c r="PN153" i="6" s="1"/>
  <c r="QK128" i="6"/>
  <c r="QK106" i="6"/>
  <c r="AC128" i="6"/>
  <c r="AC106" i="6"/>
  <c r="FD128" i="6"/>
  <c r="FD106" i="6"/>
  <c r="CQ152" i="6"/>
  <c r="CQ153" i="6" s="1"/>
  <c r="CQ150" i="6"/>
  <c r="LU152" i="6"/>
  <c r="LU153" i="6" s="1"/>
  <c r="LU150" i="6"/>
  <c r="KS150" i="6"/>
  <c r="KS152" i="6"/>
  <c r="KS153" i="6" s="1"/>
  <c r="KK128" i="6"/>
  <c r="KK106" i="6"/>
  <c r="Q128" i="6"/>
  <c r="Q129" i="6" s="1"/>
  <c r="Q106" i="6"/>
  <c r="KC152" i="6"/>
  <c r="KC153" i="6" s="1"/>
  <c r="KC150" i="6"/>
  <c r="BS106" i="6"/>
  <c r="BS128" i="6"/>
  <c r="EN150" i="6"/>
  <c r="EN152" i="6"/>
  <c r="EN153" i="6" s="1"/>
  <c r="BM35" i="6"/>
  <c r="BM34" i="6" s="1"/>
  <c r="BL34" i="6"/>
  <c r="HG115" i="6"/>
  <c r="HG116" i="6" s="1"/>
  <c r="HG114" i="6"/>
  <c r="MG150" i="6"/>
  <c r="MG152" i="6"/>
  <c r="MG153" i="6" s="1"/>
  <c r="ER128" i="6"/>
  <c r="ER106" i="6"/>
  <c r="DP128" i="6"/>
  <c r="DP106" i="6"/>
  <c r="PP152" i="6"/>
  <c r="PP153" i="6" s="1"/>
  <c r="PP150" i="6"/>
  <c r="DR152" i="6"/>
  <c r="DR153" i="6" s="1"/>
  <c r="DR150" i="6"/>
  <c r="BE128" i="6"/>
  <c r="BE106" i="6"/>
  <c r="AY150" i="6"/>
  <c r="AY152" i="6"/>
  <c r="AY153" i="6" s="1"/>
  <c r="EJ79" i="6"/>
  <c r="EJ80" i="6"/>
  <c r="AE128" i="6"/>
  <c r="AE106" i="6"/>
  <c r="IA152" i="6"/>
  <c r="IA153" i="6" s="1"/>
  <c r="IA150" i="6"/>
  <c r="QI128" i="6"/>
  <c r="QI106" i="6"/>
  <c r="AY114" i="6"/>
  <c r="AY115" i="6"/>
  <c r="AY116" i="6" s="1"/>
  <c r="LC104" i="6"/>
  <c r="LC105" i="6"/>
  <c r="GQ149" i="6"/>
  <c r="GQ145" i="6"/>
  <c r="HW152" i="6"/>
  <c r="HW153" i="6" s="1"/>
  <c r="HW150" i="6"/>
  <c r="LQ115" i="6"/>
  <c r="LQ116" i="6" s="1"/>
  <c r="LQ114" i="6"/>
  <c r="BG128" i="6"/>
  <c r="BG106" i="6"/>
  <c r="KC105" i="6"/>
  <c r="KC104" i="6"/>
  <c r="OB128" i="6"/>
  <c r="OB106" i="6"/>
  <c r="PF113" i="6"/>
  <c r="PF112" i="6"/>
  <c r="EV128" i="6"/>
  <c r="EV106" i="6"/>
  <c r="OX128" i="6"/>
  <c r="OX106" i="6"/>
  <c r="PJ128" i="6"/>
  <c r="PJ106" i="6"/>
  <c r="OL133" i="6"/>
  <c r="OL134" i="6" s="1"/>
  <c r="OL129" i="6"/>
  <c r="OP150" i="6"/>
  <c r="OP152" i="6"/>
  <c r="OP153" i="6" s="1"/>
  <c r="EL150" i="6"/>
  <c r="EL152" i="6"/>
  <c r="EL153" i="6" s="1"/>
  <c r="HO128" i="6"/>
  <c r="HO106" i="6"/>
  <c r="PU128" i="6"/>
  <c r="PU106" i="6"/>
  <c r="KM152" i="6"/>
  <c r="KM153" i="6" s="1"/>
  <c r="KM150" i="6"/>
  <c r="KO152" i="6"/>
  <c r="KO153" i="6" s="1"/>
  <c r="KO150" i="6"/>
  <c r="GQ115" i="6"/>
  <c r="GQ116" i="6" s="1"/>
  <c r="GQ114" i="6"/>
  <c r="IC106" i="6"/>
  <c r="IC128" i="6"/>
  <c r="HA106" i="6"/>
  <c r="HA128" i="6"/>
  <c r="LO115" i="6"/>
  <c r="LO116" i="6" s="1"/>
  <c r="LO114" i="6"/>
  <c r="AS150" i="6"/>
  <c r="AS152" i="6"/>
  <c r="AS153" i="6" s="1"/>
  <c r="BU106" i="6"/>
  <c r="BU128" i="6"/>
  <c r="HM128" i="6"/>
  <c r="HM106" i="6"/>
  <c r="QG150" i="6"/>
  <c r="QG152" i="6"/>
  <c r="QG153" i="6" s="1"/>
  <c r="QM152" i="6"/>
  <c r="QM153" i="6" s="1"/>
  <c r="QM150" i="6"/>
  <c r="NT152" i="6"/>
  <c r="NT153" i="6" s="1"/>
  <c r="NT150" i="6"/>
  <c r="PU152" i="6"/>
  <c r="PU153" i="6" s="1"/>
  <c r="PU150" i="6"/>
  <c r="JS106" i="6"/>
  <c r="JS128" i="6"/>
  <c r="LS128" i="6"/>
  <c r="LS106" i="6"/>
  <c r="CE150" i="6"/>
  <c r="CE152" i="6"/>
  <c r="CE153" i="6" s="1"/>
  <c r="IE150" i="6"/>
  <c r="IE152" i="6"/>
  <c r="IE153" i="6" s="1"/>
  <c r="BW128" i="6"/>
  <c r="BW106" i="6"/>
  <c r="IY152" i="6"/>
  <c r="IY153" i="6" s="1"/>
  <c r="IY150" i="6"/>
  <c r="FL137" i="6"/>
  <c r="FL138" i="6" s="1"/>
  <c r="EL128" i="6"/>
  <c r="EL106" i="6"/>
  <c r="QC128" i="6"/>
  <c r="QC106" i="6"/>
  <c r="AK152" i="6"/>
  <c r="AK153" i="6" s="1"/>
  <c r="AK150" i="6"/>
  <c r="CS128" i="6"/>
  <c r="CS106" i="6"/>
  <c r="JO113" i="6"/>
  <c r="JO114" i="6" s="1"/>
  <c r="JO112" i="6"/>
  <c r="DZ128" i="6"/>
  <c r="DZ106" i="6"/>
  <c r="NH128" i="6"/>
  <c r="NH106" i="6"/>
  <c r="GU149" i="6"/>
  <c r="GU145" i="6"/>
  <c r="MR109" i="6"/>
  <c r="MR113" i="6"/>
  <c r="MR114" i="6" s="1"/>
  <c r="IM150" i="6"/>
  <c r="IM152" i="6"/>
  <c r="IM153" i="6" s="1"/>
  <c r="FJ128" i="6"/>
  <c r="FJ106" i="6"/>
  <c r="CV106" i="6"/>
  <c r="CV128" i="6"/>
  <c r="CV129" i="6" s="1"/>
  <c r="NL128" i="6"/>
  <c r="NL106" i="6"/>
  <c r="FD142" i="6"/>
  <c r="FD144" i="6"/>
  <c r="OT128" i="6"/>
  <c r="OT106" i="6"/>
  <c r="EJ150" i="6"/>
  <c r="EJ152" i="6"/>
  <c r="EJ153" i="6" s="1"/>
  <c r="EB128" i="6"/>
  <c r="EB106" i="6"/>
  <c r="BK128" i="6"/>
  <c r="BK106" i="6"/>
  <c r="GS128" i="6"/>
  <c r="GS106" i="6"/>
  <c r="EZ128" i="6"/>
  <c r="EZ106" i="6"/>
  <c r="CZ105" i="6"/>
  <c r="CZ104" i="6"/>
  <c r="QO128" i="6"/>
  <c r="QO106" i="6"/>
  <c r="NL150" i="6"/>
  <c r="NL152" i="6"/>
  <c r="NL153" i="6" s="1"/>
  <c r="HQ149" i="6"/>
  <c r="HQ145" i="6"/>
  <c r="PY152" i="6"/>
  <c r="PY153" i="6" s="1"/>
  <c r="PY150" i="6"/>
  <c r="ET128" i="6"/>
  <c r="ET106" i="6"/>
  <c r="CO128" i="6"/>
  <c r="CO106" i="6"/>
  <c r="BY145" i="6"/>
  <c r="BY149" i="6"/>
  <c r="OL152" i="6"/>
  <c r="OL153" i="6" s="1"/>
  <c r="OL150" i="6"/>
  <c r="DB128" i="6"/>
  <c r="DB106" i="6"/>
  <c r="CD34" i="6"/>
  <c r="CE35" i="6"/>
  <c r="CE34" i="6" s="1"/>
  <c r="GS152" i="6"/>
  <c r="GS153" i="6" s="1"/>
  <c r="GS150" i="6"/>
  <c r="DT152" i="6"/>
  <c r="DT153" i="6" s="1"/>
  <c r="DT150" i="6"/>
  <c r="LA128" i="6"/>
  <c r="LA106" i="6"/>
  <c r="BS152" i="6"/>
  <c r="BS153" i="6" s="1"/>
  <c r="BS150" i="6"/>
  <c r="HU128" i="6"/>
  <c r="HU106" i="6"/>
  <c r="IO128" i="6"/>
  <c r="IO106" i="6"/>
  <c r="NV152" i="6"/>
  <c r="NV153" i="6" s="1"/>
  <c r="NV150" i="6"/>
  <c r="ET152" i="6"/>
  <c r="ET153" i="6" s="1"/>
  <c r="ET150" i="6"/>
  <c r="FB128" i="6"/>
  <c r="FB106" i="6"/>
  <c r="CG128" i="6"/>
  <c r="CG106" i="6"/>
  <c r="HC106" i="6"/>
  <c r="HC128" i="6"/>
  <c r="KI106" i="6"/>
  <c r="KI128" i="6"/>
  <c r="BE150" i="6"/>
  <c r="BE152" i="6"/>
  <c r="BE153" i="6" s="1"/>
  <c r="LM128" i="6"/>
  <c r="LM106" i="6"/>
  <c r="PF103" i="6"/>
  <c r="PF102" i="6"/>
  <c r="BQ152" i="6"/>
  <c r="BQ153" i="6" s="1"/>
  <c r="BQ150" i="6"/>
  <c r="EH79" i="6"/>
  <c r="EH80" i="6"/>
  <c r="FB145" i="6"/>
  <c r="FB149" i="6"/>
  <c r="FH128" i="6"/>
  <c r="FH106" i="6"/>
  <c r="PB128" i="6"/>
  <c r="PB106" i="6"/>
  <c r="LK152" i="6"/>
  <c r="LK153" i="6" s="1"/>
  <c r="LK150" i="6"/>
  <c r="KU106" i="6"/>
  <c r="KU128" i="6"/>
  <c r="ON150" i="6"/>
  <c r="ON152" i="6"/>
  <c r="ON153" i="6" s="1"/>
  <c r="PS128" i="6"/>
  <c r="PS106" i="6"/>
  <c r="CK128" i="6"/>
  <c r="CK106" i="6"/>
  <c r="EJ105" i="6"/>
  <c r="AQ150" i="6"/>
  <c r="AQ152" i="6"/>
  <c r="AQ153" i="6" s="1"/>
  <c r="GU128" i="6" l="1"/>
  <c r="GU106" i="6"/>
  <c r="MC104" i="6"/>
  <c r="MC105" i="6"/>
  <c r="BK133" i="6"/>
  <c r="BK134" i="6" s="1"/>
  <c r="BK129" i="6"/>
  <c r="IO133" i="6"/>
  <c r="IO134" i="6" s="1"/>
  <c r="IO129" i="6"/>
  <c r="CO133" i="6"/>
  <c r="CO134" i="6" s="1"/>
  <c r="CO129" i="6"/>
  <c r="EB129" i="6"/>
  <c r="EB133" i="6"/>
  <c r="EB134" i="6" s="1"/>
  <c r="NH129" i="6"/>
  <c r="NH133" i="6"/>
  <c r="NH134" i="6" s="1"/>
  <c r="ME129" i="6"/>
  <c r="ME133" i="6"/>
  <c r="ME134" i="6" s="1"/>
  <c r="NV128" i="6"/>
  <c r="NV106" i="6"/>
  <c r="CC133" i="6"/>
  <c r="CC134" i="6" s="1"/>
  <c r="CC129" i="6"/>
  <c r="IQ133" i="6"/>
  <c r="IQ134" i="6" s="1"/>
  <c r="IQ129" i="6"/>
  <c r="QQ133" i="6"/>
  <c r="QQ134" i="6" s="1"/>
  <c r="QQ129" i="6"/>
  <c r="HI133" i="6"/>
  <c r="HI134" i="6" s="1"/>
  <c r="HI129" i="6"/>
  <c r="KM129" i="6"/>
  <c r="KM133" i="6"/>
  <c r="KM134" i="6" s="1"/>
  <c r="DR129" i="6"/>
  <c r="DR133" i="6"/>
  <c r="DR134" i="6" s="1"/>
  <c r="BM149" i="6"/>
  <c r="BM145" i="6"/>
  <c r="BY128" i="6"/>
  <c r="BY106" i="6"/>
  <c r="LS152" i="6"/>
  <c r="LS153" i="6" s="1"/>
  <c r="LS150" i="6"/>
  <c r="JD133" i="6"/>
  <c r="JD134" i="6" s="1"/>
  <c r="JD129" i="6"/>
  <c r="LG133" i="6"/>
  <c r="LG134" i="6" s="1"/>
  <c r="LG129" i="6"/>
  <c r="MC115" i="6"/>
  <c r="MC116" i="6" s="1"/>
  <c r="MC114" i="6"/>
  <c r="AQ129" i="6"/>
  <c r="AQ133" i="6"/>
  <c r="AQ134" i="6" s="1"/>
  <c r="EP133" i="6"/>
  <c r="EP134" i="6" s="1"/>
  <c r="EP129" i="6"/>
  <c r="LW133" i="6"/>
  <c r="LW134" i="6" s="1"/>
  <c r="LW129" i="6"/>
  <c r="AI133" i="6"/>
  <c r="AI134" i="6" s="1"/>
  <c r="AI129" i="6"/>
  <c r="IE133" i="6"/>
  <c r="IE134" i="6" s="1"/>
  <c r="IE129" i="6"/>
  <c r="FN133" i="6"/>
  <c r="FN134" i="6" s="1"/>
  <c r="FN129" i="6"/>
  <c r="LO128" i="6"/>
  <c r="LO106" i="6"/>
  <c r="MR111" i="6"/>
  <c r="MR112" i="6" s="1"/>
  <c r="MR110" i="6"/>
  <c r="GW133" i="6"/>
  <c r="GW134" i="6" s="1"/>
  <c r="GW129" i="6"/>
  <c r="HU133" i="6"/>
  <c r="HU134" i="6" s="1"/>
  <c r="HU129" i="6"/>
  <c r="ET133" i="6"/>
  <c r="ET134" i="6" s="1"/>
  <c r="ET129" i="6"/>
  <c r="DZ129" i="6"/>
  <c r="DZ133" i="6"/>
  <c r="DZ134" i="6" s="1"/>
  <c r="HA133" i="6"/>
  <c r="HA134" i="6" s="1"/>
  <c r="HA129" i="6"/>
  <c r="LC128" i="6"/>
  <c r="LC106" i="6"/>
  <c r="OD128" i="6"/>
  <c r="OD106" i="6"/>
  <c r="HS104" i="6"/>
  <c r="HS105" i="6"/>
  <c r="DN133" i="6"/>
  <c r="DN134" i="6" s="1"/>
  <c r="DN129" i="6"/>
  <c r="MV129" i="6"/>
  <c r="MV133" i="6"/>
  <c r="MV134" i="6" s="1"/>
  <c r="OZ149" i="6"/>
  <c r="OZ145" i="6"/>
  <c r="DL133" i="6"/>
  <c r="DL134" i="6" s="1"/>
  <c r="DL129" i="6"/>
  <c r="HE129" i="6"/>
  <c r="HE133" i="6"/>
  <c r="HE134" i="6" s="1"/>
  <c r="IA133" i="6"/>
  <c r="IA134" i="6" s="1"/>
  <c r="IA129" i="6"/>
  <c r="KE129" i="6"/>
  <c r="KE133" i="6"/>
  <c r="KE134" i="6" s="1"/>
  <c r="MZ129" i="6"/>
  <c r="MZ133" i="6"/>
  <c r="MZ134" i="6" s="1"/>
  <c r="FL129" i="6"/>
  <c r="FL133" i="6"/>
  <c r="FL134" i="6" s="1"/>
  <c r="AG129" i="6"/>
  <c r="AG133" i="6"/>
  <c r="AG134" i="6" s="1"/>
  <c r="LS133" i="6"/>
  <c r="LS134" i="6" s="1"/>
  <c r="LS129" i="6"/>
  <c r="PJ129" i="6"/>
  <c r="PJ133" i="6"/>
  <c r="PJ134" i="6" s="1"/>
  <c r="DP129" i="6"/>
  <c r="DP133" i="6"/>
  <c r="DP134" i="6" s="1"/>
  <c r="II152" i="6"/>
  <c r="II153" i="6" s="1"/>
  <c r="II150" i="6"/>
  <c r="HG128" i="6"/>
  <c r="HG106" i="6"/>
  <c r="KO133" i="6"/>
  <c r="KO134" i="6" s="1"/>
  <c r="KO129" i="6"/>
  <c r="MA129" i="6"/>
  <c r="MA133" i="6"/>
  <c r="MA134" i="6" s="1"/>
  <c r="CX133" i="6"/>
  <c r="CX134" i="6" s="1"/>
  <c r="CX129" i="6"/>
  <c r="EH128" i="6"/>
  <c r="EH106" i="6"/>
  <c r="IU105" i="6"/>
  <c r="IU104" i="6"/>
  <c r="BW129" i="6"/>
  <c r="BW133" i="6"/>
  <c r="BW134" i="6" s="1"/>
  <c r="AO129" i="6"/>
  <c r="AO133" i="6"/>
  <c r="AO134" i="6" s="1"/>
  <c r="PH152" i="6"/>
  <c r="PH153" i="6" s="1"/>
  <c r="PH150" i="6"/>
  <c r="PS129" i="6"/>
  <c r="PS133" i="6"/>
  <c r="PS134" i="6" s="1"/>
  <c r="LM133" i="6"/>
  <c r="LM134" i="6" s="1"/>
  <c r="LM129" i="6"/>
  <c r="OT133" i="6"/>
  <c r="OT134" i="6" s="1"/>
  <c r="OT129" i="6"/>
  <c r="JS129" i="6"/>
  <c r="JS133" i="6"/>
  <c r="JS134" i="6" s="1"/>
  <c r="IC129" i="6"/>
  <c r="IC133" i="6"/>
  <c r="IC134" i="6" s="1"/>
  <c r="AW133" i="6"/>
  <c r="AW134" i="6" s="1"/>
  <c r="AW129" i="6"/>
  <c r="KA133" i="6"/>
  <c r="KA134" i="6" s="1"/>
  <c r="KA129" i="6"/>
  <c r="BA128" i="6"/>
  <c r="BA106" i="6"/>
  <c r="MT129" i="6"/>
  <c r="MT133" i="6"/>
  <c r="MT134" i="6" s="1"/>
  <c r="BM114" i="6"/>
  <c r="BM115" i="6"/>
  <c r="BM116" i="6" s="1"/>
  <c r="NP133" i="6"/>
  <c r="NP134" i="6" s="1"/>
  <c r="NP129" i="6"/>
  <c r="IW133" i="6"/>
  <c r="IW134" i="6" s="1"/>
  <c r="IW129" i="6"/>
  <c r="PN129" i="6"/>
  <c r="PN133" i="6"/>
  <c r="PN134" i="6" s="1"/>
  <c r="LK133" i="6"/>
  <c r="LK134" i="6" s="1"/>
  <c r="LK129" i="6"/>
  <c r="FD149" i="6"/>
  <c r="FD145" i="6"/>
  <c r="OX129" i="6"/>
  <c r="OX133" i="6"/>
  <c r="OX134" i="6" s="1"/>
  <c r="ER133" i="6"/>
  <c r="ER134" i="6" s="1"/>
  <c r="ER129" i="6"/>
  <c r="NF152" i="6"/>
  <c r="NF153" i="6" s="1"/>
  <c r="NF150" i="6"/>
  <c r="OV129" i="6"/>
  <c r="OV133" i="6"/>
  <c r="OV134" i="6" s="1"/>
  <c r="FH144" i="6"/>
  <c r="FH142" i="6"/>
  <c r="BO133" i="6"/>
  <c r="BO134" i="6" s="1"/>
  <c r="BO129" i="6"/>
  <c r="CQ133" i="6"/>
  <c r="CQ134" i="6" s="1"/>
  <c r="CQ129" i="6"/>
  <c r="MX129" i="6"/>
  <c r="MX133" i="6"/>
  <c r="MX134" i="6" s="1"/>
  <c r="GS129" i="6"/>
  <c r="GS133" i="6"/>
  <c r="GS134" i="6" s="1"/>
  <c r="GU150" i="6"/>
  <c r="GU152" i="6"/>
  <c r="GU153" i="6" s="1"/>
  <c r="LA129" i="6"/>
  <c r="LA133" i="6"/>
  <c r="LA134" i="6" s="1"/>
  <c r="HQ152" i="6"/>
  <c r="HQ153" i="6" s="1"/>
  <c r="HQ150" i="6"/>
  <c r="CS133" i="6"/>
  <c r="CS134" i="6" s="1"/>
  <c r="CS129" i="6"/>
  <c r="NN133" i="6"/>
  <c r="NN134" i="6" s="1"/>
  <c r="NN129" i="6"/>
  <c r="DX133" i="6"/>
  <c r="DX134" i="6" s="1"/>
  <c r="DX129" i="6"/>
  <c r="JB133" i="6"/>
  <c r="JB134" i="6" s="1"/>
  <c r="JB129" i="6"/>
  <c r="OZ133" i="6"/>
  <c r="OZ134" i="6" s="1"/>
  <c r="OZ129" i="6"/>
  <c r="LW150" i="6"/>
  <c r="LW152" i="6"/>
  <c r="LW153" i="6" s="1"/>
  <c r="OH129" i="6"/>
  <c r="OH133" i="6"/>
  <c r="OH134" i="6" s="1"/>
  <c r="LE128" i="6"/>
  <c r="LE106" i="6"/>
  <c r="LQ150" i="6"/>
  <c r="LQ152" i="6"/>
  <c r="LQ153" i="6" s="1"/>
  <c r="FF149" i="6"/>
  <c r="FF145" i="6"/>
  <c r="BY152" i="6"/>
  <c r="BY153" i="6" s="1"/>
  <c r="BY150" i="6"/>
  <c r="BE133" i="6"/>
  <c r="BE134" i="6" s="1"/>
  <c r="BE129" i="6"/>
  <c r="GQ152" i="6"/>
  <c r="GQ153" i="6" s="1"/>
  <c r="GQ150" i="6"/>
  <c r="KU129" i="6"/>
  <c r="KU133" i="6"/>
  <c r="KU134" i="6" s="1"/>
  <c r="KI133" i="6"/>
  <c r="KI134" i="6" s="1"/>
  <c r="KI129" i="6"/>
  <c r="EV129" i="6"/>
  <c r="EV133" i="6"/>
  <c r="EV134" i="6" s="1"/>
  <c r="QI133" i="6"/>
  <c r="QI134" i="6" s="1"/>
  <c r="QI129" i="6"/>
  <c r="NF106" i="6"/>
  <c r="NF128" i="6"/>
  <c r="PF145" i="6"/>
  <c r="PF149" i="6"/>
  <c r="IK133" i="6"/>
  <c r="IK134" i="6" s="1"/>
  <c r="IK129" i="6"/>
  <c r="IU115" i="6"/>
  <c r="IU116" i="6" s="1"/>
  <c r="IU114" i="6"/>
  <c r="KS128" i="6"/>
  <c r="KS106" i="6"/>
  <c r="NL129" i="6"/>
  <c r="NL133" i="6"/>
  <c r="NL134" i="6" s="1"/>
  <c r="CA133" i="6"/>
  <c r="CA134" i="6" s="1"/>
  <c r="CA129" i="6"/>
  <c r="HQ128" i="6"/>
  <c r="HQ106" i="6"/>
  <c r="EX129" i="6"/>
  <c r="EX133" i="6"/>
  <c r="EX134" i="6" s="1"/>
  <c r="DH129" i="6"/>
  <c r="DH133" i="6"/>
  <c r="DH134" i="6" s="1"/>
  <c r="JW133" i="6"/>
  <c r="JW134" i="6" s="1"/>
  <c r="JW129" i="6"/>
  <c r="OF104" i="6"/>
  <c r="OF105" i="6"/>
  <c r="OR133" i="6"/>
  <c r="OR134" i="6" s="1"/>
  <c r="OR129" i="6"/>
  <c r="OF115" i="6"/>
  <c r="OF116" i="6" s="1"/>
  <c r="OF114" i="6"/>
  <c r="DV133" i="6"/>
  <c r="DV134" i="6" s="1"/>
  <c r="DV129" i="6"/>
  <c r="FF133" i="6"/>
  <c r="FF134" i="6" s="1"/>
  <c r="FF129" i="6"/>
  <c r="HY133" i="6"/>
  <c r="HY134" i="6" s="1"/>
  <c r="HY129" i="6"/>
  <c r="KQ129" i="6"/>
  <c r="KQ133" i="6"/>
  <c r="KQ134" i="6" s="1"/>
  <c r="PF114" i="6"/>
  <c r="PF115" i="6"/>
  <c r="PF116" i="6" s="1"/>
  <c r="FD133" i="6"/>
  <c r="FD134" i="6" s="1"/>
  <c r="FD129" i="6"/>
  <c r="OP129" i="6"/>
  <c r="OP133" i="6"/>
  <c r="OP134" i="6" s="1"/>
  <c r="AK128" i="6"/>
  <c r="AK106" i="6"/>
  <c r="CK145" i="6"/>
  <c r="CK149" i="6"/>
  <c r="JY133" i="6"/>
  <c r="JY134" i="6" s="1"/>
  <c r="JY129" i="6"/>
  <c r="QO133" i="6"/>
  <c r="QO134" i="6" s="1"/>
  <c r="QO129" i="6"/>
  <c r="QC129" i="6"/>
  <c r="QC133" i="6"/>
  <c r="QC134" i="6" s="1"/>
  <c r="GQ128" i="6"/>
  <c r="GQ106" i="6"/>
  <c r="PP133" i="6"/>
  <c r="PP134" i="6" s="1"/>
  <c r="PP129" i="6"/>
  <c r="AM129" i="6"/>
  <c r="AM133" i="6"/>
  <c r="AM134" i="6" s="1"/>
  <c r="LI133" i="6"/>
  <c r="LI134" i="6" s="1"/>
  <c r="LI129" i="6"/>
  <c r="CC150" i="6"/>
  <c r="CC152" i="6"/>
  <c r="CC153" i="6" s="1"/>
  <c r="CM133" i="6"/>
  <c r="CM134" i="6" s="1"/>
  <c r="CM129" i="6"/>
  <c r="LY152" i="6"/>
  <c r="LY153" i="6" s="1"/>
  <c r="LY150" i="6"/>
  <c r="CE133" i="6"/>
  <c r="CE134" i="6" s="1"/>
  <c r="CE129" i="6"/>
  <c r="JU133" i="6"/>
  <c r="JU134" i="6" s="1"/>
  <c r="JU129" i="6"/>
  <c r="QA133" i="6"/>
  <c r="QA134" i="6" s="1"/>
  <c r="QA129" i="6"/>
  <c r="HS114" i="6"/>
  <c r="HS115" i="6"/>
  <c r="HS116" i="6" s="1"/>
  <c r="OB133" i="6"/>
  <c r="OB134" i="6" s="1"/>
  <c r="OB129" i="6"/>
  <c r="AE129" i="6"/>
  <c r="AE133" i="6"/>
  <c r="AE134" i="6" s="1"/>
  <c r="AC133" i="6"/>
  <c r="AC134" i="6" s="1"/>
  <c r="AC129" i="6"/>
  <c r="ON128" i="6"/>
  <c r="ON106" i="6"/>
  <c r="CO144" i="6"/>
  <c r="CO142" i="6"/>
  <c r="AY128" i="6"/>
  <c r="AY106" i="6"/>
  <c r="FJ140" i="6"/>
  <c r="FJ147" i="6" s="1"/>
  <c r="FJ139" i="6"/>
  <c r="FJ143" i="6"/>
  <c r="FJ151" i="6"/>
  <c r="CZ128" i="6"/>
  <c r="CZ106" i="6"/>
  <c r="FJ129" i="6"/>
  <c r="FJ133" i="6"/>
  <c r="FJ134" i="6" s="1"/>
  <c r="EL133" i="6"/>
  <c r="EL134" i="6" s="1"/>
  <c r="EL129" i="6"/>
  <c r="HW129" i="6"/>
  <c r="HW133" i="6"/>
  <c r="HW134" i="6" s="1"/>
  <c r="NZ133" i="6"/>
  <c r="NZ134" i="6" s="1"/>
  <c r="NZ129" i="6"/>
  <c r="IS129" i="6"/>
  <c r="IS133" i="6"/>
  <c r="IS134" i="6" s="1"/>
  <c r="IY129" i="6"/>
  <c r="IY133" i="6"/>
  <c r="IY134" i="6" s="1"/>
  <c r="KW133" i="6"/>
  <c r="KW134" i="6" s="1"/>
  <c r="KW129" i="6"/>
  <c r="MA152" i="6"/>
  <c r="MA153" i="6" s="1"/>
  <c r="MA150" i="6"/>
  <c r="DD133" i="6"/>
  <c r="DD134" i="6" s="1"/>
  <c r="DD129" i="6"/>
  <c r="PH129" i="6"/>
  <c r="PH133" i="6"/>
  <c r="PH134" i="6" s="1"/>
  <c r="LY129" i="6"/>
  <c r="LY133" i="6"/>
  <c r="LY134" i="6" s="1"/>
  <c r="PB150" i="6"/>
  <c r="PB152" i="6"/>
  <c r="PB153" i="6" s="1"/>
  <c r="LQ128" i="6"/>
  <c r="LQ106" i="6"/>
  <c r="GY129" i="6"/>
  <c r="GY133" i="6"/>
  <c r="GY134" i="6" s="1"/>
  <c r="AU129" i="6"/>
  <c r="AU133" i="6"/>
  <c r="AU134" i="6" s="1"/>
  <c r="CG150" i="6"/>
  <c r="CG152" i="6"/>
  <c r="CG153" i="6" s="1"/>
  <c r="FP133" i="6"/>
  <c r="FP134" i="6" s="1"/>
  <c r="FP129" i="6"/>
  <c r="IG133" i="6"/>
  <c r="IG134" i="6" s="1"/>
  <c r="IG129" i="6"/>
  <c r="KK133" i="6"/>
  <c r="KK134" i="6" s="1"/>
  <c r="KK129" i="6"/>
  <c r="FL151" i="6"/>
  <c r="FL139" i="6"/>
  <c r="FL143" i="6"/>
  <c r="FL140" i="6"/>
  <c r="FL147" i="6" s="1"/>
  <c r="KC128" i="6"/>
  <c r="KC106" i="6"/>
  <c r="QK133" i="6"/>
  <c r="QK134" i="6" s="1"/>
  <c r="QK129" i="6"/>
  <c r="BM105" i="6"/>
  <c r="BM104" i="6"/>
  <c r="NR129" i="6"/>
  <c r="NR133" i="6"/>
  <c r="NR134" i="6" s="1"/>
  <c r="IU145" i="6"/>
  <c r="IU149" i="6"/>
  <c r="DJ129" i="6"/>
  <c r="DJ133" i="6"/>
  <c r="DJ134" i="6" s="1"/>
  <c r="GM133" i="6"/>
  <c r="GM134" i="6" s="1"/>
  <c r="GM129" i="6"/>
  <c r="II128" i="6"/>
  <c r="II106" i="6"/>
  <c r="EJ128" i="6"/>
  <c r="EJ106" i="6"/>
  <c r="CK129" i="6"/>
  <c r="CK133" i="6"/>
  <c r="CK134" i="6" s="1"/>
  <c r="CG129" i="6"/>
  <c r="CG133" i="6"/>
  <c r="CG134" i="6" s="1"/>
  <c r="FH133" i="6"/>
  <c r="FH134" i="6" s="1"/>
  <c r="FH129" i="6"/>
  <c r="FB129" i="6"/>
  <c r="FB133" i="6"/>
  <c r="FB134" i="6" s="1"/>
  <c r="DB133" i="6"/>
  <c r="DB134" i="6" s="1"/>
  <c r="DB129" i="6"/>
  <c r="EZ129" i="6"/>
  <c r="EZ133" i="6"/>
  <c r="EZ134" i="6" s="1"/>
  <c r="BS129" i="6"/>
  <c r="BS133" i="6"/>
  <c r="BS134" i="6" s="1"/>
  <c r="HK133" i="6"/>
  <c r="HK134" i="6" s="1"/>
  <c r="HK129" i="6"/>
  <c r="MC149" i="6"/>
  <c r="MC145" i="6"/>
  <c r="KG129" i="6"/>
  <c r="KG133" i="6"/>
  <c r="KG134" i="6" s="1"/>
  <c r="LU133" i="6"/>
  <c r="LU134" i="6" s="1"/>
  <c r="LU129" i="6"/>
  <c r="QM129" i="6"/>
  <c r="QM133" i="6"/>
  <c r="QM134" i="6" s="1"/>
  <c r="KY129" i="6"/>
  <c r="KY133" i="6"/>
  <c r="KY134" i="6" s="1"/>
  <c r="CI152" i="6"/>
  <c r="CI153" i="6" s="1"/>
  <c r="CI150" i="6"/>
  <c r="NT129" i="6"/>
  <c r="NT133" i="6"/>
  <c r="NT134" i="6" s="1"/>
  <c r="EF129" i="6"/>
  <c r="EF133" i="6"/>
  <c r="EF134" i="6" s="1"/>
  <c r="HS149" i="6"/>
  <c r="HS145" i="6"/>
  <c r="PY133" i="6"/>
  <c r="PY134" i="6" s="1"/>
  <c r="PY129" i="6"/>
  <c r="BU129" i="6"/>
  <c r="BU133" i="6"/>
  <c r="BU134" i="6" s="1"/>
  <c r="PF104" i="6"/>
  <c r="PF105" i="6"/>
  <c r="HC129" i="6"/>
  <c r="HC133" i="6"/>
  <c r="HC134" i="6" s="1"/>
  <c r="PB129" i="6"/>
  <c r="PB133" i="6"/>
  <c r="PB134" i="6" s="1"/>
  <c r="PU133" i="6"/>
  <c r="PU134" i="6" s="1"/>
  <c r="PU129" i="6"/>
  <c r="FB152" i="6"/>
  <c r="FB153" i="6" s="1"/>
  <c r="FB150" i="6"/>
  <c r="HM133" i="6"/>
  <c r="HM134" i="6" s="1"/>
  <c r="HM129" i="6"/>
  <c r="HO133" i="6"/>
  <c r="HO134" i="6" s="1"/>
  <c r="HO129" i="6"/>
  <c r="BG129" i="6"/>
  <c r="BG133" i="6"/>
  <c r="BG134" i="6" s="1"/>
  <c r="OF145" i="6"/>
  <c r="OF149" i="6"/>
  <c r="ME145" i="6"/>
  <c r="ME149" i="6"/>
  <c r="NX129" i="6"/>
  <c r="NX133" i="6"/>
  <c r="NX134" i="6" s="1"/>
  <c r="GK133" i="6"/>
  <c r="GK134" i="6" s="1"/>
  <c r="GK129" i="6"/>
  <c r="CM145" i="6"/>
  <c r="CM149" i="6"/>
  <c r="FN137" i="6"/>
  <c r="DF129" i="6"/>
  <c r="DF133" i="6"/>
  <c r="DF134" i="6" s="1"/>
  <c r="BI129" i="6"/>
  <c r="BI133" i="6"/>
  <c r="BI134" i="6" s="1"/>
  <c r="EN133" i="6"/>
  <c r="EN134" i="6" s="1"/>
  <c r="EN129" i="6"/>
  <c r="AS129" i="6"/>
  <c r="AS133" i="6"/>
  <c r="AS134" i="6" s="1"/>
  <c r="ED133" i="6"/>
  <c r="ED134" i="6" s="1"/>
  <c r="ED129" i="6"/>
  <c r="DT129" i="6"/>
  <c r="DT133" i="6"/>
  <c r="DT134" i="6" s="1"/>
  <c r="PD150" i="6"/>
  <c r="PD152" i="6"/>
  <c r="PD153" i="6" s="1"/>
  <c r="PF128" i="6" l="1"/>
  <c r="PF106" i="6"/>
  <c r="FL146" i="6"/>
  <c r="FL141" i="6"/>
  <c r="EJ129" i="6"/>
  <c r="EJ133" i="6"/>
  <c r="EJ134" i="6" s="1"/>
  <c r="CZ133" i="6"/>
  <c r="CZ134" i="6" s="1"/>
  <c r="CZ129" i="6"/>
  <c r="FH149" i="6"/>
  <c r="FH145" i="6"/>
  <c r="OZ150" i="6"/>
  <c r="OZ152" i="6"/>
  <c r="OZ153" i="6" s="1"/>
  <c r="MC152" i="6"/>
  <c r="MC153" i="6" s="1"/>
  <c r="MC150" i="6"/>
  <c r="II129" i="6"/>
  <c r="II133" i="6"/>
  <c r="II134" i="6" s="1"/>
  <c r="KS133" i="6"/>
  <c r="KS134" i="6" s="1"/>
  <c r="KS129" i="6"/>
  <c r="NV133" i="6"/>
  <c r="NV134" i="6" s="1"/>
  <c r="NV129" i="6"/>
  <c r="OF150" i="6"/>
  <c r="OF152" i="6"/>
  <c r="OF153" i="6" s="1"/>
  <c r="FJ141" i="6"/>
  <c r="FJ146" i="6"/>
  <c r="BA133" i="6"/>
  <c r="BA134" i="6" s="1"/>
  <c r="BA129" i="6"/>
  <c r="LO129" i="6"/>
  <c r="LO133" i="6"/>
  <c r="LO134" i="6" s="1"/>
  <c r="CK150" i="6"/>
  <c r="CK152" i="6"/>
  <c r="CK153" i="6" s="1"/>
  <c r="HS128" i="6"/>
  <c r="HS106" i="6"/>
  <c r="AY133" i="6"/>
  <c r="AY134" i="6" s="1"/>
  <c r="AY129" i="6"/>
  <c r="FF152" i="6"/>
  <c r="FF153" i="6" s="1"/>
  <c r="FF150" i="6"/>
  <c r="IU128" i="6"/>
  <c r="IU106" i="6"/>
  <c r="BY133" i="6"/>
  <c r="BY134" i="6" s="1"/>
  <c r="BY129" i="6"/>
  <c r="IU150" i="6"/>
  <c r="IU152" i="6"/>
  <c r="IU153" i="6" s="1"/>
  <c r="OF128" i="6"/>
  <c r="OF106" i="6"/>
  <c r="PF150" i="6"/>
  <c r="PF152" i="6"/>
  <c r="PF153" i="6" s="1"/>
  <c r="CO149" i="6"/>
  <c r="CO145" i="6"/>
  <c r="AK133" i="6"/>
  <c r="AK134" i="6" s="1"/>
  <c r="AK129" i="6"/>
  <c r="EH129" i="6"/>
  <c r="EH133" i="6"/>
  <c r="EH134" i="6" s="1"/>
  <c r="OD133" i="6"/>
  <c r="OD134" i="6" s="1"/>
  <c r="OD129" i="6"/>
  <c r="BM150" i="6"/>
  <c r="BM152" i="6"/>
  <c r="BM153" i="6" s="1"/>
  <c r="NF133" i="6"/>
  <c r="NF134" i="6" s="1"/>
  <c r="NF129" i="6"/>
  <c r="ON133" i="6"/>
  <c r="ON134" i="6" s="1"/>
  <c r="ON129" i="6"/>
  <c r="LE129" i="6"/>
  <c r="LE133" i="6"/>
  <c r="LE134" i="6" s="1"/>
  <c r="FD150" i="6"/>
  <c r="FD152" i="6"/>
  <c r="FD153" i="6" s="1"/>
  <c r="LC129" i="6"/>
  <c r="LC133" i="6"/>
  <c r="LC134" i="6" s="1"/>
  <c r="BM128" i="6"/>
  <c r="BM106" i="6"/>
  <c r="ME150" i="6"/>
  <c r="ME152" i="6"/>
  <c r="ME153" i="6" s="1"/>
  <c r="FN138" i="6"/>
  <c r="FP137" i="6"/>
  <c r="FP138" i="6" s="1"/>
  <c r="LQ129" i="6"/>
  <c r="LQ133" i="6"/>
  <c r="LQ134" i="6" s="1"/>
  <c r="CM150" i="6"/>
  <c r="CM152" i="6"/>
  <c r="CM153" i="6" s="1"/>
  <c r="MC128" i="6"/>
  <c r="MC106" i="6"/>
  <c r="HS152" i="6"/>
  <c r="HS153" i="6" s="1"/>
  <c r="HS150" i="6"/>
  <c r="KC133" i="6"/>
  <c r="KC134" i="6" s="1"/>
  <c r="KC129" i="6"/>
  <c r="HQ133" i="6"/>
  <c r="HQ134" i="6" s="1"/>
  <c r="HQ129" i="6"/>
  <c r="HG133" i="6"/>
  <c r="HG134" i="6" s="1"/>
  <c r="HG129" i="6"/>
  <c r="GQ133" i="6"/>
  <c r="GQ134" i="6" s="1"/>
  <c r="GQ129" i="6"/>
  <c r="GU133" i="6"/>
  <c r="GU134" i="6" s="1"/>
  <c r="GU129" i="6"/>
  <c r="IU133" i="6" l="1"/>
  <c r="IU134" i="6" s="1"/>
  <c r="IU129" i="6"/>
  <c r="HS129" i="6"/>
  <c r="HS133" i="6"/>
  <c r="HS134" i="6" s="1"/>
  <c r="MC133" i="6"/>
  <c r="MC134" i="6" s="1"/>
  <c r="MC129" i="6"/>
  <c r="FH152" i="6"/>
  <c r="FH153" i="6" s="1"/>
  <c r="FH150" i="6"/>
  <c r="CO152" i="6"/>
  <c r="CO153" i="6" s="1"/>
  <c r="CO150" i="6"/>
  <c r="FL142" i="6"/>
  <c r="FL144" i="6"/>
  <c r="FN143" i="6"/>
  <c r="FN151" i="6"/>
  <c r="FN140" i="6"/>
  <c r="FN147" i="6" s="1"/>
  <c r="FN139" i="6"/>
  <c r="OF133" i="6"/>
  <c r="OF134" i="6" s="1"/>
  <c r="OF129" i="6"/>
  <c r="FJ144" i="6"/>
  <c r="FJ142" i="6"/>
  <c r="BM133" i="6"/>
  <c r="BM134" i="6" s="1"/>
  <c r="BM129" i="6"/>
  <c r="FP143" i="6"/>
  <c r="FP140" i="6"/>
  <c r="FP147" i="6" s="1"/>
  <c r="FP139" i="6"/>
  <c r="FP151" i="6"/>
  <c r="PF129" i="6"/>
  <c r="PF133" i="6"/>
  <c r="PF134" i="6" s="1"/>
  <c r="FJ145" i="6" l="1"/>
  <c r="FJ149" i="6"/>
  <c r="FN141" i="6"/>
  <c r="FN146" i="6"/>
  <c r="FL145" i="6"/>
  <c r="FL149" i="6"/>
  <c r="FP141" i="6"/>
  <c r="FP146" i="6"/>
  <c r="FL150" i="6" l="1"/>
  <c r="FL152" i="6"/>
  <c r="FL153" i="6" s="1"/>
  <c r="FP144" i="6"/>
  <c r="FP142" i="6"/>
  <c r="FN142" i="6"/>
  <c r="FN144" i="6"/>
  <c r="FJ152" i="6"/>
  <c r="FJ153" i="6" s="1"/>
  <c r="FJ150" i="6"/>
  <c r="FN145" i="6" l="1"/>
  <c r="FN149" i="6"/>
  <c r="FP145" i="6"/>
  <c r="FP149" i="6"/>
  <c r="FP152" i="6" l="1"/>
  <c r="FP153" i="6" s="1"/>
  <c r="FP150" i="6"/>
  <c r="FN150" i="6"/>
  <c r="FN152" i="6"/>
  <c r="FN153" i="6" s="1"/>
  <c r="D15" i="4" l="1"/>
  <c r="D7" i="4"/>
  <c r="D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 Andriani Deruyter</author>
    <author>Stefani Andriani</author>
  </authors>
  <commentList>
    <comment ref="DD60" authorId="0" shapeId="0" xr:uid="{155499EC-1F8C-4549-8D31-8741250BDCD5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F60" authorId="0" shapeId="0" xr:uid="{DDAF4FDF-1456-4AA1-8FBB-499B5628C3A0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H60" authorId="0" shapeId="0" xr:uid="{A21DCE51-A8EF-4F5E-B1DC-3FCAAFF93955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J60" authorId="0" shapeId="0" xr:uid="{2373847D-0990-46BA-B942-EFC2542B962C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L60" authorId="0" shapeId="0" xr:uid="{5F82F055-CDCF-4190-A81E-D4A6D3891D41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N60" authorId="0" shapeId="0" xr:uid="{043A5B51-635A-49A7-918A-6996F20771BF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P60" authorId="0" shapeId="0" xr:uid="{DF38A0D3-0C00-4F24-B0FA-1D9C20261A7F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R60" authorId="0" shapeId="0" xr:uid="{AC55DEF7-2E3B-4198-A2E6-027574DEA7B2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T60" authorId="0" shapeId="0" xr:uid="{AC92C9C7-54C0-4A95-813E-DA00739FC28F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V60" authorId="0" shapeId="0" xr:uid="{7542912B-6E91-46FC-A12E-AA1609A2E0B7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X60" authorId="0" shapeId="0" xr:uid="{52001487-3142-4F6B-8BA9-0D3C19E3D6A8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DZ60" authorId="0" shapeId="0" xr:uid="{78CF5956-EEFB-456A-9D61-09BF5ECA21B1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B60" authorId="0" shapeId="0" xr:uid="{95E82768-60FA-4D4D-A7EC-EDF3FA9BDC2C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D60" authorId="0" shapeId="0" xr:uid="{3B22DA7E-4ABF-4CE1-81AB-BCA9ED22659A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F60" authorId="0" shapeId="0" xr:uid="{8BC2AAF9-842A-444D-BADC-13B32EE532A0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H60" authorId="0" shapeId="0" xr:uid="{5A249CDC-4CCB-4044-B39F-0648320F4612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J60" authorId="0" shapeId="0" xr:uid="{49926A13-FE3F-41F0-8610-7C83BE6CEC48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L60" authorId="0" shapeId="0" xr:uid="{B077E9A8-2B7D-4177-A477-E30BC925EAF1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N60" authorId="0" shapeId="0" xr:uid="{6262C257-5590-4928-BF1A-1A03EEE938FC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P60" authorId="0" shapeId="0" xr:uid="{61DFA4D8-9611-48B3-BAE5-9D6E721135D3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R60" authorId="0" shapeId="0" xr:uid="{44FC80E6-5917-4D30-886C-8908F87DB982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T60" authorId="0" shapeId="0" xr:uid="{FEED3BA4-5B37-4E74-A05D-3F0E0D12C8BF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V60" authorId="0" shapeId="0" xr:uid="{90787A34-CF36-4805-B44F-5E7E774471DC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X60" authorId="0" shapeId="0" xr:uid="{9BDA9A24-3CBC-4531-9A78-DD6EBA66163B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EZ60" authorId="0" shapeId="0" xr:uid="{3C92649A-CD0F-4CFD-BA3C-44FBB92DBB05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B60" authorId="0" shapeId="0" xr:uid="{B1C1D35F-4314-4611-ABB0-78A121876B1D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D60" authorId="0" shapeId="0" xr:uid="{92765764-6EB7-4883-9139-A7E33347645A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F60" authorId="0" shapeId="0" xr:uid="{67EABFA5-6FB7-42E9-B55D-04A5FAC37D5D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H60" authorId="0" shapeId="0" xr:uid="{467795CD-9635-4E67-A20F-3EC4E6945DB3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J60" authorId="0" shapeId="0" xr:uid="{0ED27DA9-0114-4BB6-9B5A-00835FAA1C62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L60" authorId="0" shapeId="0" xr:uid="{5503177E-BC5B-4BB1-94FE-614EFEF7EFA8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N60" authorId="0" shapeId="0" xr:uid="{36DD484F-D3D4-47D8-9813-A2A3492CAA2C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FP60" authorId="0" shapeId="0" xr:uid="{1CCE4DE2-D7E2-4A26-9921-331E577A6412}">
      <text>
        <r>
          <rPr>
            <b/>
            <sz val="9"/>
            <color indexed="81"/>
            <rFont val="Tahoma"/>
            <family val="2"/>
          </rPr>
          <t>Stefani Andriani Deruyter:</t>
        </r>
        <r>
          <rPr>
            <sz val="9"/>
            <color indexed="81"/>
            <rFont val="Tahoma"/>
            <family val="2"/>
          </rPr>
          <t xml:space="preserve">
To make the price similar to GSI 10s (LEC)</t>
        </r>
      </text>
    </comment>
    <comment ref="IY77" authorId="1" shapeId="0" xr:uid="{2333C870-E978-4886-AF9B-CC6A5B281F46}">
      <text>
        <r>
          <rPr>
            <b/>
            <sz val="9"/>
            <color indexed="81"/>
            <rFont val="Tahoma"/>
            <family val="2"/>
          </rPr>
          <t>Stefani Andriani:</t>
        </r>
        <r>
          <rPr>
            <sz val="9"/>
            <color indexed="81"/>
            <rFont val="Tahoma"/>
            <family val="2"/>
          </rPr>
          <t xml:space="preserve">
Fully support by Indofood</t>
        </r>
      </text>
    </comment>
  </commentList>
</comments>
</file>

<file path=xl/sharedStrings.xml><?xml version="1.0" encoding="utf-8"?>
<sst xmlns="http://schemas.openxmlformats.org/spreadsheetml/2006/main" count="4128" uniqueCount="638">
  <si>
    <t>No</t>
  </si>
  <si>
    <t>Masalah</t>
  </si>
  <si>
    <t>Jika saat approval pakai matcode dummy, jika matcode asli sudah keluar harus bagaimana</t>
  </si>
  <si>
    <t xml:space="preserve">RM dan analis country harus bisa lihat setiap tahapan pricing sudah sampai TTD di mana biar tidak perlu tanya </t>
  </si>
  <si>
    <t>Jika di no 5 Bu Elly tidak setuju proses harus mulai dari awal atau cukup ubah lalu masuk ke Bu Elly lagi buat approval?</t>
  </si>
  <si>
    <t>Kurs</t>
  </si>
  <si>
    <t>share harga ke it</t>
  </si>
  <si>
    <t>Country</t>
  </si>
  <si>
    <t>Cambodia</t>
  </si>
  <si>
    <t>China</t>
  </si>
  <si>
    <t>Australia</t>
  </si>
  <si>
    <t>Croatia</t>
  </si>
  <si>
    <t>Vietnam</t>
  </si>
  <si>
    <t>USA</t>
  </si>
  <si>
    <t>Iraq</t>
  </si>
  <si>
    <t>PNG</t>
  </si>
  <si>
    <t>New Zealand</t>
  </si>
  <si>
    <t>South Africa</t>
  </si>
  <si>
    <t>Canada</t>
  </si>
  <si>
    <t>Malaysia</t>
  </si>
  <si>
    <t>Jordan</t>
  </si>
  <si>
    <t>Taiwan</t>
  </si>
  <si>
    <t>Hong Kong</t>
  </si>
  <si>
    <t>Philippines</t>
  </si>
  <si>
    <t>Saudi Arabia</t>
  </si>
  <si>
    <t>UK</t>
  </si>
  <si>
    <t>Italy</t>
  </si>
  <si>
    <t>Brunei</t>
  </si>
  <si>
    <t>Netherlands</t>
  </si>
  <si>
    <t>UAE</t>
  </si>
  <si>
    <t>Germany</t>
  </si>
  <si>
    <t>East Timor</t>
  </si>
  <si>
    <t>Solomon Islands</t>
  </si>
  <si>
    <t>India</t>
  </si>
  <si>
    <t>Singapore</t>
  </si>
  <si>
    <t>South Korea</t>
  </si>
  <si>
    <t>Nigeria</t>
  </si>
  <si>
    <t>Suriname</t>
  </si>
  <si>
    <t>Japan</t>
  </si>
  <si>
    <t>Malta</t>
  </si>
  <si>
    <t>Spain</t>
  </si>
  <si>
    <t>Thailand</t>
  </si>
  <si>
    <t>Qatar</t>
  </si>
  <si>
    <t>Oman</t>
  </si>
  <si>
    <t>New Caledonia</t>
  </si>
  <si>
    <t>Fiji</t>
  </si>
  <si>
    <t>Tonga</t>
  </si>
  <si>
    <t>Haiti</t>
  </si>
  <si>
    <t>Zimbabwe</t>
  </si>
  <si>
    <t>Mongolia</t>
  </si>
  <si>
    <t>Kenya</t>
  </si>
  <si>
    <t>Kuwait</t>
  </si>
  <si>
    <t>Mauritius</t>
  </si>
  <si>
    <t>Nauru</t>
  </si>
  <si>
    <t>Maldives</t>
  </si>
  <si>
    <t>Namibia</t>
  </si>
  <si>
    <t>Cyprus</t>
  </si>
  <si>
    <t>Hungary</t>
  </si>
  <si>
    <t>Uzbekistan</t>
  </si>
  <si>
    <t>Vanuatu</t>
  </si>
  <si>
    <t>Myanmar</t>
  </si>
  <si>
    <t>Gabon</t>
  </si>
  <si>
    <t>Kosovo</t>
  </si>
  <si>
    <t>Sierra Leone</t>
  </si>
  <si>
    <t>Angola</t>
  </si>
  <si>
    <t>Senegal</t>
  </si>
  <si>
    <t>Mexico</t>
  </si>
  <si>
    <t>France</t>
  </si>
  <si>
    <t>Cook Islands</t>
  </si>
  <si>
    <t>Tahiti</t>
  </si>
  <si>
    <t>Congo</t>
  </si>
  <si>
    <t>Ghana</t>
  </si>
  <si>
    <t>Mozambique</t>
  </si>
  <si>
    <t>Jamaica</t>
  </si>
  <si>
    <t>Liberia</t>
  </si>
  <si>
    <t>Bahrain</t>
  </si>
  <si>
    <t>Peru</t>
  </si>
  <si>
    <t>Togo</t>
  </si>
  <si>
    <t>Norway</t>
  </si>
  <si>
    <t>Somalia</t>
  </si>
  <si>
    <t>Sri Lanka</t>
  </si>
  <si>
    <t>Seychelles</t>
  </si>
  <si>
    <t>Grenada</t>
  </si>
  <si>
    <t>Poland</t>
  </si>
  <si>
    <t>Kiribati</t>
  </si>
  <si>
    <t>American Samoa</t>
  </si>
  <si>
    <t>Malawi</t>
  </si>
  <si>
    <t>Guam</t>
  </si>
  <si>
    <t>Cape Verde</t>
  </si>
  <si>
    <t>Morocco</t>
  </si>
  <si>
    <t>Ivory Coast</t>
  </si>
  <si>
    <t>Comoros</t>
  </si>
  <si>
    <t>Brazil</t>
  </si>
  <si>
    <t>West Bank</t>
  </si>
  <si>
    <t>Mali</t>
  </si>
  <si>
    <t>Greece</t>
  </si>
  <si>
    <t>Cameroon</t>
  </si>
  <si>
    <t>Guinea</t>
  </si>
  <si>
    <t>Reunion Island</t>
  </si>
  <si>
    <t>Sao Tome</t>
  </si>
  <si>
    <t>Mauritania</t>
  </si>
  <si>
    <t>Bhutan</t>
  </si>
  <si>
    <t>Mayotte</t>
  </si>
  <si>
    <t>Benin</t>
  </si>
  <si>
    <t>Guyana</t>
  </si>
  <si>
    <t>Yemen</t>
  </si>
  <si>
    <t>Serbia</t>
  </si>
  <si>
    <t>Gloria</t>
  </si>
  <si>
    <t>PIC CA</t>
  </si>
  <si>
    <t>Region</t>
  </si>
  <si>
    <t>Africa</t>
  </si>
  <si>
    <t>America</t>
  </si>
  <si>
    <t>ANZ</t>
  </si>
  <si>
    <t>ASEAN</t>
  </si>
  <si>
    <t>Europe</t>
  </si>
  <si>
    <t>Indobaltic</t>
  </si>
  <si>
    <t>Middle East</t>
  </si>
  <si>
    <t>North Asia</t>
  </si>
  <si>
    <t>PAC</t>
  </si>
  <si>
    <t>South Central Asia</t>
  </si>
  <si>
    <t>Yuni</t>
  </si>
  <si>
    <t>Dennis</t>
  </si>
  <si>
    <t>Type</t>
  </si>
  <si>
    <t>Margin</t>
  </si>
  <si>
    <t>Local Currency</t>
  </si>
  <si>
    <t>USD Currency</t>
  </si>
  <si>
    <t>CBP/pcs</t>
  </si>
  <si>
    <t>RBP/pcs</t>
  </si>
  <si>
    <t>DBP/pcs</t>
  </si>
  <si>
    <t>CIF/ctn</t>
  </si>
  <si>
    <t>FOB/ctn</t>
  </si>
  <si>
    <t>TP1/ctn</t>
  </si>
  <si>
    <t>TP2/ctn</t>
  </si>
  <si>
    <t>TP3/ctn</t>
  </si>
  <si>
    <t>Incentive/ctn</t>
  </si>
  <si>
    <t>COGS/pcs</t>
  </si>
  <si>
    <t>GP After Freight Cost Profit/Loss/ctn</t>
  </si>
  <si>
    <t>SKU</t>
  </si>
  <si>
    <t>IPKS 4x10</t>
  </si>
  <si>
    <t>Date</t>
  </si>
  <si>
    <t>Distributor</t>
  </si>
  <si>
    <t>Port</t>
  </si>
  <si>
    <t>Material</t>
  </si>
  <si>
    <t>Old FOB</t>
  </si>
  <si>
    <t>Old CIF</t>
  </si>
  <si>
    <t>New FOB</t>
  </si>
  <si>
    <t>New CIF</t>
  </si>
  <si>
    <t>Freight Cost</t>
  </si>
  <si>
    <t>20'</t>
  </si>
  <si>
    <t>40' HQ</t>
  </si>
  <si>
    <t>COGS</t>
  </si>
  <si>
    <t>COGS (USD)</t>
  </si>
  <si>
    <t>Show</t>
  </si>
  <si>
    <t>Product</t>
  </si>
  <si>
    <t>SKU Code</t>
  </si>
  <si>
    <t>Net Weight</t>
  </si>
  <si>
    <t>pcs/ctn</t>
  </si>
  <si>
    <t>Container Proposal</t>
  </si>
  <si>
    <t>Status</t>
  </si>
  <si>
    <t>Rounding</t>
  </si>
  <si>
    <t>Margin FOB</t>
  </si>
  <si>
    <t>Margin CIF</t>
  </si>
  <si>
    <t>Disc</t>
  </si>
  <si>
    <t>Date Approval</t>
  </si>
  <si>
    <t>Note</t>
  </si>
  <si>
    <t>Aiking</t>
  </si>
  <si>
    <t>Muara</t>
  </si>
  <si>
    <t>Y</t>
  </si>
  <si>
    <t>Ind Korean SpicyMushroomEXP 4x5</t>
  </si>
  <si>
    <t>IPKS EXP 4x5</t>
  </si>
  <si>
    <t>83 gr</t>
  </si>
  <si>
    <t>New SKU</t>
  </si>
  <si>
    <t>IndPremGrg KoreanFieryChickenEXP 4x5</t>
  </si>
  <si>
    <t>IPKF EXP 4x5</t>
  </si>
  <si>
    <t>94 gr</t>
  </si>
  <si>
    <t>Manual</t>
  </si>
  <si>
    <t>Input</t>
  </si>
  <si>
    <t>Proposal No</t>
  </si>
  <si>
    <t>:</t>
  </si>
  <si>
    <t>Proposed Date</t>
  </si>
  <si>
    <t>FOB Calculation</t>
  </si>
  <si>
    <t>1 USD =</t>
  </si>
  <si>
    <t>IDR</t>
  </si>
  <si>
    <t>Code</t>
  </si>
  <si>
    <t>Net</t>
  </si>
  <si>
    <t>Pcs/</t>
  </si>
  <si>
    <t>Ctns/Cont</t>
  </si>
  <si>
    <t>COGS Est.</t>
  </si>
  <si>
    <t>FOB (USD/ctn)</t>
  </si>
  <si>
    <t>Gross Profit</t>
  </si>
  <si>
    <t>Weight</t>
  </si>
  <si>
    <t>ctn</t>
  </si>
  <si>
    <t>USD</t>
  </si>
  <si>
    <t>Old</t>
  </si>
  <si>
    <t xml:space="preserve">New </t>
  </si>
  <si>
    <t>USD/ctn</t>
  </si>
  <si>
    <t>in%</t>
  </si>
  <si>
    <t>HQ</t>
  </si>
  <si>
    <t>/pack</t>
  </si>
  <si>
    <t>/ctn</t>
  </si>
  <si>
    <t>Price</t>
  </si>
  <si>
    <t>FOB</t>
  </si>
  <si>
    <t>Indomie</t>
  </si>
  <si>
    <t>Insurance</t>
  </si>
  <si>
    <t>COGS+</t>
  </si>
  <si>
    <t>CIF (USD/ctn)</t>
  </si>
  <si>
    <t>GP after TP, VSE, FS</t>
  </si>
  <si>
    <t>USD/</t>
  </si>
  <si>
    <t>in</t>
  </si>
  <si>
    <t>Freight+</t>
  </si>
  <si>
    <t>New</t>
  </si>
  <si>
    <t>40 HQ</t>
  </si>
  <si>
    <t>Ctn</t>
  </si>
  <si>
    <t>CIF</t>
  </si>
  <si>
    <t>Ins.</t>
  </si>
  <si>
    <t>Proposed by</t>
  </si>
  <si>
    <t>Reviewed By</t>
  </si>
  <si>
    <t>Approved By</t>
  </si>
  <si>
    <t>Hermawan</t>
  </si>
  <si>
    <t>Irene</t>
  </si>
  <si>
    <t xml:space="preserve">    Elly Betty</t>
  </si>
  <si>
    <t>BANDED</t>
  </si>
  <si>
    <t/>
  </si>
  <si>
    <t>CIF Muara</t>
  </si>
  <si>
    <t>Output dari tabel di atas</t>
  </si>
  <si>
    <t>Rumus</t>
  </si>
  <si>
    <t>PRICING STRUCTURE - AIKING</t>
  </si>
  <si>
    <t>Brunei - AIKING</t>
  </si>
  <si>
    <t>Scenario 1 
No FS</t>
  </si>
  <si>
    <t>Scenario 2 
FS + CBP no increase</t>
  </si>
  <si>
    <t>Scenario 3 PS 2000 + Dist Margin adjustment</t>
  </si>
  <si>
    <t>Scenario 4 No FS + CBP Incr</t>
  </si>
  <si>
    <t>Scenario 4A No FS + CBP Incr</t>
  </si>
  <si>
    <t>Existing</t>
  </si>
  <si>
    <t>Existing - Promo</t>
  </si>
  <si>
    <t>Propose - NPL</t>
  </si>
  <si>
    <t>Mar - Dec</t>
  </si>
  <si>
    <t>Jan - Mar</t>
  </si>
  <si>
    <t>Approved 8/11/22</t>
  </si>
  <si>
    <t>New Matcode</t>
  </si>
  <si>
    <t>New Launched</t>
  </si>
  <si>
    <t>General Info</t>
  </si>
  <si>
    <t>Year</t>
  </si>
  <si>
    <t>2017 IPOH</t>
  </si>
  <si>
    <t>2018 IPOH</t>
  </si>
  <si>
    <t>2018 IOD</t>
  </si>
  <si>
    <t>For Compare</t>
  </si>
  <si>
    <t>Mar - May 2025</t>
  </si>
  <si>
    <t>Remarks</t>
  </si>
  <si>
    <t>COGS Est +6%</t>
  </si>
  <si>
    <t>Second Increment</t>
  </si>
  <si>
    <t>COGS Nov 2022</t>
  </si>
  <si>
    <t>COGS Nov Q1-23</t>
  </si>
  <si>
    <t>RSP 1.55</t>
  </si>
  <si>
    <t>RSP 1.65</t>
  </si>
  <si>
    <t>COGS Est Q1-23</t>
  </si>
  <si>
    <t>COGS Jan 2023</t>
  </si>
  <si>
    <t>COGS Feb 2023</t>
  </si>
  <si>
    <t>COGS Mar 2023</t>
  </si>
  <si>
    <t>COGS Apr 2023</t>
  </si>
  <si>
    <t>Old FOB New Situation</t>
  </si>
  <si>
    <t>Proposal new FOB</t>
  </si>
  <si>
    <t>COGS May 2023</t>
  </si>
  <si>
    <t>COGS Jun 2023</t>
  </si>
  <si>
    <t>COGS Jul 2023</t>
  </si>
  <si>
    <t>COGS Aug 2023</t>
  </si>
  <si>
    <t>COGS Sep 2023</t>
  </si>
  <si>
    <t>COGS Oct 2023</t>
  </si>
  <si>
    <t>COGS Nov 2023</t>
  </si>
  <si>
    <t>COGS Dec 2023</t>
  </si>
  <si>
    <t>FY 2023</t>
  </si>
  <si>
    <t>COGS Jan 2024</t>
  </si>
  <si>
    <t>COGS Feb 2024</t>
  </si>
  <si>
    <t>COGS Mar 2024</t>
  </si>
  <si>
    <t>COGS Apr 2024</t>
  </si>
  <si>
    <t>COGS May 2024</t>
  </si>
  <si>
    <t>COGS Jun 2024</t>
  </si>
  <si>
    <t>COGS Jul 2024</t>
  </si>
  <si>
    <t>COGS Aug 2024</t>
  </si>
  <si>
    <t>COGS Sep 2024</t>
  </si>
  <si>
    <t>COGS Oct 2024</t>
  </si>
  <si>
    <t>COGS Nov 2024</t>
  </si>
  <si>
    <t>COGS Dec 2024</t>
  </si>
  <si>
    <t>FY 2024</t>
  </si>
  <si>
    <t>COGS Jan 2025</t>
  </si>
  <si>
    <t>RSP 3.05</t>
  </si>
  <si>
    <t>Update Nov 2022</t>
  </si>
  <si>
    <t>RSP 1.70</t>
  </si>
  <si>
    <t>Promo NPL 10+1</t>
  </si>
  <si>
    <t>Normal Price</t>
  </si>
  <si>
    <t>RSP 1.20</t>
  </si>
  <si>
    <t>PROMO Jun</t>
  </si>
  <si>
    <t>PROMO Nov</t>
  </si>
  <si>
    <t>RSP 0.99</t>
  </si>
  <si>
    <t>Normal</t>
  </si>
  <si>
    <t>Promo</t>
  </si>
  <si>
    <t>PROMO</t>
  </si>
  <si>
    <t>NORMAL - NPL</t>
  </si>
  <si>
    <t>PROMO - NPL</t>
  </si>
  <si>
    <t>NPL - Promo</t>
  </si>
  <si>
    <t>GSS MA</t>
  </si>
  <si>
    <t xml:space="preserve"> GSS MBS/CBT 8x5 </t>
  </si>
  <si>
    <t>GSS CBT/MBS 8x5</t>
  </si>
  <si>
    <t>GSS MA 10's</t>
  </si>
  <si>
    <t>IMGA</t>
  </si>
  <si>
    <t>IMGA NZ 8x5</t>
  </si>
  <si>
    <t>IMGA CBP GSS</t>
  </si>
  <si>
    <t>IMGA CBP 1.70</t>
  </si>
  <si>
    <t>ST</t>
  </si>
  <si>
    <t>RGA</t>
  </si>
  <si>
    <t>IPKF Vlok 20 - Normal</t>
  </si>
  <si>
    <t>IPKS Vlok 20 - Normal</t>
  </si>
  <si>
    <t>IPKF Vlok 20 - NPL</t>
  </si>
  <si>
    <t>IPKS Vlok 20 - NPL</t>
  </si>
  <si>
    <t>IPKF 20 (5s) - Promo</t>
  </si>
  <si>
    <t>IPKS 20 (5s) - Promo</t>
  </si>
  <si>
    <t>Content</t>
  </si>
  <si>
    <t>Currency</t>
  </si>
  <si>
    <t>BND</t>
  </si>
  <si>
    <t>Exchange rate per-</t>
  </si>
  <si>
    <t>Consumer</t>
  </si>
  <si>
    <t>CBP with VAT - per pcs</t>
  </si>
  <si>
    <t>CBP with VAT - per bundle</t>
  </si>
  <si>
    <t>VAT</t>
  </si>
  <si>
    <t xml:space="preserve"> - per pack</t>
  </si>
  <si>
    <t>VAT %</t>
  </si>
  <si>
    <t>CBP without VAT - per pcs</t>
  </si>
  <si>
    <t>CBP without VAT - per carton</t>
  </si>
  <si>
    <t>Retailer</t>
  </si>
  <si>
    <t>Retailers' margin After All Promo (%)</t>
  </si>
  <si>
    <t>Retailers' margin After All Promo</t>
  </si>
  <si>
    <t>Retailers' margin (%)</t>
  </si>
  <si>
    <t>Retailers' margin</t>
  </si>
  <si>
    <t>Reguler Trade Offer (By Indofood) (%)</t>
  </si>
  <si>
    <t>Reguler Trade Offer (By Indofood)</t>
  </si>
  <si>
    <t>Special Promotion By Indofood (%)</t>
  </si>
  <si>
    <t>Special Promotion (By Indofood)</t>
  </si>
  <si>
    <t>Trade Offer FOC (%)</t>
  </si>
  <si>
    <t>Trade Offer FOC</t>
  </si>
  <si>
    <t>Retailers' Buying Price - per carton</t>
  </si>
  <si>
    <t>Distributor
(Aiking)</t>
  </si>
  <si>
    <t>Distributor's margin after special offer (%)</t>
  </si>
  <si>
    <t>Distributor's margin after special offer</t>
  </si>
  <si>
    <t>Distributor's margin (%)</t>
  </si>
  <si>
    <t>Distributor's margin</t>
  </si>
  <si>
    <t>Distributor's Landed Cost - per carton</t>
  </si>
  <si>
    <t>Distributor's Buying Price - per carton</t>
  </si>
  <si>
    <t>Tolling IPOH</t>
  </si>
  <si>
    <t>IPOH's margin (%)</t>
  </si>
  <si>
    <t>IPOH's margin</t>
  </si>
  <si>
    <t>IPOH's Buying Price - per carton</t>
  </si>
  <si>
    <t>Importer (AIKING)</t>
  </si>
  <si>
    <t xml:space="preserve">Landed Cost </t>
  </si>
  <si>
    <t xml:space="preserve">USD </t>
  </si>
  <si>
    <t>Import duty rate</t>
  </si>
  <si>
    <t>Import duty %</t>
  </si>
  <si>
    <t>Warehouse</t>
  </si>
  <si>
    <t>Warehouse %</t>
  </si>
  <si>
    <t>Custom Clearance</t>
  </si>
  <si>
    <t>Custom Clearance %</t>
  </si>
  <si>
    <t>CIF price to PD after support</t>
  </si>
  <si>
    <t xml:space="preserve">per carton USD </t>
  </si>
  <si>
    <t>ANP</t>
  </si>
  <si>
    <t xml:space="preserve">  Support from IOD</t>
  </si>
  <si>
    <t xml:space="preserve">  Support from IOD %</t>
  </si>
  <si>
    <t xml:space="preserve">  Rounding</t>
  </si>
  <si>
    <t>CIF charge to PD before support</t>
  </si>
  <si>
    <t>FOB + CIF</t>
  </si>
  <si>
    <t>COST :</t>
  </si>
  <si>
    <t>Freight PS</t>
  </si>
  <si>
    <t xml:space="preserve"> 40 HI-CUBE</t>
  </si>
  <si>
    <t>Container load</t>
  </si>
  <si>
    <t xml:space="preserve">in carton </t>
  </si>
  <si>
    <t>Freight Cost / Ctn</t>
  </si>
  <si>
    <t>FOB-JKT</t>
  </si>
  <si>
    <t>FOB-JKT after disc</t>
  </si>
  <si>
    <t>per pack USD</t>
  </si>
  <si>
    <t>Banstrip + Banded</t>
  </si>
  <si>
    <t>Consumer Fair</t>
  </si>
  <si>
    <t>Display</t>
  </si>
  <si>
    <t>Special Price</t>
  </si>
  <si>
    <t>A&amp;P</t>
  </si>
  <si>
    <t>per carton USD</t>
  </si>
  <si>
    <t>A&amp;P%</t>
  </si>
  <si>
    <t>FOB after disc and A&amp;P</t>
  </si>
  <si>
    <t>Producer (CBT)</t>
  </si>
  <si>
    <t>COGS in carton - After VSE</t>
  </si>
  <si>
    <t>VSE in carton</t>
  </si>
  <si>
    <t>COGS in carton</t>
  </si>
  <si>
    <t>COGS in pack</t>
  </si>
  <si>
    <t xml:space="preserve">IDR </t>
  </si>
  <si>
    <t xml:space="preserve">MARGIN INDOFOOD BEFORE SUPPORT TO PD </t>
  </si>
  <si>
    <t>MARGIN INDOFOOD  BEFORE SUPPORT TO PD %</t>
  </si>
  <si>
    <t>Support from JKT to Distributor</t>
  </si>
  <si>
    <t xml:space="preserve">MARGIN INDOFOOD AFTER SUPPORT TO PD </t>
  </si>
  <si>
    <t>MARGIN INDOFOOD AFTER SUPPORT TO PD %</t>
  </si>
  <si>
    <t>Exchange rate</t>
  </si>
  <si>
    <t xml:space="preserve">USD/IDR </t>
  </si>
  <si>
    <t>FOB Based</t>
  </si>
  <si>
    <t>GP1 ( FOB - COGS )</t>
  </si>
  <si>
    <t>GP1 ( FOB - COGS ) %</t>
  </si>
  <si>
    <t>GP2 ( GP1 - VSE )</t>
  </si>
  <si>
    <t>GP2 ( GP1 - VSE ) %</t>
  </si>
  <si>
    <t>GP3 (GP2 - Support)</t>
  </si>
  <si>
    <t>GP3 (GP2 - Support) %</t>
  </si>
  <si>
    <t>GP4 (GP3 - A&amp;P)</t>
  </si>
  <si>
    <t>GP4 (GP3 - A&amp;P) %</t>
  </si>
  <si>
    <t>CIF Based</t>
  </si>
  <si>
    <t>GP1 ( CIF - COGS )</t>
  </si>
  <si>
    <t>GP1 ( CIF - COGS ) %</t>
  </si>
  <si>
    <t>GP2 ( GP1 - Freight - Insurance )</t>
  </si>
  <si>
    <t>GP2 ( GP1 - Freight - Insurance ) %</t>
  </si>
  <si>
    <t>GP3 ( GP2 - VSE - TP )</t>
  </si>
  <si>
    <t>GP3 ( GP2 - VSE - TP ) %</t>
  </si>
  <si>
    <t>GP4 ( GP3 - A&amp;P )</t>
  </si>
  <si>
    <t>GP4 ( GP3 - A&amp;P ) %</t>
  </si>
  <si>
    <t>VSE in USD/container</t>
  </si>
  <si>
    <t>VSE in IDR/container</t>
  </si>
  <si>
    <t>Labor/carton</t>
  </si>
  <si>
    <t>Freight PS (CIF + Pembulatan)</t>
  </si>
  <si>
    <t>Freight Actual</t>
  </si>
  <si>
    <t>Freight Variance</t>
  </si>
  <si>
    <t>Freight Variance/carton</t>
  </si>
  <si>
    <t>Freight Surcharge/carton</t>
  </si>
  <si>
    <t>GP5 (GP4 - G/L Freight)</t>
  </si>
  <si>
    <t>GP5 (GP4 - G/L Freight)%</t>
  </si>
  <si>
    <t>Marketing AnP %</t>
  </si>
  <si>
    <t>Marketing AnP</t>
  </si>
  <si>
    <t>GP After Marketing</t>
  </si>
  <si>
    <t>GP After Marketing %</t>
  </si>
  <si>
    <t>STD Packs</t>
  </si>
  <si>
    <t>STD Ctn</t>
  </si>
  <si>
    <t>GP1</t>
  </si>
  <si>
    <t>% GP1</t>
  </si>
  <si>
    <t>TP1</t>
  </si>
  <si>
    <t>GP2</t>
  </si>
  <si>
    <t>% GP2</t>
  </si>
  <si>
    <t>ANP 8% (Salary, Display, Incentive)</t>
  </si>
  <si>
    <t>ANP Trade Offer</t>
  </si>
  <si>
    <t>Special Promotion</t>
  </si>
  <si>
    <t>GP3</t>
  </si>
  <si>
    <t>% GP3</t>
  </si>
  <si>
    <t>Freight Gain</t>
  </si>
  <si>
    <t>GP4</t>
  </si>
  <si>
    <t>% GP4</t>
  </si>
  <si>
    <t>Sumber dari data di tabel adalah sheet PS</t>
  </si>
  <si>
    <t>Sumber dari data di tabel adalah sheet PS (kuning)</t>
  </si>
  <si>
    <t>PS</t>
  </si>
  <si>
    <t>Format akunting</t>
  </si>
  <si>
    <t>Summary</t>
  </si>
  <si>
    <t>Source</t>
  </si>
  <si>
    <t>Analis</t>
  </si>
  <si>
    <t>refer matcode</t>
  </si>
  <si>
    <t>AMBIL KE ROW TERTENTU</t>
  </si>
  <si>
    <t>pas awal bisa pilih ada matcode atau tidak</t>
  </si>
  <si>
    <t>Samain format ps, format akunting</t>
  </si>
  <si>
    <t>TOLLING</t>
  </si>
  <si>
    <t>HK Enterprise</t>
  </si>
  <si>
    <t>Monrovia</t>
  </si>
  <si>
    <t>Indomie Chicken-KAD SAF 8x5</t>
  </si>
  <si>
    <t>KAD SAF 8x5</t>
  </si>
  <si>
    <t>5's</t>
  </si>
  <si>
    <t>70 gr</t>
  </si>
  <si>
    <t>Indomie Beef Flavour (IBEA) SAF 8x5</t>
  </si>
  <si>
    <t>IBEA SAF 8x5</t>
  </si>
  <si>
    <t>CIF CBT</t>
  </si>
  <si>
    <t>Yuniwati</t>
  </si>
  <si>
    <t>OM</t>
  </si>
  <si>
    <t>Brisbane, Fremantle, Melbourne, Perth, Sydney</t>
  </si>
  <si>
    <t>Ind Curry ChickenAus 8x5</t>
  </si>
  <si>
    <t>K AUS 8x5</t>
  </si>
  <si>
    <t>80 gr</t>
  </si>
  <si>
    <t>Ind Special ChickenAus 8x5</t>
  </si>
  <si>
    <t>SA AUS 8x5</t>
  </si>
  <si>
    <t>75 gr</t>
  </si>
  <si>
    <t>FOB IAI</t>
  </si>
  <si>
    <t>1 EUR =</t>
  </si>
  <si>
    <t>EUR</t>
  </si>
  <si>
    <t>FOB IAI (EUR/ctn)</t>
  </si>
  <si>
    <t>EUR/ctn</t>
  </si>
  <si>
    <t>CIF IAI</t>
  </si>
  <si>
    <t>Insurance &amp; Rounding
EUR/Ctn</t>
  </si>
  <si>
    <t>CIF 
(EUR/ctn)</t>
  </si>
  <si>
    <t>Discount</t>
  </si>
  <si>
    <t>NET CIF (EUR/Ctn)</t>
  </si>
  <si>
    <t>GP IAI
(Net CIF - COGS)</t>
  </si>
  <si>
    <t>EUR/</t>
  </si>
  <si>
    <t>EUR/Ctn</t>
  </si>
  <si>
    <t> </t>
  </si>
  <si>
    <t>IAI + IOD Consolidated</t>
  </si>
  <si>
    <t xml:space="preserve">GROSS IOD SELLING PRICE </t>
  </si>
  <si>
    <t xml:space="preserve">Discount </t>
  </si>
  <si>
    <t>Net IOD Selling Price</t>
  </si>
  <si>
    <t>GP CONSOL (IAI + IOD)</t>
  </si>
  <si>
    <t>Elly Betty</t>
  </si>
  <si>
    <t>East Europe</t>
  </si>
  <si>
    <t>IndoBaltic</t>
  </si>
  <si>
    <t>UK &amp; Scandinavia</t>
  </si>
  <si>
    <t xml:space="preserve">Ind Vegetable flavour Scandi/IAI 8x5 </t>
  </si>
  <si>
    <t>VG(SM) Scandi/IAI 8x5</t>
  </si>
  <si>
    <t xml:space="preserve">Ind Chicken Flavour Scandi/IAI 8x5 </t>
  </si>
  <si>
    <t>KAMF Scandi/IAI 8x5</t>
  </si>
  <si>
    <t xml:space="preserve">Ind Beef Flavour Scandi/IAI 8x5 </t>
  </si>
  <si>
    <t>IBS Scandi/IAI 8x5</t>
  </si>
  <si>
    <t>FOB CBT</t>
  </si>
  <si>
    <t>Tolling IAI</t>
  </si>
  <si>
    <t>FOB SWG</t>
  </si>
  <si>
    <t>FOB SWG (USD/ctn)</t>
  </si>
  <si>
    <t>CIF IPOH</t>
  </si>
  <si>
    <t>Insurance &amp; Rounding
USD/Ctn</t>
  </si>
  <si>
    <t>CIF 
(USD/ctn)</t>
  </si>
  <si>
    <t>NET CIF (USD/Ctn)</t>
  </si>
  <si>
    <t>GP SWK
(Net CIF - COGS)</t>
  </si>
  <si>
    <t>USD/Ctn</t>
  </si>
  <si>
    <t>SWG+ IOD Consolidated</t>
  </si>
  <si>
    <t>GP CONSOL (SWG + IOD)</t>
  </si>
  <si>
    <t>Royal Food Gabon</t>
  </si>
  <si>
    <t>Libreville</t>
  </si>
  <si>
    <t>Indomie Chicken SWG 40</t>
  </si>
  <si>
    <t>KA SWG 40</t>
  </si>
  <si>
    <t>SINGLE</t>
  </si>
  <si>
    <t>Indomie Shrimp SWG 40</t>
  </si>
  <si>
    <t>KU SWG 40</t>
  </si>
  <si>
    <t>Indomie Beef SWG 40</t>
  </si>
  <si>
    <t>MB SWG 40</t>
  </si>
  <si>
    <t>Indomie Chicken Lime SWG 40</t>
  </si>
  <si>
    <t>KAL SWG 40</t>
  </si>
  <si>
    <t>Indomie Chicken Beldi SWG 40</t>
  </si>
  <si>
    <t>KAB SWG 40</t>
  </si>
  <si>
    <t>(Transaction in IDR)</t>
  </si>
  <si>
    <t>FOB (IDR/ctn)</t>
  </si>
  <si>
    <t>IOD GP</t>
  </si>
  <si>
    <t>IDR/ctn</t>
  </si>
  <si>
    <t>Indomie &amp; Sarimi</t>
  </si>
  <si>
    <t>COGS + Freight Ins</t>
  </si>
  <si>
    <t>CIF (IDR/ctn)</t>
  </si>
  <si>
    <t>Freight</t>
  </si>
  <si>
    <t>GP after TP, VSE, GL Freight</t>
  </si>
  <si>
    <t>IOD + IPH GP</t>
  </si>
  <si>
    <t>IDR/</t>
  </si>
  <si>
    <t>Surcharge</t>
  </si>
  <si>
    <t>DBP</t>
  </si>
  <si>
    <t>Indofood (M) Food Industries</t>
  </si>
  <si>
    <t>Port Klang</t>
  </si>
  <si>
    <t>IndPrem Korean SpicyMushroomEXP 4x10DPL</t>
  </si>
  <si>
    <t>IPKS EXP 4x10 DPL</t>
  </si>
  <si>
    <t>10's</t>
  </si>
  <si>
    <t>83 g</t>
  </si>
  <si>
    <t>IndPremGrg KoreanFieryChickenEXP 4x10DPL</t>
  </si>
  <si>
    <t>IPKF EXP 4x10 DPL</t>
  </si>
  <si>
    <t>94 g</t>
  </si>
  <si>
    <t>FOB IPOH</t>
  </si>
  <si>
    <t>MYR</t>
  </si>
  <si>
    <t>FOB IPOH (USD/ctn)</t>
  </si>
  <si>
    <t>GP IPOH
(Net CIF - COGS)</t>
  </si>
  <si>
    <t>TP2</t>
  </si>
  <si>
    <t>TP3</t>
  </si>
  <si>
    <t>to IOD</t>
  </si>
  <si>
    <t>to IC</t>
  </si>
  <si>
    <t>to Dist.</t>
  </si>
  <si>
    <t>IPOH + IOD Consolidated</t>
  </si>
  <si>
    <t>GROSS IOD SELLING PRICE TO IC</t>
  </si>
  <si>
    <t>Net IOD Selling Price to IC</t>
  </si>
  <si>
    <t>GP CONSOL (IPOH + IOD)</t>
  </si>
  <si>
    <t>North America</t>
  </si>
  <si>
    <t>IndoCanada Marketing Inc.</t>
  </si>
  <si>
    <t>Vancouver</t>
  </si>
  <si>
    <t>Sup Grg Barbeque CAD 6x5</t>
  </si>
  <si>
    <t>SPMGB CAD 6x5</t>
  </si>
  <si>
    <t>85 gr</t>
  </si>
  <si>
    <t>Sup Grg Original CAD 6x5</t>
  </si>
  <si>
    <t xml:space="preserve">SPMGO CAD 6x5 </t>
  </si>
  <si>
    <t>Tabel 1</t>
  </si>
  <si>
    <t>otomatis namanya keluar</t>
  </si>
  <si>
    <t>Tabel 2</t>
  </si>
  <si>
    <t>Factory</t>
  </si>
  <si>
    <t>Tabel 3</t>
  </si>
  <si>
    <t>FOB - COGS</t>
  </si>
  <si>
    <t>Matcode</t>
  </si>
  <si>
    <t>Container Load</t>
  </si>
  <si>
    <t>Cost analyst harus bisa lihat semua approval sudah sampai mana</t>
  </si>
  <si>
    <t>Akunting harus bisa lihat semua approval sudah sampai mana</t>
  </si>
  <si>
    <t>Notes</t>
  </si>
  <si>
    <t>Currency 1</t>
  </si>
  <si>
    <t>Currency 2</t>
  </si>
  <si>
    <t>Ocean Freight</t>
  </si>
  <si>
    <t>Container Type</t>
  </si>
  <si>
    <t>20 / 40</t>
  </si>
  <si>
    <t>Output</t>
  </si>
  <si>
    <t>Indonesia</t>
  </si>
  <si>
    <t>In% FOB</t>
  </si>
  <si>
    <t>(FOB - COGS)/FOB</t>
  </si>
  <si>
    <t>Auto</t>
  </si>
  <si>
    <t>Freight cost USD/Ctn</t>
  </si>
  <si>
    <t>Insurance in USD</t>
  </si>
  <si>
    <t>COGS + Freight + Ins.</t>
  </si>
  <si>
    <t>CIF - (COGS + Freight + Ins.)</t>
  </si>
  <si>
    <t>GP after TP, VSE, GL Freight in% FOB</t>
  </si>
  <si>
    <t>CIF - FOB - Freight Cost USD/Ctn</t>
  </si>
  <si>
    <t>Buat default 0.0425%</t>
  </si>
  <si>
    <t>CIF - TP1 - TP2 - TP3</t>
  </si>
  <si>
    <t>Net CIF / CIF</t>
  </si>
  <si>
    <t>Ada tombol add another SKU jika lebih dari satu matcode</t>
  </si>
  <si>
    <t>Khusus Malaysia</t>
  </si>
  <si>
    <t>Tolling IAI, SWG, SWK IPOH</t>
  </si>
  <si>
    <t>Kalau FOB Cuma muncul tabel 2</t>
  </si>
  <si>
    <t>Gross IOD Selling Price</t>
  </si>
  <si>
    <t>GROSS IOD SELLING PRICE</t>
  </si>
  <si>
    <t>GP CONSOL</t>
  </si>
  <si>
    <t>GP Consol in %</t>
  </si>
  <si>
    <t>Net CIF - COGS - Insurance &amp; Rounding - Freight Cost USD/Ctn</t>
  </si>
  <si>
    <t>Malaysia saja</t>
  </si>
  <si>
    <t>Produksi dari Indonesia FOB hanya keluar tabel 2</t>
  </si>
  <si>
    <t>Analis country harus bisa lihat approval negara bersangkutan sudah sampai mana</t>
  </si>
  <si>
    <t>Jika RM punya beberapa analis sebaiknya analis diberikan info juga approval sudah sampai mana</t>
  </si>
  <si>
    <t>Khusus Malaysia row ini perlu isi, negara lain kosong</t>
  </si>
  <si>
    <t>Produksi dari Indonesia CIF hanya keluar tabel 1 dan 2 sampai kolom AK</t>
  </si>
  <si>
    <t>Pricing Malaysia tabel 1 dan 2 sampai kolom AN</t>
  </si>
  <si>
    <t>Produksi Indonesia</t>
  </si>
  <si>
    <t>USD = IDR</t>
  </si>
  <si>
    <t>Indonesia/ Adkoturk/ SWG/ SWT/ IPOH/ IAI</t>
  </si>
  <si>
    <t>EUR = EUR</t>
  </si>
  <si>
    <t>USD = USD</t>
  </si>
  <si>
    <t>USD = MYR</t>
  </si>
  <si>
    <t>FX</t>
  </si>
  <si>
    <t>Produksi Tolling IAI</t>
  </si>
  <si>
    <t>Produksi Tolling SWG / SWK</t>
  </si>
  <si>
    <t>China Shanghai Resources produksi Indonesia</t>
  </si>
  <si>
    <t>China Shanghai Resources produksi Malaysia</t>
  </si>
  <si>
    <t>USD = RMB</t>
  </si>
  <si>
    <t xml:space="preserve">CIF * Insurance In % CIF </t>
  </si>
  <si>
    <t>Freight Cost USD 40 HQ / Container load</t>
  </si>
  <si>
    <t>COGS + Freight cost USD ctn + Insurance in USD</t>
  </si>
  <si>
    <t>GP after TP, VSE, GL Freight / FOB</t>
  </si>
  <si>
    <t>Gross IOD Selling Price - TP2 - TP3</t>
  </si>
  <si>
    <t>GP Consol / Gross IOD Selling price</t>
  </si>
  <si>
    <t>GP Consol</t>
  </si>
  <si>
    <t>Pricing Tolling tabel 1 sampai tabel 3 kolom D - AB, AP - 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</si>
</sst>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  <numFmt numFmtId="167" formatCode="[$-409]d\-mmm\-yy;@"/>
    <numFmt numFmtId="168" formatCode="_(* #,##0.0000_);_(* \(#,##0.0000\);_(* &quot;-&quot;??_);_(@_)"/>
    <numFmt numFmtId="169" formatCode="#,##0.0000"/>
    <numFmt numFmtId="170" formatCode="_-* #,##0_-;\-* #,##0_-;_-* &quot;-&quot;??_-;_-@_-"/>
    <numFmt numFmtId="171" formatCode="dd/mm/yy;@"/>
    <numFmt numFmtId="172" formatCode="_-* #,##0.00_-;\-* #,##0.00_-;_-* &quot;-&quot;??_-;_-@_-"/>
    <numFmt numFmtId="173" formatCode="_(* #,##0.000_);_(* \(#,##0.000\);_(* &quot;-&quot;??_);_(@_)"/>
    <numFmt numFmtId="174" formatCode="\R\p\ #,##0.00;[Red]\-\R\p\ #,##0.00"/>
    <numFmt numFmtId="175" formatCode="mmmm\ yyyy;@"/>
    <numFmt numFmtId="176" formatCode="0.000"/>
  </numFmts>
  <fonts count="7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6"/>
      <color indexed="8"/>
      <name val="Calibri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color rgb="FFC00000"/>
      <name val="Arial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i/>
      <sz val="10"/>
      <name val="Arial"/>
      <family val="2"/>
    </font>
    <font>
      <sz val="11"/>
      <name val="Calibri"/>
      <family val="2"/>
    </font>
    <font>
      <b/>
      <i/>
      <sz val="10"/>
      <color theme="8" tint="-0.249977111117893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Calibri"/>
      <family val="2"/>
    </font>
    <font>
      <sz val="11"/>
      <color theme="8" tint="-0.249977111117893"/>
      <name val="Calibri"/>
      <family val="2"/>
      <scheme val="minor"/>
    </font>
    <font>
      <b/>
      <i/>
      <sz val="10"/>
      <color rgb="FF002060"/>
      <name val="Arial"/>
      <family val="2"/>
    </font>
    <font>
      <i/>
      <sz val="10"/>
      <color rgb="FFC00000"/>
      <name val="Arial"/>
      <family val="2"/>
    </font>
    <font>
      <i/>
      <sz val="11"/>
      <color rgb="FFC00000"/>
      <name val="Calibri"/>
      <family val="2"/>
    </font>
    <font>
      <i/>
      <sz val="11"/>
      <color rgb="FFC00000"/>
      <name val="Calibri"/>
      <family val="2"/>
      <scheme val="minor"/>
    </font>
    <font>
      <b/>
      <i/>
      <sz val="10"/>
      <color rgb="FFFF0000"/>
      <name val="Arial"/>
      <family val="2"/>
    </font>
    <font>
      <sz val="10"/>
      <color rgb="FFFF0000"/>
      <name val="Arial"/>
      <family val="2"/>
    </font>
    <font>
      <i/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color rgb="FFFF0000"/>
      <name val="Calibri"/>
      <family val="2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i/>
      <sz val="11"/>
      <color indexed="8"/>
      <name val="Calibri"/>
      <family val="2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8" tint="-0.249977111117893"/>
      <name val="Calibri"/>
      <family val="2"/>
    </font>
    <font>
      <sz val="11"/>
      <color theme="8" tint="-0.249977111117893"/>
      <name val="Arial"/>
      <family val="2"/>
    </font>
    <font>
      <b/>
      <sz val="10"/>
      <color rgb="FF00B0F0"/>
      <name val="Arial"/>
      <family val="2"/>
    </font>
    <font>
      <i/>
      <sz val="10"/>
      <color theme="8" tint="-0.249977111117893"/>
      <name val="Arial"/>
      <family val="2"/>
    </font>
    <font>
      <i/>
      <sz val="11"/>
      <color theme="8" tint="-0.249977111117893"/>
      <name val="Calibri"/>
      <family val="2"/>
    </font>
    <font>
      <i/>
      <sz val="11"/>
      <color theme="8" tint="-0.249977111117893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8" tint="-0.499984740745262"/>
      <name val="Arial"/>
      <family val="2"/>
    </font>
    <font>
      <b/>
      <sz val="11"/>
      <color theme="8" tint="-0.499984740745262"/>
      <name val="Calibri"/>
      <family val="2"/>
    </font>
    <font>
      <b/>
      <sz val="11"/>
      <color theme="8" tint="-0.499984740745262"/>
      <name val="Calibri"/>
      <family val="2"/>
      <scheme val="minor"/>
    </font>
    <font>
      <b/>
      <sz val="10"/>
      <color theme="8" tint="-0.249977111117893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  <scheme val="minor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double">
        <color indexed="64"/>
      </right>
      <top/>
      <bottom style="dashDot">
        <color indexed="64"/>
      </bottom>
      <diagonal/>
    </border>
    <border>
      <left style="double">
        <color indexed="64"/>
      </left>
      <right/>
      <top/>
      <bottom style="dashDot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98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4" borderId="5" xfId="0" applyFont="1" applyFill="1" applyBorder="1"/>
    <xf numFmtId="0" fontId="0" fillId="0" borderId="6" xfId="0" applyBorder="1"/>
    <xf numFmtId="0" fontId="2" fillId="4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43" fontId="0" fillId="0" borderId="0" xfId="1" applyFont="1"/>
    <xf numFmtId="0" fontId="0" fillId="0" borderId="11" xfId="0" applyBorder="1"/>
    <xf numFmtId="164" fontId="0" fillId="0" borderId="11" xfId="2" applyNumberFormat="1" applyFont="1" applyBorder="1"/>
    <xf numFmtId="164" fontId="0" fillId="0" borderId="12" xfId="2" applyNumberFormat="1" applyFont="1" applyBorder="1"/>
    <xf numFmtId="0" fontId="0" fillId="0" borderId="14" xfId="0" applyBorder="1"/>
    <xf numFmtId="0" fontId="0" fillId="0" borderId="15" xfId="0" applyBorder="1"/>
    <xf numFmtId="165" fontId="0" fillId="0" borderId="14" xfId="1" applyNumberFormat="1" applyFont="1" applyBorder="1"/>
    <xf numFmtId="43" fontId="0" fillId="0" borderId="14" xfId="1" applyFont="1" applyBorder="1"/>
    <xf numFmtId="43" fontId="0" fillId="0" borderId="15" xfId="1" applyFont="1" applyBorder="1"/>
    <xf numFmtId="0" fontId="2" fillId="0" borderId="10" xfId="0" applyFont="1" applyBorder="1"/>
    <xf numFmtId="43" fontId="2" fillId="0" borderId="10" xfId="1" applyFont="1" applyBorder="1"/>
    <xf numFmtId="0" fontId="2" fillId="0" borderId="13" xfId="0" applyFont="1" applyBorder="1"/>
    <xf numFmtId="166" fontId="0" fillId="6" borderId="16" xfId="1" applyNumberFormat="1" applyFont="1" applyFill="1" applyBorder="1"/>
    <xf numFmtId="167" fontId="0" fillId="6" borderId="17" xfId="1" applyNumberFormat="1" applyFont="1" applyFill="1" applyBorder="1"/>
    <xf numFmtId="0" fontId="0" fillId="6" borderId="17" xfId="0" applyFill="1" applyBorder="1"/>
    <xf numFmtId="0" fontId="6" fillId="6" borderId="17" xfId="0" applyFont="1" applyFill="1" applyBorder="1"/>
    <xf numFmtId="43" fontId="0" fillId="6" borderId="17" xfId="1" applyFont="1" applyFill="1" applyBorder="1"/>
    <xf numFmtId="166" fontId="0" fillId="6" borderId="17" xfId="1" applyNumberFormat="1" applyFont="1" applyFill="1" applyBorder="1"/>
    <xf numFmtId="166" fontId="7" fillId="6" borderId="17" xfId="1" applyNumberFormat="1" applyFont="1" applyFill="1" applyBorder="1"/>
    <xf numFmtId="164" fontId="0" fillId="6" borderId="17" xfId="1" applyNumberFormat="1" applyFont="1" applyFill="1" applyBorder="1"/>
    <xf numFmtId="43" fontId="7" fillId="6" borderId="17" xfId="1" applyFont="1" applyFill="1" applyBorder="1"/>
    <xf numFmtId="167" fontId="7" fillId="6" borderId="17" xfId="1" applyNumberFormat="1" applyFont="1" applyFill="1" applyBorder="1" applyAlignment="1">
      <alignment horizontal="center"/>
    </xf>
    <xf numFmtId="167" fontId="0" fillId="6" borderId="18" xfId="1" applyNumberFormat="1" applyFont="1" applyFill="1" applyBorder="1"/>
    <xf numFmtId="166" fontId="0" fillId="0" borderId="16" xfId="1" applyNumberFormat="1" applyFont="1" applyBorder="1"/>
    <xf numFmtId="167" fontId="0" fillId="0" borderId="17" xfId="1" applyNumberFormat="1" applyFont="1" applyBorder="1"/>
    <xf numFmtId="0" fontId="0" fillId="0" borderId="17" xfId="0" applyBorder="1"/>
    <xf numFmtId="0" fontId="6" fillId="0" borderId="17" xfId="0" applyFont="1" applyBorder="1"/>
    <xf numFmtId="43" fontId="0" fillId="0" borderId="17" xfId="1" applyFont="1" applyBorder="1"/>
    <xf numFmtId="166" fontId="0" fillId="0" borderId="17" xfId="1" applyNumberFormat="1" applyFont="1" applyBorder="1"/>
    <xf numFmtId="166" fontId="7" fillId="0" borderId="17" xfId="1" applyNumberFormat="1" applyFont="1" applyBorder="1"/>
    <xf numFmtId="164" fontId="0" fillId="0" borderId="17" xfId="1" applyNumberFormat="1" applyFont="1" applyBorder="1"/>
    <xf numFmtId="43" fontId="7" fillId="0" borderId="17" xfId="1" applyFont="1" applyBorder="1"/>
    <xf numFmtId="167" fontId="7" fillId="0" borderId="17" xfId="1" applyNumberFormat="1" applyFont="1" applyBorder="1" applyAlignment="1">
      <alignment horizontal="center"/>
    </xf>
    <xf numFmtId="167" fontId="0" fillId="0" borderId="18" xfId="1" applyNumberFormat="1" applyFont="1" applyBorder="1"/>
    <xf numFmtId="0" fontId="4" fillId="5" borderId="20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166" fontId="4" fillId="5" borderId="19" xfId="1" applyNumberFormat="1" applyFont="1" applyFill="1" applyBorder="1" applyAlignment="1">
      <alignment horizontal="center"/>
    </xf>
    <xf numFmtId="166" fontId="4" fillId="5" borderId="19" xfId="0" applyNumberFormat="1" applyFont="1" applyFill="1" applyBorder="1" applyAlignment="1">
      <alignment horizontal="center"/>
    </xf>
    <xf numFmtId="43" fontId="4" fillId="5" borderId="19" xfId="1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9" fillId="0" borderId="0" xfId="0" applyFont="1"/>
    <xf numFmtId="15" fontId="10" fillId="0" borderId="0" xfId="0" applyNumberFormat="1" applyFont="1" applyAlignment="1">
      <alignment horizontal="left"/>
    </xf>
    <xf numFmtId="0" fontId="11" fillId="7" borderId="0" xfId="0" applyFont="1" applyFill="1"/>
    <xf numFmtId="0" fontId="10" fillId="7" borderId="0" xfId="0" applyFont="1" applyFill="1"/>
    <xf numFmtId="0" fontId="11" fillId="7" borderId="0" xfId="0" applyFont="1" applyFill="1" applyAlignment="1">
      <alignment horizontal="right"/>
    </xf>
    <xf numFmtId="38" fontId="11" fillId="7" borderId="0" xfId="0" applyNumberFormat="1" applyFont="1" applyFill="1" applyAlignment="1">
      <alignment horizontal="center"/>
    </xf>
    <xf numFmtId="0" fontId="11" fillId="8" borderId="26" xfId="0" applyFont="1" applyFill="1" applyBorder="1" applyAlignment="1">
      <alignment horizontal="center"/>
    </xf>
    <xf numFmtId="0" fontId="11" fillId="8" borderId="26" xfId="0" applyFont="1" applyFill="1" applyBorder="1" applyAlignment="1">
      <alignment horizontal="centerContinuous"/>
    </xf>
    <xf numFmtId="0" fontId="11" fillId="8" borderId="27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0" fontId="11" fillId="8" borderId="31" xfId="0" applyFont="1" applyFill="1" applyBorder="1"/>
    <xf numFmtId="0" fontId="11" fillId="8" borderId="31" xfId="0" applyFont="1" applyFill="1" applyBorder="1" applyAlignment="1">
      <alignment horizontal="center"/>
    </xf>
    <xf numFmtId="17" fontId="11" fillId="8" borderId="26" xfId="0" applyNumberFormat="1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3" xfId="0" applyFont="1" applyFill="1" applyBorder="1" applyAlignment="1">
      <alignment horizontal="center"/>
    </xf>
    <xf numFmtId="0" fontId="11" fillId="8" borderId="34" xfId="0" applyFont="1" applyFill="1" applyBorder="1"/>
    <xf numFmtId="0" fontId="11" fillId="8" borderId="34" xfId="0" applyFont="1" applyFill="1" applyBorder="1" applyAlignment="1">
      <alignment horizontal="center"/>
    </xf>
    <xf numFmtId="17" fontId="11" fillId="8" borderId="31" xfId="0" applyNumberFormat="1" applyFont="1" applyFill="1" applyBorder="1" applyAlignment="1">
      <alignment horizontal="center"/>
    </xf>
    <xf numFmtId="0" fontId="11" fillId="7" borderId="24" xfId="0" applyFont="1" applyFill="1" applyBorder="1"/>
    <xf numFmtId="0" fontId="11" fillId="7" borderId="25" xfId="0" applyFont="1" applyFill="1" applyBorder="1"/>
    <xf numFmtId="0" fontId="11" fillId="7" borderId="26" xfId="0" applyFont="1" applyFill="1" applyBorder="1"/>
    <xf numFmtId="0" fontId="10" fillId="7" borderId="26" xfId="0" applyFont="1" applyFill="1" applyBorder="1" applyAlignment="1">
      <alignment horizontal="center"/>
    </xf>
    <xf numFmtId="38" fontId="10" fillId="7" borderId="26" xfId="0" applyNumberFormat="1" applyFont="1" applyFill="1" applyBorder="1" applyAlignment="1">
      <alignment horizontal="center"/>
    </xf>
    <xf numFmtId="40" fontId="10" fillId="7" borderId="26" xfId="0" applyNumberFormat="1" applyFont="1" applyFill="1" applyBorder="1" applyAlignment="1">
      <alignment horizontal="center"/>
    </xf>
    <xf numFmtId="2" fontId="10" fillId="7" borderId="26" xfId="0" applyNumberFormat="1" applyFont="1" applyFill="1" applyBorder="1" applyAlignment="1">
      <alignment horizontal="center"/>
    </xf>
    <xf numFmtId="164" fontId="10" fillId="7" borderId="26" xfId="2" applyNumberFormat="1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10" fillId="7" borderId="31" xfId="0" applyFont="1" applyFill="1" applyBorder="1"/>
    <xf numFmtId="0" fontId="10" fillId="7" borderId="31" xfId="0" applyFont="1" applyFill="1" applyBorder="1" applyAlignment="1">
      <alignment horizontal="center"/>
    </xf>
    <xf numFmtId="38" fontId="10" fillId="7" borderId="31" xfId="0" applyNumberFormat="1" applyFont="1" applyFill="1" applyBorder="1" applyAlignment="1">
      <alignment horizontal="center"/>
    </xf>
    <xf numFmtId="40" fontId="10" fillId="7" borderId="31" xfId="0" applyNumberFormat="1" applyFont="1" applyFill="1" applyBorder="1" applyAlignment="1">
      <alignment horizontal="center"/>
    </xf>
    <xf numFmtId="2" fontId="10" fillId="7" borderId="31" xfId="0" applyNumberFormat="1" applyFont="1" applyFill="1" applyBorder="1" applyAlignment="1">
      <alignment horizontal="center"/>
    </xf>
    <xf numFmtId="164" fontId="10" fillId="7" borderId="31" xfId="2" applyNumberFormat="1" applyFont="1" applyFill="1" applyBorder="1" applyAlignment="1">
      <alignment horizontal="center"/>
    </xf>
    <xf numFmtId="0" fontId="10" fillId="7" borderId="32" xfId="0" applyFont="1" applyFill="1" applyBorder="1" applyAlignment="1">
      <alignment horizontal="center"/>
    </xf>
    <xf numFmtId="0" fontId="10" fillId="7" borderId="33" xfId="0" applyFont="1" applyFill="1" applyBorder="1" applyAlignment="1">
      <alignment horizontal="center"/>
    </xf>
    <xf numFmtId="0" fontId="10" fillId="7" borderId="34" xfId="0" applyFont="1" applyFill="1" applyBorder="1"/>
    <xf numFmtId="0" fontId="10" fillId="7" borderId="34" xfId="0" applyFont="1" applyFill="1" applyBorder="1" applyAlignment="1">
      <alignment horizontal="center"/>
    </xf>
    <xf numFmtId="38" fontId="10" fillId="7" borderId="34" xfId="0" applyNumberFormat="1" applyFont="1" applyFill="1" applyBorder="1" applyAlignment="1">
      <alignment horizontal="center"/>
    </xf>
    <xf numFmtId="40" fontId="10" fillId="7" borderId="34" xfId="0" applyNumberFormat="1" applyFont="1" applyFill="1" applyBorder="1" applyAlignment="1">
      <alignment horizontal="center"/>
    </xf>
    <xf numFmtId="2" fontId="10" fillId="7" borderId="34" xfId="0" applyNumberFormat="1" applyFont="1" applyFill="1" applyBorder="1" applyAlignment="1">
      <alignment horizontal="center"/>
    </xf>
    <xf numFmtId="164" fontId="10" fillId="7" borderId="34" xfId="2" applyNumberFormat="1" applyFont="1" applyFill="1" applyBorder="1" applyAlignment="1">
      <alignment horizontal="center"/>
    </xf>
    <xf numFmtId="0" fontId="10" fillId="0" borderId="35" xfId="0" applyFont="1" applyBorder="1"/>
    <xf numFmtId="0" fontId="11" fillId="7" borderId="36" xfId="0" applyFont="1" applyFill="1" applyBorder="1"/>
    <xf numFmtId="0" fontId="10" fillId="8" borderId="25" xfId="0" applyFont="1" applyFill="1" applyBorder="1" applyAlignment="1">
      <alignment horizontal="centerContinuous"/>
    </xf>
    <xf numFmtId="17" fontId="11" fillId="8" borderId="26" xfId="0" applyNumberFormat="1" applyFont="1" applyFill="1" applyBorder="1" applyAlignment="1">
      <alignment horizontal="centerContinuous"/>
    </xf>
    <xf numFmtId="0" fontId="11" fillId="8" borderId="32" xfId="0" applyFont="1" applyFill="1" applyBorder="1"/>
    <xf numFmtId="0" fontId="11" fillId="8" borderId="33" xfId="0" applyFont="1" applyFill="1" applyBorder="1"/>
    <xf numFmtId="17" fontId="11" fillId="8" borderId="34" xfId="0" applyNumberFormat="1" applyFont="1" applyFill="1" applyBorder="1" applyAlignment="1">
      <alignment horizontal="center"/>
    </xf>
    <xf numFmtId="0" fontId="11" fillId="7" borderId="29" xfId="0" applyFont="1" applyFill="1" applyBorder="1"/>
    <xf numFmtId="0" fontId="11" fillId="7" borderId="30" xfId="0" applyFont="1" applyFill="1" applyBorder="1"/>
    <xf numFmtId="0" fontId="11" fillId="7" borderId="31" xfId="0" applyFont="1" applyFill="1" applyBorder="1"/>
    <xf numFmtId="9" fontId="10" fillId="7" borderId="31" xfId="0" applyNumberFormat="1" applyFont="1" applyFill="1" applyBorder="1" applyAlignment="1">
      <alignment horizontal="center"/>
    </xf>
    <xf numFmtId="2" fontId="10" fillId="7" borderId="31" xfId="1" applyNumberFormat="1" applyFont="1" applyFill="1" applyBorder="1" applyAlignment="1">
      <alignment horizontal="center"/>
    </xf>
    <xf numFmtId="2" fontId="10" fillId="7" borderId="31" xfId="1" applyNumberFormat="1" applyFont="1" applyFill="1" applyBorder="1" applyAlignment="1">
      <alignment horizontal="center" vertical="center"/>
    </xf>
    <xf numFmtId="10" fontId="10" fillId="7" borderId="31" xfId="0" applyNumberFormat="1" applyFont="1" applyFill="1" applyBorder="1" applyAlignment="1">
      <alignment horizontal="center"/>
    </xf>
    <xf numFmtId="168" fontId="10" fillId="7" borderId="31" xfId="1" applyNumberFormat="1" applyFont="1" applyFill="1" applyBorder="1" applyAlignment="1">
      <alignment horizontal="center"/>
    </xf>
    <xf numFmtId="40" fontId="9" fillId="7" borderId="31" xfId="2" applyNumberFormat="1" applyFont="1" applyFill="1" applyBorder="1" applyAlignment="1">
      <alignment horizontal="center"/>
    </xf>
    <xf numFmtId="164" fontId="9" fillId="7" borderId="31" xfId="2" applyNumberFormat="1" applyFont="1" applyFill="1" applyBorder="1" applyAlignment="1">
      <alignment horizontal="center"/>
    </xf>
    <xf numFmtId="2" fontId="10" fillId="7" borderId="34" xfId="1" applyNumberFormat="1" applyFont="1" applyFill="1" applyBorder="1" applyAlignment="1">
      <alignment horizontal="center"/>
    </xf>
    <xf numFmtId="3" fontId="10" fillId="7" borderId="34" xfId="1" applyNumberFormat="1" applyFont="1" applyFill="1" applyBorder="1" applyAlignment="1">
      <alignment horizontal="center"/>
    </xf>
    <xf numFmtId="2" fontId="10" fillId="7" borderId="34" xfId="1" applyNumberFormat="1" applyFont="1" applyFill="1" applyBorder="1" applyAlignment="1">
      <alignment horizontal="center" vertical="center"/>
    </xf>
    <xf numFmtId="10" fontId="10" fillId="7" borderId="34" xfId="0" applyNumberFormat="1" applyFont="1" applyFill="1" applyBorder="1" applyAlignment="1">
      <alignment horizontal="center"/>
    </xf>
    <xf numFmtId="169" fontId="10" fillId="7" borderId="34" xfId="0" applyNumberFormat="1" applyFont="1" applyFill="1" applyBorder="1" applyAlignment="1">
      <alignment horizontal="center"/>
    </xf>
    <xf numFmtId="40" fontId="9" fillId="7" borderId="34" xfId="2" applyNumberFormat="1" applyFont="1" applyFill="1" applyBorder="1" applyAlignment="1">
      <alignment horizontal="center"/>
    </xf>
    <xf numFmtId="164" fontId="9" fillId="7" borderId="34" xfId="2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/>
    <xf numFmtId="0" fontId="10" fillId="0" borderId="30" xfId="0" applyFont="1" applyBorder="1"/>
    <xf numFmtId="0" fontId="10" fillId="0" borderId="32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6" xfId="0" applyFont="1" applyBorder="1"/>
    <xf numFmtId="0" fontId="10" fillId="0" borderId="33" xfId="0" applyFont="1" applyBorder="1" applyAlignment="1">
      <alignment horizontal="center"/>
    </xf>
    <xf numFmtId="0" fontId="11" fillId="8" borderId="24" xfId="0" applyFont="1" applyFill="1" applyBorder="1" applyAlignment="1">
      <alignment horizontal="center"/>
    </xf>
    <xf numFmtId="0" fontId="11" fillId="8" borderId="25" xfId="0" applyFont="1" applyFill="1" applyBorder="1" applyAlignment="1">
      <alignment horizontal="center"/>
    </xf>
    <xf numFmtId="0" fontId="11" fillId="8" borderId="29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3" fillId="0" borderId="0" xfId="3" applyFont="1" applyAlignment="1">
      <alignment vertical="center"/>
    </xf>
    <xf numFmtId="0" fontId="12" fillId="0" borderId="0" xfId="3" applyAlignment="1">
      <alignment vertical="center"/>
    </xf>
    <xf numFmtId="0" fontId="14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15" fontId="12" fillId="0" borderId="0" xfId="3" applyNumberFormat="1" applyAlignment="1">
      <alignment vertical="center"/>
    </xf>
    <xf numFmtId="0" fontId="16" fillId="0" borderId="0" xfId="3" applyFont="1" applyAlignment="1">
      <alignment horizontal="center" vertical="center" wrapText="1"/>
    </xf>
    <xf numFmtId="0" fontId="18" fillId="7" borderId="40" xfId="3" applyFont="1" applyFill="1" applyBorder="1" applyAlignment="1">
      <alignment vertical="center"/>
    </xf>
    <xf numFmtId="0" fontId="18" fillId="7" borderId="41" xfId="3" applyFont="1" applyFill="1" applyBorder="1" applyAlignment="1">
      <alignment vertical="center"/>
    </xf>
    <xf numFmtId="0" fontId="18" fillId="7" borderId="42" xfId="3" applyFont="1" applyFill="1" applyBorder="1" applyAlignment="1">
      <alignment vertical="center"/>
    </xf>
    <xf numFmtId="0" fontId="18" fillId="0" borderId="0" xfId="3" applyFont="1" applyAlignment="1">
      <alignment horizontal="center" vertical="center"/>
    </xf>
    <xf numFmtId="0" fontId="18" fillId="0" borderId="0" xfId="3" applyFont="1" applyAlignment="1">
      <alignment vertical="center"/>
    </xf>
    <xf numFmtId="0" fontId="18" fillId="7" borderId="29" xfId="3" applyFont="1" applyFill="1" applyBorder="1" applyAlignment="1">
      <alignment vertical="center"/>
    </xf>
    <xf numFmtId="0" fontId="18" fillId="7" borderId="0" xfId="3" applyFont="1" applyFill="1" applyAlignment="1">
      <alignment vertical="center"/>
    </xf>
    <xf numFmtId="0" fontId="18" fillId="7" borderId="46" xfId="3" applyFont="1" applyFill="1" applyBorder="1" applyAlignment="1">
      <alignment vertical="center"/>
    </xf>
    <xf numFmtId="0" fontId="18" fillId="0" borderId="45" xfId="3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/>
    </xf>
    <xf numFmtId="0" fontId="18" fillId="9" borderId="45" xfId="3" applyFont="1" applyFill="1" applyBorder="1" applyAlignment="1">
      <alignment horizontal="center" vertical="center"/>
    </xf>
    <xf numFmtId="0" fontId="18" fillId="9" borderId="46" xfId="3" applyFont="1" applyFill="1" applyBorder="1" applyAlignment="1">
      <alignment horizontal="center" vertical="center"/>
    </xf>
    <xf numFmtId="0" fontId="18" fillId="10" borderId="45" xfId="3" applyFont="1" applyFill="1" applyBorder="1" applyAlignment="1">
      <alignment horizontal="center" vertical="center"/>
    </xf>
    <xf numFmtId="0" fontId="18" fillId="10" borderId="46" xfId="3" applyFont="1" applyFill="1" applyBorder="1" applyAlignment="1">
      <alignment horizontal="center" vertical="center"/>
    </xf>
    <xf numFmtId="0" fontId="18" fillId="11" borderId="45" xfId="3" applyFont="1" applyFill="1" applyBorder="1" applyAlignment="1">
      <alignment horizontal="center" vertical="center"/>
    </xf>
    <xf numFmtId="0" fontId="18" fillId="11" borderId="46" xfId="3" applyFont="1" applyFill="1" applyBorder="1" applyAlignment="1">
      <alignment horizontal="center" vertical="center"/>
    </xf>
    <xf numFmtId="0" fontId="18" fillId="12" borderId="45" xfId="3" applyFont="1" applyFill="1" applyBorder="1" applyAlignment="1">
      <alignment horizontal="center" vertical="center"/>
    </xf>
    <xf numFmtId="0" fontId="18" fillId="12" borderId="46" xfId="3" applyFont="1" applyFill="1" applyBorder="1" applyAlignment="1">
      <alignment horizontal="center" vertical="center"/>
    </xf>
    <xf numFmtId="0" fontId="18" fillId="15" borderId="45" xfId="3" applyFont="1" applyFill="1" applyBorder="1" applyAlignment="1">
      <alignment horizontal="center" vertical="center"/>
    </xf>
    <xf numFmtId="0" fontId="18" fillId="15" borderId="46" xfId="3" applyFont="1" applyFill="1" applyBorder="1" applyAlignment="1">
      <alignment horizontal="center" vertical="center"/>
    </xf>
    <xf numFmtId="0" fontId="19" fillId="13" borderId="45" xfId="3" applyFont="1" applyFill="1" applyBorder="1" applyAlignment="1">
      <alignment horizontal="center" vertical="center"/>
    </xf>
    <xf numFmtId="0" fontId="19" fillId="13" borderId="46" xfId="3" applyFont="1" applyFill="1" applyBorder="1" applyAlignment="1">
      <alignment horizontal="center" vertical="center"/>
    </xf>
    <xf numFmtId="0" fontId="18" fillId="14" borderId="45" xfId="3" applyFont="1" applyFill="1" applyBorder="1" applyAlignment="1">
      <alignment horizontal="center" vertical="center"/>
    </xf>
    <xf numFmtId="0" fontId="18" fillId="14" borderId="46" xfId="3" applyFont="1" applyFill="1" applyBorder="1" applyAlignment="1">
      <alignment horizontal="center" vertical="center"/>
    </xf>
    <xf numFmtId="0" fontId="20" fillId="11" borderId="45" xfId="3" applyFont="1" applyFill="1" applyBorder="1" applyAlignment="1">
      <alignment horizontal="center" vertical="center"/>
    </xf>
    <xf numFmtId="0" fontId="20" fillId="11" borderId="46" xfId="3" applyFont="1" applyFill="1" applyBorder="1" applyAlignment="1">
      <alignment horizontal="center" vertical="center"/>
    </xf>
    <xf numFmtId="0" fontId="20" fillId="9" borderId="45" xfId="3" applyFont="1" applyFill="1" applyBorder="1" applyAlignment="1">
      <alignment horizontal="center" vertical="center"/>
    </xf>
    <xf numFmtId="0" fontId="20" fillId="9" borderId="46" xfId="3" applyFont="1" applyFill="1" applyBorder="1" applyAlignment="1">
      <alignment horizontal="center" vertical="center"/>
    </xf>
    <xf numFmtId="0" fontId="18" fillId="16" borderId="45" xfId="3" applyFont="1" applyFill="1" applyBorder="1" applyAlignment="1">
      <alignment horizontal="center" vertical="center"/>
    </xf>
    <xf numFmtId="0" fontId="18" fillId="16" borderId="46" xfId="3" applyFont="1" applyFill="1" applyBorder="1" applyAlignment="1">
      <alignment horizontal="center" vertical="center"/>
    </xf>
    <xf numFmtId="0" fontId="18" fillId="7" borderId="32" xfId="3" applyFont="1" applyFill="1" applyBorder="1" applyAlignment="1">
      <alignment vertical="center"/>
    </xf>
    <xf numFmtId="0" fontId="18" fillId="7" borderId="36" xfId="3" applyFont="1" applyFill="1" applyBorder="1" applyAlignment="1">
      <alignment vertical="center"/>
    </xf>
    <xf numFmtId="0" fontId="18" fillId="7" borderId="47" xfId="3" applyFont="1" applyFill="1" applyBorder="1" applyAlignment="1">
      <alignment vertical="center"/>
    </xf>
    <xf numFmtId="0" fontId="12" fillId="7" borderId="29" xfId="3" applyFill="1" applyBorder="1" applyAlignment="1">
      <alignment vertical="center"/>
    </xf>
    <xf numFmtId="0" fontId="12" fillId="7" borderId="0" xfId="3" applyFill="1" applyAlignment="1">
      <alignment vertical="center"/>
    </xf>
    <xf numFmtId="0" fontId="12" fillId="7" borderId="46" xfId="3" applyFill="1" applyBorder="1" applyAlignment="1">
      <alignment vertical="center"/>
    </xf>
    <xf numFmtId="170" fontId="22" fillId="0" borderId="0" xfId="4" applyNumberFormat="1" applyFont="1" applyFill="1" applyBorder="1" applyAlignment="1">
      <alignment vertical="center"/>
    </xf>
    <xf numFmtId="170" fontId="22" fillId="7" borderId="49" xfId="4" applyNumberFormat="1" applyFont="1" applyFill="1" applyBorder="1" applyAlignment="1">
      <alignment vertical="center"/>
    </xf>
    <xf numFmtId="170" fontId="22" fillId="7" borderId="50" xfId="4" applyNumberFormat="1" applyFont="1" applyFill="1" applyBorder="1" applyAlignment="1">
      <alignment vertical="center"/>
    </xf>
    <xf numFmtId="0" fontId="12" fillId="18" borderId="29" xfId="3" applyFill="1" applyBorder="1" applyAlignment="1">
      <alignment vertical="center"/>
    </xf>
    <xf numFmtId="0" fontId="12" fillId="18" borderId="0" xfId="3" applyFill="1" applyAlignment="1">
      <alignment vertical="center"/>
    </xf>
    <xf numFmtId="0" fontId="12" fillId="18" borderId="46" xfId="3" applyFill="1" applyBorder="1" applyAlignment="1">
      <alignment vertical="center"/>
    </xf>
    <xf numFmtId="170" fontId="18" fillId="0" borderId="0" xfId="4" applyNumberFormat="1" applyFont="1" applyFill="1" applyBorder="1" applyAlignment="1">
      <alignment horizontal="right" vertical="center"/>
    </xf>
    <xf numFmtId="170" fontId="18" fillId="18" borderId="49" xfId="4" applyNumberFormat="1" applyFont="1" applyFill="1" applyBorder="1" applyAlignment="1">
      <alignment horizontal="right" vertical="center"/>
    </xf>
    <xf numFmtId="170" fontId="18" fillId="18" borderId="50" xfId="4" applyNumberFormat="1" applyFont="1" applyFill="1" applyBorder="1" applyAlignment="1">
      <alignment horizontal="right" vertical="center"/>
    </xf>
    <xf numFmtId="43" fontId="22" fillId="0" borderId="0" xfId="4" applyFont="1" applyFill="1" applyBorder="1" applyAlignment="1">
      <alignment vertical="center"/>
    </xf>
    <xf numFmtId="43" fontId="23" fillId="18" borderId="49" xfId="4" applyFont="1" applyFill="1" applyBorder="1" applyAlignment="1">
      <alignment vertical="center"/>
    </xf>
    <xf numFmtId="43" fontId="22" fillId="18" borderId="50" xfId="4" applyFont="1" applyFill="1" applyBorder="1" applyAlignment="1">
      <alignment vertical="center"/>
    </xf>
    <xf numFmtId="171" fontId="12" fillId="0" borderId="0" xfId="3" applyNumberFormat="1" applyAlignment="1">
      <alignment horizontal="left" vertical="center"/>
    </xf>
    <xf numFmtId="0" fontId="24" fillId="18" borderId="29" xfId="3" applyFont="1" applyFill="1" applyBorder="1" applyAlignment="1">
      <alignment vertical="center"/>
    </xf>
    <xf numFmtId="170" fontId="22" fillId="18" borderId="49" xfId="4" applyNumberFormat="1" applyFont="1" applyFill="1" applyBorder="1" applyAlignment="1">
      <alignment vertical="center"/>
    </xf>
    <xf numFmtId="170" fontId="22" fillId="18" borderId="50" xfId="4" applyNumberFormat="1" applyFont="1" applyFill="1" applyBorder="1" applyAlignment="1">
      <alignment vertical="center"/>
    </xf>
    <xf numFmtId="0" fontId="18" fillId="7" borderId="51" xfId="3" applyFont="1" applyFill="1" applyBorder="1" applyAlignment="1">
      <alignment horizontal="center" vertical="center" textRotation="90" wrapText="1"/>
    </xf>
    <xf numFmtId="0" fontId="12" fillId="18" borderId="24" xfId="3" applyFill="1" applyBorder="1" applyAlignment="1">
      <alignment vertical="center"/>
    </xf>
    <xf numFmtId="0" fontId="12" fillId="18" borderId="35" xfId="3" applyFill="1" applyBorder="1" applyAlignment="1">
      <alignment vertical="center"/>
    </xf>
    <xf numFmtId="0" fontId="12" fillId="18" borderId="52" xfId="3" applyFill="1" applyBorder="1" applyAlignment="1">
      <alignment vertical="center"/>
    </xf>
    <xf numFmtId="170" fontId="22" fillId="18" borderId="53" xfId="4" applyNumberFormat="1" applyFont="1" applyFill="1" applyBorder="1" applyAlignment="1">
      <alignment vertical="center"/>
    </xf>
    <xf numFmtId="170" fontId="22" fillId="18" borderId="54" xfId="4" applyNumberFormat="1" applyFont="1" applyFill="1" applyBorder="1" applyAlignment="1">
      <alignment vertical="center"/>
    </xf>
    <xf numFmtId="0" fontId="12" fillId="18" borderId="46" xfId="3" applyFill="1" applyBorder="1" applyAlignment="1">
      <alignment horizontal="right" vertical="center"/>
    </xf>
    <xf numFmtId="43" fontId="25" fillId="18" borderId="49" xfId="4" applyFont="1" applyFill="1" applyBorder="1" applyAlignment="1">
      <alignment vertical="center"/>
    </xf>
    <xf numFmtId="0" fontId="12" fillId="0" borderId="0" xfId="3" applyAlignment="1">
      <alignment horizontal="right" vertical="center"/>
    </xf>
    <xf numFmtId="0" fontId="16" fillId="18" borderId="29" xfId="3" applyFont="1" applyFill="1" applyBorder="1" applyAlignment="1">
      <alignment vertical="center"/>
    </xf>
    <xf numFmtId="0" fontId="16" fillId="18" borderId="0" xfId="3" applyFont="1" applyFill="1" applyAlignment="1">
      <alignment vertical="center"/>
    </xf>
    <xf numFmtId="0" fontId="16" fillId="18" borderId="46" xfId="3" applyFont="1" applyFill="1" applyBorder="1" applyAlignment="1">
      <alignment horizontal="right" vertical="center"/>
    </xf>
    <xf numFmtId="43" fontId="20" fillId="0" borderId="0" xfId="4" applyFont="1" applyFill="1" applyBorder="1" applyAlignment="1">
      <alignment vertical="center"/>
    </xf>
    <xf numFmtId="43" fontId="20" fillId="19" borderId="49" xfId="4" applyFont="1" applyFill="1" applyBorder="1" applyAlignment="1">
      <alignment vertical="center"/>
    </xf>
    <xf numFmtId="43" fontId="20" fillId="18" borderId="50" xfId="4" applyFont="1" applyFill="1" applyBorder="1" applyAlignment="1">
      <alignment vertical="center"/>
    </xf>
    <xf numFmtId="43" fontId="21" fillId="17" borderId="49" xfId="4" applyFont="1" applyFill="1" applyBorder="1" applyAlignment="1">
      <alignment vertical="center"/>
    </xf>
    <xf numFmtId="0" fontId="16" fillId="0" borderId="0" xfId="3" applyFont="1" applyAlignment="1">
      <alignment horizontal="right" vertical="center"/>
    </xf>
    <xf numFmtId="43" fontId="20" fillId="12" borderId="49" xfId="4" applyFont="1" applyFill="1" applyBorder="1" applyAlignment="1">
      <alignment vertical="center"/>
    </xf>
    <xf numFmtId="43" fontId="19" fillId="13" borderId="49" xfId="4" applyFont="1" applyFill="1" applyBorder="1" applyAlignment="1">
      <alignment vertical="center"/>
    </xf>
    <xf numFmtId="43" fontId="20" fillId="17" borderId="49" xfId="4" applyFont="1" applyFill="1" applyBorder="1" applyAlignment="1">
      <alignment vertical="center"/>
    </xf>
    <xf numFmtId="0" fontId="7" fillId="0" borderId="0" xfId="0" applyFont="1"/>
    <xf numFmtId="0" fontId="12" fillId="18" borderId="0" xfId="3" quotePrefix="1" applyFill="1" applyAlignment="1">
      <alignment vertical="center"/>
    </xf>
    <xf numFmtId="43" fontId="22" fillId="18" borderId="49" xfId="4" applyFont="1" applyFill="1" applyBorder="1" applyAlignment="1">
      <alignment vertical="center"/>
    </xf>
    <xf numFmtId="164" fontId="23" fillId="0" borderId="0" xfId="5" applyNumberFormat="1" applyFont="1" applyFill="1" applyBorder="1" applyAlignment="1">
      <alignment vertical="center"/>
    </xf>
    <xf numFmtId="164" fontId="23" fillId="18" borderId="49" xfId="5" applyNumberFormat="1" applyFont="1" applyFill="1" applyBorder="1" applyAlignment="1">
      <alignment vertical="center"/>
    </xf>
    <xf numFmtId="164" fontId="23" fillId="18" borderId="50" xfId="5" applyNumberFormat="1" applyFont="1" applyFill="1" applyBorder="1" applyAlignment="1">
      <alignment vertical="center"/>
    </xf>
    <xf numFmtId="43" fontId="18" fillId="0" borderId="0" xfId="4" applyFont="1" applyFill="1" applyBorder="1" applyAlignment="1">
      <alignment vertical="center"/>
    </xf>
    <xf numFmtId="43" fontId="18" fillId="18" borderId="45" xfId="4" applyFont="1" applyFill="1" applyBorder="1" applyAlignment="1">
      <alignment vertical="center"/>
    </xf>
    <xf numFmtId="43" fontId="18" fillId="18" borderId="50" xfId="4" applyFont="1" applyFill="1" applyBorder="1" applyAlignment="1">
      <alignment vertical="center"/>
    </xf>
    <xf numFmtId="0" fontId="12" fillId="18" borderId="32" xfId="3" applyFill="1" applyBorder="1" applyAlignment="1">
      <alignment vertical="center"/>
    </xf>
    <xf numFmtId="0" fontId="12" fillId="18" borderId="36" xfId="3" applyFill="1" applyBorder="1" applyAlignment="1">
      <alignment vertical="center"/>
    </xf>
    <xf numFmtId="0" fontId="12" fillId="18" borderId="47" xfId="3" applyFill="1" applyBorder="1" applyAlignment="1">
      <alignment vertical="center"/>
    </xf>
    <xf numFmtId="170" fontId="22" fillId="18" borderId="48" xfId="4" applyNumberFormat="1" applyFont="1" applyFill="1" applyBorder="1" applyAlignment="1">
      <alignment vertical="center"/>
    </xf>
    <xf numFmtId="170" fontId="22" fillId="18" borderId="55" xfId="4" applyNumberFormat="1" applyFont="1" applyFill="1" applyBorder="1" applyAlignment="1">
      <alignment vertical="center"/>
    </xf>
    <xf numFmtId="43" fontId="22" fillId="18" borderId="49" xfId="1" applyFont="1" applyFill="1" applyBorder="1" applyAlignment="1">
      <alignment vertical="center"/>
    </xf>
    <xf numFmtId="0" fontId="26" fillId="20" borderId="29" xfId="3" applyFont="1" applyFill="1" applyBorder="1" applyAlignment="1">
      <alignment vertical="center"/>
    </xf>
    <xf numFmtId="0" fontId="27" fillId="20" borderId="0" xfId="3" applyFont="1" applyFill="1" applyAlignment="1">
      <alignment vertical="center"/>
    </xf>
    <xf numFmtId="0" fontId="27" fillId="20" borderId="46" xfId="3" applyFont="1" applyFill="1" applyBorder="1" applyAlignment="1">
      <alignment horizontal="right" vertical="center"/>
    </xf>
    <xf numFmtId="164" fontId="28" fillId="0" borderId="0" xfId="5" applyNumberFormat="1" applyFont="1" applyFill="1" applyBorder="1" applyAlignment="1">
      <alignment vertical="center"/>
    </xf>
    <xf numFmtId="164" fontId="28" fillId="20" borderId="49" xfId="5" applyNumberFormat="1" applyFont="1" applyFill="1" applyBorder="1" applyAlignment="1">
      <alignment vertical="center"/>
    </xf>
    <xf numFmtId="164" fontId="28" fillId="20" borderId="50" xfId="5" applyNumberFormat="1" applyFont="1" applyFill="1" applyBorder="1" applyAlignment="1">
      <alignment vertical="center"/>
    </xf>
    <xf numFmtId="0" fontId="27" fillId="20" borderId="0" xfId="3" applyFont="1" applyFill="1" applyAlignment="1">
      <alignment horizontal="right" vertical="center"/>
    </xf>
    <xf numFmtId="164" fontId="28" fillId="20" borderId="0" xfId="5" applyNumberFormat="1" applyFont="1" applyFill="1" applyBorder="1" applyAlignment="1">
      <alignment vertical="center"/>
    </xf>
    <xf numFmtId="0" fontId="29" fillId="0" borderId="0" xfId="0" applyFont="1"/>
    <xf numFmtId="0" fontId="12" fillId="20" borderId="29" xfId="3" applyFill="1" applyBorder="1" applyAlignment="1">
      <alignment vertical="center"/>
    </xf>
    <xf numFmtId="0" fontId="12" fillId="20" borderId="0" xfId="3" applyFill="1" applyAlignment="1">
      <alignment vertical="center"/>
    </xf>
    <xf numFmtId="0" fontId="12" fillId="20" borderId="46" xfId="3" applyFill="1" applyBorder="1" applyAlignment="1">
      <alignment horizontal="right" vertical="center"/>
    </xf>
    <xf numFmtId="43" fontId="22" fillId="20" borderId="49" xfId="4" applyFont="1" applyFill="1" applyBorder="1" applyAlignment="1">
      <alignment vertical="center"/>
    </xf>
    <xf numFmtId="43" fontId="22" fillId="20" borderId="50" xfId="4" applyFont="1" applyFill="1" applyBorder="1" applyAlignment="1">
      <alignment vertical="center"/>
    </xf>
    <xf numFmtId="0" fontId="12" fillId="20" borderId="0" xfId="3" applyFill="1" applyAlignment="1">
      <alignment horizontal="right" vertical="center"/>
    </xf>
    <xf numFmtId="43" fontId="22" fillId="20" borderId="0" xfId="4" applyFont="1" applyFill="1" applyBorder="1" applyAlignment="1">
      <alignment vertical="center"/>
    </xf>
    <xf numFmtId="0" fontId="26" fillId="0" borderId="29" xfId="3" applyFont="1" applyBorder="1" applyAlignment="1">
      <alignment vertical="center"/>
    </xf>
    <xf numFmtId="0" fontId="27" fillId="0" borderId="0" xfId="3" applyFont="1" applyAlignment="1">
      <alignment vertical="center"/>
    </xf>
    <xf numFmtId="0" fontId="27" fillId="0" borderId="46" xfId="3" applyFont="1" applyBorder="1" applyAlignment="1">
      <alignment horizontal="right" vertical="center"/>
    </xf>
    <xf numFmtId="164" fontId="28" fillId="0" borderId="49" xfId="5" applyNumberFormat="1" applyFont="1" applyFill="1" applyBorder="1" applyAlignment="1">
      <alignment vertical="center"/>
    </xf>
    <xf numFmtId="164" fontId="28" fillId="0" borderId="50" xfId="5" applyNumberFormat="1" applyFont="1" applyFill="1" applyBorder="1" applyAlignment="1">
      <alignment vertical="center"/>
    </xf>
    <xf numFmtId="0" fontId="27" fillId="0" borderId="0" xfId="3" applyFont="1" applyAlignment="1">
      <alignment horizontal="right" vertical="center"/>
    </xf>
    <xf numFmtId="0" fontId="30" fillId="0" borderId="29" xfId="3" applyFont="1" applyBorder="1" applyAlignment="1">
      <alignment vertical="center"/>
    </xf>
    <xf numFmtId="0" fontId="17" fillId="0" borderId="29" xfId="3" applyFont="1" applyBorder="1" applyAlignment="1">
      <alignment vertical="center"/>
    </xf>
    <xf numFmtId="0" fontId="31" fillId="0" borderId="0" xfId="3" applyFont="1" applyAlignment="1">
      <alignment vertical="center"/>
    </xf>
    <xf numFmtId="0" fontId="31" fillId="0" borderId="46" xfId="3" applyFont="1" applyBorder="1" applyAlignment="1">
      <alignment horizontal="right" vertical="center"/>
    </xf>
    <xf numFmtId="164" fontId="32" fillId="0" borderId="0" xfId="5" applyNumberFormat="1" applyFont="1" applyFill="1" applyBorder="1" applyAlignment="1">
      <alignment vertical="center"/>
    </xf>
    <xf numFmtId="164" fontId="32" fillId="0" borderId="49" xfId="5" applyNumberFormat="1" applyFont="1" applyFill="1" applyBorder="1" applyAlignment="1">
      <alignment vertical="center"/>
    </xf>
    <xf numFmtId="164" fontId="32" fillId="0" borderId="50" xfId="5" applyNumberFormat="1" applyFont="1" applyFill="1" applyBorder="1" applyAlignment="1">
      <alignment vertical="center"/>
    </xf>
    <xf numFmtId="0" fontId="31" fillId="0" borderId="0" xfId="3" applyFont="1" applyAlignment="1">
      <alignment horizontal="right" vertical="center"/>
    </xf>
    <xf numFmtId="164" fontId="32" fillId="12" borderId="49" xfId="5" applyNumberFormat="1" applyFont="1" applyFill="1" applyBorder="1" applyAlignment="1">
      <alignment vertical="center"/>
    </xf>
    <xf numFmtId="164" fontId="32" fillId="12" borderId="50" xfId="5" applyNumberFormat="1" applyFont="1" applyFill="1" applyBorder="1" applyAlignment="1">
      <alignment vertical="center"/>
    </xf>
    <xf numFmtId="0" fontId="33" fillId="0" borderId="0" xfId="0" applyFont="1"/>
    <xf numFmtId="0" fontId="31" fillId="18" borderId="29" xfId="3" applyFont="1" applyFill="1" applyBorder="1" applyAlignment="1">
      <alignment vertical="center"/>
    </xf>
    <xf numFmtId="0" fontId="31" fillId="18" borderId="0" xfId="3" applyFont="1" applyFill="1" applyAlignment="1">
      <alignment vertical="center"/>
    </xf>
    <xf numFmtId="0" fontId="31" fillId="18" borderId="46" xfId="3" applyFont="1" applyFill="1" applyBorder="1" applyAlignment="1">
      <alignment horizontal="right" vertical="center"/>
    </xf>
    <xf numFmtId="43" fontId="32" fillId="0" borderId="0" xfId="4" applyFont="1" applyFill="1" applyBorder="1" applyAlignment="1">
      <alignment vertical="center"/>
    </xf>
    <xf numFmtId="43" fontId="32" fillId="18" borderId="49" xfId="4" applyFont="1" applyFill="1" applyBorder="1" applyAlignment="1">
      <alignment vertical="center"/>
    </xf>
    <xf numFmtId="43" fontId="32" fillId="18" borderId="50" xfId="4" applyFont="1" applyFill="1" applyBorder="1" applyAlignment="1">
      <alignment vertical="center"/>
    </xf>
    <xf numFmtId="43" fontId="32" fillId="12" borderId="49" xfId="4" applyFont="1" applyFill="1" applyBorder="1" applyAlignment="1">
      <alignment vertical="center"/>
    </xf>
    <xf numFmtId="43" fontId="32" fillId="12" borderId="50" xfId="4" applyFont="1" applyFill="1" applyBorder="1" applyAlignment="1">
      <alignment vertical="center"/>
    </xf>
    <xf numFmtId="0" fontId="34" fillId="0" borderId="29" xfId="3" applyFont="1" applyBorder="1" applyAlignment="1">
      <alignment vertical="center"/>
    </xf>
    <xf numFmtId="9" fontId="32" fillId="18" borderId="49" xfId="2" applyFont="1" applyFill="1" applyBorder="1" applyAlignment="1">
      <alignment vertical="center"/>
    </xf>
    <xf numFmtId="9" fontId="32" fillId="18" borderId="50" xfId="2" applyFont="1" applyFill="1" applyBorder="1" applyAlignment="1">
      <alignment vertical="center"/>
    </xf>
    <xf numFmtId="0" fontId="35" fillId="18" borderId="29" xfId="3" applyFont="1" applyFill="1" applyBorder="1" applyAlignment="1">
      <alignment vertical="center"/>
    </xf>
    <xf numFmtId="43" fontId="18" fillId="19" borderId="49" xfId="4" applyFont="1" applyFill="1" applyBorder="1" applyAlignment="1">
      <alignment vertical="center"/>
    </xf>
    <xf numFmtId="43" fontId="18" fillId="17" borderId="49" xfId="4" applyFont="1" applyFill="1" applyBorder="1" applyAlignment="1">
      <alignment vertical="center"/>
    </xf>
    <xf numFmtId="172" fontId="22" fillId="18" borderId="49" xfId="4" applyNumberFormat="1" applyFont="1" applyFill="1" applyBorder="1" applyAlignment="1">
      <alignment vertical="center"/>
    </xf>
    <xf numFmtId="43" fontId="36" fillId="18" borderId="49" xfId="1" applyFont="1" applyFill="1" applyBorder="1" applyAlignment="1">
      <alignment vertical="center"/>
    </xf>
    <xf numFmtId="43" fontId="36" fillId="18" borderId="50" xfId="1" applyFont="1" applyFill="1" applyBorder="1" applyAlignment="1">
      <alignment vertical="center"/>
    </xf>
    <xf numFmtId="170" fontId="36" fillId="18" borderId="50" xfId="4" applyNumberFormat="1" applyFont="1" applyFill="1" applyBorder="1" applyAlignment="1">
      <alignment vertical="center"/>
    </xf>
    <xf numFmtId="43" fontId="22" fillId="18" borderId="50" xfId="1" applyFont="1" applyFill="1" applyBorder="1" applyAlignment="1">
      <alignment vertical="center"/>
    </xf>
    <xf numFmtId="0" fontId="37" fillId="0" borderId="0" xfId="0" applyFont="1"/>
    <xf numFmtId="170" fontId="22" fillId="18" borderId="51" xfId="4" applyNumberFormat="1" applyFont="1" applyFill="1" applyBorder="1" applyAlignment="1">
      <alignment vertical="center"/>
    </xf>
    <xf numFmtId="43" fontId="22" fillId="18" borderId="51" xfId="1" applyFont="1" applyFill="1" applyBorder="1" applyAlignment="1">
      <alignment vertical="center"/>
    </xf>
    <xf numFmtId="43" fontId="22" fillId="18" borderId="54" xfId="1" applyFont="1" applyFill="1" applyBorder="1" applyAlignment="1">
      <alignment vertical="center"/>
    </xf>
    <xf numFmtId="0" fontId="27" fillId="0" borderId="29" xfId="3" applyFont="1" applyBorder="1" applyAlignment="1">
      <alignment vertical="center"/>
    </xf>
    <xf numFmtId="170" fontId="22" fillId="18" borderId="45" xfId="4" applyNumberFormat="1" applyFont="1" applyFill="1" applyBorder="1" applyAlignment="1">
      <alignment vertical="center"/>
    </xf>
    <xf numFmtId="164" fontId="28" fillId="0" borderId="45" xfId="5" applyNumberFormat="1" applyFont="1" applyFill="1" applyBorder="1" applyAlignment="1">
      <alignment vertical="center"/>
    </xf>
    <xf numFmtId="164" fontId="28" fillId="12" borderId="45" xfId="5" applyNumberFormat="1" applyFont="1" applyFill="1" applyBorder="1" applyAlignment="1">
      <alignment vertical="center"/>
    </xf>
    <xf numFmtId="164" fontId="28" fillId="12" borderId="50" xfId="5" applyNumberFormat="1" applyFont="1" applyFill="1" applyBorder="1" applyAlignment="1">
      <alignment vertical="center"/>
    </xf>
    <xf numFmtId="43" fontId="22" fillId="18" borderId="45" xfId="1" applyFont="1" applyFill="1" applyBorder="1" applyAlignment="1">
      <alignment vertical="center"/>
    </xf>
    <xf numFmtId="43" fontId="22" fillId="12" borderId="45" xfId="1" applyFont="1" applyFill="1" applyBorder="1" applyAlignment="1">
      <alignment vertical="center"/>
    </xf>
    <xf numFmtId="43" fontId="22" fillId="12" borderId="50" xfId="4" applyFont="1" applyFill="1" applyBorder="1" applyAlignment="1">
      <alignment vertical="center"/>
    </xf>
    <xf numFmtId="43" fontId="22" fillId="18" borderId="45" xfId="4" applyFont="1" applyFill="1" applyBorder="1" applyAlignment="1">
      <alignment vertical="center"/>
    </xf>
    <xf numFmtId="43" fontId="18" fillId="17" borderId="45" xfId="4" applyFont="1" applyFill="1" applyBorder="1" applyAlignment="1">
      <alignment vertical="center"/>
    </xf>
    <xf numFmtId="43" fontId="18" fillId="19" borderId="45" xfId="4" applyFont="1" applyFill="1" applyBorder="1" applyAlignment="1">
      <alignment vertical="center"/>
    </xf>
    <xf numFmtId="170" fontId="22" fillId="18" borderId="56" xfId="4" applyNumberFormat="1" applyFont="1" applyFill="1" applyBorder="1" applyAlignment="1">
      <alignment vertical="center"/>
    </xf>
    <xf numFmtId="43" fontId="22" fillId="18" borderId="55" xfId="1" applyFont="1" applyFill="1" applyBorder="1" applyAlignment="1">
      <alignment vertical="center"/>
    </xf>
    <xf numFmtId="173" fontId="36" fillId="18" borderId="56" xfId="1" applyNumberFormat="1" applyFont="1" applyFill="1" applyBorder="1" applyAlignment="1">
      <alignment vertical="center"/>
    </xf>
    <xf numFmtId="173" fontId="36" fillId="18" borderId="55" xfId="1" applyNumberFormat="1" applyFont="1" applyFill="1" applyBorder="1" applyAlignment="1">
      <alignment vertical="center"/>
    </xf>
    <xf numFmtId="173" fontId="22" fillId="18" borderId="56" xfId="1" applyNumberFormat="1" applyFont="1" applyFill="1" applyBorder="1" applyAlignment="1">
      <alignment vertical="center"/>
    </xf>
    <xf numFmtId="173" fontId="22" fillId="18" borderId="55" xfId="1" applyNumberFormat="1" applyFont="1" applyFill="1" applyBorder="1" applyAlignment="1">
      <alignment vertical="center"/>
    </xf>
    <xf numFmtId="170" fontId="22" fillId="18" borderId="52" xfId="4" applyNumberFormat="1" applyFont="1" applyFill="1" applyBorder="1" applyAlignment="1">
      <alignment vertical="center"/>
    </xf>
    <xf numFmtId="0" fontId="38" fillId="18" borderId="29" xfId="3" applyFont="1" applyFill="1" applyBorder="1" applyAlignment="1">
      <alignment vertical="center"/>
    </xf>
    <xf numFmtId="0" fontId="38" fillId="18" borderId="0" xfId="3" applyFont="1" applyFill="1" applyAlignment="1">
      <alignment vertical="center"/>
    </xf>
    <xf numFmtId="0" fontId="38" fillId="18" borderId="46" xfId="3" applyFont="1" applyFill="1" applyBorder="1" applyAlignment="1">
      <alignment horizontal="right" vertical="center"/>
    </xf>
    <xf numFmtId="43" fontId="18" fillId="18" borderId="46" xfId="4" applyFont="1" applyFill="1" applyBorder="1" applyAlignment="1">
      <alignment vertical="center"/>
    </xf>
    <xf numFmtId="0" fontId="38" fillId="0" borderId="0" xfId="3" applyFont="1" applyAlignment="1">
      <alignment horizontal="right" vertical="center"/>
    </xf>
    <xf numFmtId="0" fontId="2" fillId="0" borderId="0" xfId="0" applyFont="1"/>
    <xf numFmtId="43" fontId="22" fillId="18" borderId="46" xfId="4" applyFont="1" applyFill="1" applyBorder="1" applyAlignment="1">
      <alignment vertical="center"/>
    </xf>
    <xf numFmtId="0" fontId="27" fillId="18" borderId="29" xfId="3" applyFont="1" applyFill="1" applyBorder="1" applyAlignment="1">
      <alignment vertical="center"/>
    </xf>
    <xf numFmtId="0" fontId="27" fillId="18" borderId="0" xfId="3" applyFont="1" applyFill="1" applyAlignment="1">
      <alignment vertical="center"/>
    </xf>
    <xf numFmtId="0" fontId="27" fillId="18" borderId="46" xfId="3" applyFont="1" applyFill="1" applyBorder="1" applyAlignment="1">
      <alignment vertical="center"/>
    </xf>
    <xf numFmtId="164" fontId="28" fillId="18" borderId="45" xfId="5" applyNumberFormat="1" applyFont="1" applyFill="1" applyBorder="1" applyAlignment="1">
      <alignment vertical="center"/>
    </xf>
    <xf numFmtId="164" fontId="28" fillId="18" borderId="46" xfId="5" applyNumberFormat="1" applyFont="1" applyFill="1" applyBorder="1" applyAlignment="1">
      <alignment vertical="center"/>
    </xf>
    <xf numFmtId="9" fontId="22" fillId="18" borderId="45" xfId="5" applyFont="1" applyFill="1" applyBorder="1" applyAlignment="1">
      <alignment vertical="center"/>
    </xf>
    <xf numFmtId="9" fontId="25" fillId="0" borderId="0" xfId="5" applyFont="1" applyFill="1" applyBorder="1" applyAlignment="1">
      <alignment vertical="center"/>
    </xf>
    <xf numFmtId="9" fontId="25" fillId="18" borderId="46" xfId="5" applyFont="1" applyFill="1" applyBorder="1" applyAlignment="1">
      <alignment vertical="center"/>
    </xf>
    <xf numFmtId="43" fontId="25" fillId="18" borderId="46" xfId="5" applyNumberFormat="1" applyFont="1" applyFill="1" applyBorder="1" applyAlignment="1">
      <alignment vertical="center"/>
    </xf>
    <xf numFmtId="0" fontId="18" fillId="21" borderId="29" xfId="3" applyFont="1" applyFill="1" applyBorder="1" applyAlignment="1">
      <alignment vertical="center"/>
    </xf>
    <xf numFmtId="0" fontId="18" fillId="21" borderId="0" xfId="3" applyFont="1" applyFill="1" applyAlignment="1">
      <alignment vertical="center"/>
    </xf>
    <xf numFmtId="0" fontId="18" fillId="21" borderId="46" xfId="3" applyFont="1" applyFill="1" applyBorder="1" applyAlignment="1">
      <alignment horizontal="right" vertical="center"/>
    </xf>
    <xf numFmtId="43" fontId="18" fillId="21" borderId="45" xfId="4" applyFont="1" applyFill="1" applyBorder="1" applyAlignment="1">
      <alignment vertical="center"/>
    </xf>
    <xf numFmtId="43" fontId="18" fillId="21" borderId="46" xfId="4" applyFont="1" applyFill="1" applyBorder="1" applyAlignment="1">
      <alignment vertical="center"/>
    </xf>
    <xf numFmtId="0" fontId="18" fillId="0" borderId="0" xfId="3" applyFont="1" applyAlignment="1">
      <alignment horizontal="right" vertical="center"/>
    </xf>
    <xf numFmtId="0" fontId="39" fillId="0" borderId="29" xfId="3" applyFont="1" applyBorder="1" applyAlignment="1">
      <alignment horizontal="left" vertical="center" indent="1"/>
    </xf>
    <xf numFmtId="0" fontId="39" fillId="0" borderId="0" xfId="3" applyFont="1" applyAlignment="1">
      <alignment vertical="center"/>
    </xf>
    <xf numFmtId="0" fontId="39" fillId="0" borderId="46" xfId="3" applyFont="1" applyBorder="1" applyAlignment="1">
      <alignment horizontal="right" vertical="center"/>
    </xf>
    <xf numFmtId="43" fontId="39" fillId="0" borderId="0" xfId="4" applyFont="1" applyFill="1" applyBorder="1" applyAlignment="1">
      <alignment vertical="center"/>
    </xf>
    <xf numFmtId="43" fontId="39" fillId="0" borderId="45" xfId="4" applyFont="1" applyFill="1" applyBorder="1" applyAlignment="1">
      <alignment vertical="center"/>
    </xf>
    <xf numFmtId="43" fontId="39" fillId="0" borderId="46" xfId="4" applyFont="1" applyFill="1" applyBorder="1" applyAlignment="1">
      <alignment vertical="center"/>
    </xf>
    <xf numFmtId="0" fontId="39" fillId="0" borderId="0" xfId="3" applyFont="1" applyAlignment="1">
      <alignment horizontal="right" vertical="center"/>
    </xf>
    <xf numFmtId="43" fontId="39" fillId="17" borderId="46" xfId="4" applyFont="1" applyFill="1" applyBorder="1" applyAlignment="1">
      <alignment vertical="center"/>
    </xf>
    <xf numFmtId="0" fontId="40" fillId="0" borderId="0" xfId="0" applyFont="1"/>
    <xf numFmtId="43" fontId="39" fillId="22" borderId="46" xfId="4" applyFont="1" applyFill="1" applyBorder="1" applyAlignment="1">
      <alignment vertical="center"/>
    </xf>
    <xf numFmtId="0" fontId="39" fillId="0" borderId="29" xfId="3" applyFont="1" applyBorder="1" applyAlignment="1">
      <alignment vertical="center"/>
    </xf>
    <xf numFmtId="0" fontId="41" fillId="0" borderId="29" xfId="3" applyFont="1" applyBorder="1" applyAlignment="1">
      <alignment vertical="center"/>
    </xf>
    <xf numFmtId="0" fontId="41" fillId="0" borderId="0" xfId="3" applyFont="1" applyAlignment="1">
      <alignment vertical="center"/>
    </xf>
    <xf numFmtId="0" fontId="41" fillId="0" borderId="46" xfId="3" applyFont="1" applyBorder="1" applyAlignment="1">
      <alignment horizontal="right" vertical="center"/>
    </xf>
    <xf numFmtId="43" fontId="41" fillId="0" borderId="0" xfId="4" applyFont="1" applyFill="1" applyBorder="1" applyAlignment="1">
      <alignment vertical="center"/>
    </xf>
    <xf numFmtId="43" fontId="41" fillId="0" borderId="45" xfId="4" applyFont="1" applyFill="1" applyBorder="1" applyAlignment="1">
      <alignment vertical="center"/>
    </xf>
    <xf numFmtId="164" fontId="41" fillId="0" borderId="46" xfId="2" applyNumberFormat="1" applyFont="1" applyFill="1" applyBorder="1" applyAlignment="1">
      <alignment vertical="center"/>
    </xf>
    <xf numFmtId="0" fontId="41" fillId="0" borderId="0" xfId="3" applyFont="1" applyAlignment="1">
      <alignment horizontal="right" vertical="center"/>
    </xf>
    <xf numFmtId="164" fontId="41" fillId="0" borderId="0" xfId="2" applyNumberFormat="1" applyFont="1" applyFill="1" applyBorder="1" applyAlignment="1">
      <alignment vertical="center"/>
    </xf>
    <xf numFmtId="0" fontId="42" fillId="0" borderId="0" xfId="0" applyFont="1"/>
    <xf numFmtId="43" fontId="41" fillId="0" borderId="46" xfId="4" applyFont="1" applyFill="1" applyBorder="1" applyAlignment="1">
      <alignment vertical="center"/>
    </xf>
    <xf numFmtId="0" fontId="18" fillId="0" borderId="29" xfId="3" applyFont="1" applyBorder="1" applyAlignment="1">
      <alignment vertical="center"/>
    </xf>
    <xf numFmtId="0" fontId="18" fillId="0" borderId="46" xfId="3" applyFont="1" applyBorder="1" applyAlignment="1">
      <alignment horizontal="right" vertical="center"/>
    </xf>
    <xf numFmtId="43" fontId="43" fillId="0" borderId="0" xfId="4" applyFont="1" applyFill="1" applyBorder="1" applyAlignment="1">
      <alignment vertical="center"/>
    </xf>
    <xf numFmtId="43" fontId="18" fillId="0" borderId="45" xfId="4" applyFont="1" applyFill="1" applyBorder="1" applyAlignment="1">
      <alignment vertical="center"/>
    </xf>
    <xf numFmtId="43" fontId="43" fillId="0" borderId="46" xfId="4" applyFont="1" applyFill="1" applyBorder="1" applyAlignment="1">
      <alignment vertical="center"/>
    </xf>
    <xf numFmtId="0" fontId="22" fillId="0" borderId="29" xfId="3" applyFont="1" applyBorder="1" applyAlignment="1">
      <alignment vertical="center"/>
    </xf>
    <xf numFmtId="0" fontId="22" fillId="0" borderId="0" xfId="3" applyFont="1" applyAlignment="1">
      <alignment vertical="center"/>
    </xf>
    <xf numFmtId="0" fontId="22" fillId="0" borderId="46" xfId="3" applyFont="1" applyBorder="1" applyAlignment="1">
      <alignment horizontal="right" vertical="center"/>
    </xf>
    <xf numFmtId="43" fontId="23" fillId="0" borderId="0" xfId="4" applyFont="1" applyFill="1" applyBorder="1" applyAlignment="1">
      <alignment vertical="center"/>
    </xf>
    <xf numFmtId="43" fontId="22" fillId="0" borderId="45" xfId="4" applyFont="1" applyFill="1" applyBorder="1" applyAlignment="1">
      <alignment vertical="center"/>
    </xf>
    <xf numFmtId="43" fontId="23" fillId="0" borderId="46" xfId="4" applyFont="1" applyFill="1" applyBorder="1" applyAlignment="1">
      <alignment vertical="center"/>
    </xf>
    <xf numFmtId="0" fontId="22" fillId="0" borderId="0" xfId="3" applyFont="1" applyAlignment="1">
      <alignment horizontal="right" vertical="center"/>
    </xf>
    <xf numFmtId="170" fontId="22" fillId="18" borderId="46" xfId="4" applyNumberFormat="1" applyFont="1" applyFill="1" applyBorder="1" applyAlignment="1">
      <alignment vertical="center"/>
    </xf>
    <xf numFmtId="0" fontId="18" fillId="18" borderId="29" xfId="3" applyFont="1" applyFill="1" applyBorder="1" applyAlignment="1">
      <alignment vertical="center"/>
    </xf>
    <xf numFmtId="0" fontId="18" fillId="18" borderId="0" xfId="3" applyFont="1" applyFill="1" applyAlignment="1">
      <alignment vertical="center"/>
    </xf>
    <xf numFmtId="0" fontId="35" fillId="18" borderId="0" xfId="3" applyFont="1" applyFill="1" applyAlignment="1">
      <alignment vertical="center"/>
    </xf>
    <xf numFmtId="0" fontId="35" fillId="18" borderId="46" xfId="3" applyFont="1" applyFill="1" applyBorder="1" applyAlignment="1">
      <alignment horizontal="right" vertical="center"/>
    </xf>
    <xf numFmtId="43" fontId="44" fillId="0" borderId="0" xfId="4" applyFont="1" applyFill="1" applyBorder="1" applyAlignment="1">
      <alignment horizontal="right" vertical="center"/>
    </xf>
    <xf numFmtId="170" fontId="44" fillId="18" borderId="45" xfId="4" applyNumberFormat="1" applyFont="1" applyFill="1" applyBorder="1" applyAlignment="1">
      <alignment horizontal="right" vertical="center"/>
    </xf>
    <xf numFmtId="43" fontId="44" fillId="18" borderId="46" xfId="4" applyFont="1" applyFill="1" applyBorder="1" applyAlignment="1">
      <alignment horizontal="right" vertical="center"/>
    </xf>
    <xf numFmtId="0" fontId="35" fillId="0" borderId="0" xfId="3" applyFont="1" applyAlignment="1">
      <alignment horizontal="right" vertical="center"/>
    </xf>
    <xf numFmtId="0" fontId="5" fillId="0" borderId="0" xfId="0" applyFont="1"/>
    <xf numFmtId="0" fontId="35" fillId="0" borderId="29" xfId="3" applyFont="1" applyBorder="1" applyAlignment="1">
      <alignment vertical="center"/>
    </xf>
    <xf numFmtId="0" fontId="35" fillId="0" borderId="0" xfId="3" quotePrefix="1" applyFont="1" applyAlignment="1">
      <alignment vertical="center"/>
    </xf>
    <xf numFmtId="0" fontId="35" fillId="0" borderId="46" xfId="3" quotePrefix="1" applyFont="1" applyBorder="1" applyAlignment="1">
      <alignment horizontal="right" vertical="center"/>
    </xf>
    <xf numFmtId="170" fontId="44" fillId="0" borderId="0" xfId="4" applyNumberFormat="1" applyFont="1" applyFill="1" applyBorder="1" applyAlignment="1">
      <alignment vertical="center"/>
    </xf>
    <xf numFmtId="170" fontId="44" fillId="0" borderId="45" xfId="4" applyNumberFormat="1" applyFont="1" applyFill="1" applyBorder="1" applyAlignment="1">
      <alignment vertical="center"/>
    </xf>
    <xf numFmtId="170" fontId="44" fillId="0" borderId="46" xfId="4" applyNumberFormat="1" applyFont="1" applyFill="1" applyBorder="1" applyAlignment="1">
      <alignment vertical="center"/>
    </xf>
    <xf numFmtId="0" fontId="35" fillId="0" borderId="0" xfId="3" applyFont="1" applyAlignment="1">
      <alignment vertical="center"/>
    </xf>
    <xf numFmtId="0" fontId="35" fillId="0" borderId="46" xfId="3" applyFont="1" applyBorder="1" applyAlignment="1">
      <alignment horizontal="right" vertical="center"/>
    </xf>
    <xf numFmtId="0" fontId="44" fillId="18" borderId="46" xfId="3" applyFont="1" applyFill="1" applyBorder="1" applyAlignment="1">
      <alignment horizontal="right" vertical="center"/>
    </xf>
    <xf numFmtId="172" fontId="44" fillId="0" borderId="0" xfId="4" applyNumberFormat="1" applyFont="1" applyFill="1" applyBorder="1" applyAlignment="1">
      <alignment vertical="center"/>
    </xf>
    <xf numFmtId="170" fontId="44" fillId="18" borderId="45" xfId="4" applyNumberFormat="1" applyFont="1" applyFill="1" applyBorder="1" applyAlignment="1">
      <alignment vertical="center"/>
    </xf>
    <xf numFmtId="172" fontId="44" fillId="18" borderId="46" xfId="4" applyNumberFormat="1" applyFont="1" applyFill="1" applyBorder="1" applyAlignment="1">
      <alignment vertical="center"/>
    </xf>
    <xf numFmtId="0" fontId="44" fillId="0" borderId="0" xfId="3" applyFont="1" applyAlignment="1">
      <alignment horizontal="right" vertical="center"/>
    </xf>
    <xf numFmtId="43" fontId="18" fillId="21" borderId="46" xfId="1" applyFont="1" applyFill="1" applyBorder="1" applyAlignment="1">
      <alignment vertical="center"/>
    </xf>
    <xf numFmtId="43" fontId="18" fillId="0" borderId="46" xfId="4" applyFont="1" applyFill="1" applyBorder="1" applyAlignment="1">
      <alignment vertical="center"/>
    </xf>
    <xf numFmtId="9" fontId="18" fillId="0" borderId="46" xfId="2" applyFont="1" applyFill="1" applyBorder="1" applyAlignment="1">
      <alignment vertical="center"/>
    </xf>
    <xf numFmtId="0" fontId="36" fillId="23" borderId="29" xfId="3" applyFont="1" applyFill="1" applyBorder="1" applyAlignment="1">
      <alignment horizontal="left" vertical="center" indent="1"/>
    </xf>
    <xf numFmtId="0" fontId="36" fillId="23" borderId="0" xfId="3" applyFont="1" applyFill="1" applyAlignment="1">
      <alignment vertical="center"/>
    </xf>
    <xf numFmtId="0" fontId="36" fillId="23" borderId="46" xfId="3" applyFont="1" applyFill="1" applyBorder="1" applyAlignment="1">
      <alignment horizontal="right" vertical="center"/>
    </xf>
    <xf numFmtId="43" fontId="36" fillId="0" borderId="0" xfId="4" applyFont="1" applyFill="1" applyBorder="1" applyAlignment="1">
      <alignment vertical="center"/>
    </xf>
    <xf numFmtId="43" fontId="36" fillId="0" borderId="45" xfId="4" applyFont="1" applyFill="1" applyBorder="1" applyAlignment="1">
      <alignment vertical="center"/>
    </xf>
    <xf numFmtId="43" fontId="36" fillId="0" borderId="46" xfId="4" applyFont="1" applyFill="1" applyBorder="1" applyAlignment="1">
      <alignment vertical="center"/>
    </xf>
    <xf numFmtId="0" fontId="36" fillId="0" borderId="0" xfId="3" applyFont="1" applyAlignment="1">
      <alignment horizontal="right" vertical="center"/>
    </xf>
    <xf numFmtId="0" fontId="36" fillId="0" borderId="0" xfId="3" applyFont="1" applyAlignment="1">
      <alignment vertical="center"/>
    </xf>
    <xf numFmtId="43" fontId="36" fillId="23" borderId="45" xfId="4" applyFont="1" applyFill="1" applyBorder="1" applyAlignment="1">
      <alignment vertical="center"/>
    </xf>
    <xf numFmtId="43" fontId="36" fillId="23" borderId="46" xfId="4" applyFont="1" applyFill="1" applyBorder="1" applyAlignment="1">
      <alignment vertical="center"/>
    </xf>
    <xf numFmtId="43" fontId="45" fillId="23" borderId="46" xfId="4" applyFont="1" applyFill="1" applyBorder="1" applyAlignment="1">
      <alignment vertical="center"/>
    </xf>
    <xf numFmtId="0" fontId="18" fillId="23" borderId="29" xfId="3" applyFont="1" applyFill="1" applyBorder="1" applyAlignment="1">
      <alignment vertical="center"/>
    </xf>
    <xf numFmtId="0" fontId="18" fillId="23" borderId="0" xfId="3" applyFont="1" applyFill="1" applyAlignment="1">
      <alignment vertical="center"/>
    </xf>
    <xf numFmtId="9" fontId="18" fillId="23" borderId="46" xfId="3" applyNumberFormat="1" applyFont="1" applyFill="1" applyBorder="1" applyAlignment="1">
      <alignment horizontal="right" vertical="center"/>
    </xf>
    <xf numFmtId="43" fontId="18" fillId="0" borderId="30" xfId="4" applyFont="1" applyFill="1" applyBorder="1" applyAlignment="1">
      <alignment vertical="center"/>
    </xf>
    <xf numFmtId="43" fontId="18" fillId="24" borderId="46" xfId="4" applyFont="1" applyFill="1" applyBorder="1" applyAlignment="1">
      <alignment vertical="center"/>
    </xf>
    <xf numFmtId="43" fontId="18" fillId="23" borderId="45" xfId="4" applyFont="1" applyFill="1" applyBorder="1" applyAlignment="1">
      <alignment vertical="center"/>
    </xf>
    <xf numFmtId="43" fontId="18" fillId="23" borderId="46" xfId="4" applyFont="1" applyFill="1" applyBorder="1" applyAlignment="1">
      <alignment vertical="center"/>
    </xf>
    <xf numFmtId="0" fontId="36" fillId="23" borderId="29" xfId="3" applyFont="1" applyFill="1" applyBorder="1" applyAlignment="1">
      <alignment vertical="center"/>
    </xf>
    <xf numFmtId="9" fontId="36" fillId="23" borderId="46" xfId="3" applyNumberFormat="1" applyFont="1" applyFill="1" applyBorder="1" applyAlignment="1">
      <alignment horizontal="right" vertical="center"/>
    </xf>
    <xf numFmtId="164" fontId="46" fillId="0" borderId="11" xfId="2" applyNumberFormat="1" applyFont="1" applyFill="1" applyBorder="1"/>
    <xf numFmtId="164" fontId="46" fillId="0" borderId="46" xfId="2" applyNumberFormat="1" applyFont="1" applyFill="1" applyBorder="1"/>
    <xf numFmtId="43" fontId="45" fillId="0" borderId="45" xfId="4" applyFont="1" applyFill="1" applyBorder="1" applyAlignment="1">
      <alignment vertical="center"/>
    </xf>
    <xf numFmtId="43" fontId="45" fillId="0" borderId="46" xfId="4" applyFont="1" applyFill="1" applyBorder="1" applyAlignment="1">
      <alignment vertical="center"/>
    </xf>
    <xf numFmtId="164" fontId="46" fillId="0" borderId="0" xfId="2" applyNumberFormat="1" applyFont="1" applyFill="1" applyBorder="1"/>
    <xf numFmtId="164" fontId="46" fillId="23" borderId="46" xfId="2" applyNumberFormat="1" applyFont="1" applyFill="1" applyBorder="1"/>
    <xf numFmtId="9" fontId="18" fillId="0" borderId="46" xfId="3" applyNumberFormat="1" applyFont="1" applyBorder="1" applyAlignment="1">
      <alignment horizontal="right" vertical="center"/>
    </xf>
    <xf numFmtId="170" fontId="22" fillId="18" borderId="47" xfId="4" applyNumberFormat="1" applyFont="1" applyFill="1" applyBorder="1" applyAlignment="1">
      <alignment vertical="center"/>
    </xf>
    <xf numFmtId="43" fontId="44" fillId="0" borderId="0" xfId="1" applyFont="1" applyFill="1" applyBorder="1" applyAlignment="1">
      <alignment vertical="center"/>
    </xf>
    <xf numFmtId="43" fontId="44" fillId="18" borderId="45" xfId="1" applyFont="1" applyFill="1" applyBorder="1" applyAlignment="1">
      <alignment vertical="center"/>
    </xf>
    <xf numFmtId="43" fontId="44" fillId="18" borderId="46" xfId="1" applyFont="1" applyFill="1" applyBorder="1" applyAlignment="1">
      <alignment vertical="center"/>
    </xf>
    <xf numFmtId="9" fontId="44" fillId="18" borderId="45" xfId="2" applyFont="1" applyFill="1" applyBorder="1" applyAlignment="1">
      <alignment vertical="center"/>
    </xf>
    <xf numFmtId="43" fontId="44" fillId="18" borderId="45" xfId="4" applyFont="1" applyFill="1" applyBorder="1" applyAlignment="1">
      <alignment vertical="center"/>
    </xf>
    <xf numFmtId="43" fontId="44" fillId="18" borderId="45" xfId="4" applyFont="1" applyFill="1" applyBorder="1" applyAlignment="1">
      <alignment horizontal="right" vertical="center"/>
    </xf>
    <xf numFmtId="43" fontId="44" fillId="2" borderId="46" xfId="1" applyFont="1" applyFill="1" applyBorder="1" applyAlignment="1">
      <alignment horizontal="right" vertical="center"/>
    </xf>
    <xf numFmtId="43" fontId="44" fillId="18" borderId="45" xfId="1" applyFont="1" applyFill="1" applyBorder="1" applyAlignment="1">
      <alignment horizontal="right" vertical="center"/>
    </xf>
    <xf numFmtId="43" fontId="44" fillId="18" borderId="46" xfId="1" applyFont="1" applyFill="1" applyBorder="1" applyAlignment="1">
      <alignment horizontal="right" vertical="center"/>
    </xf>
    <xf numFmtId="43" fontId="47" fillId="9" borderId="46" xfId="1" applyFont="1" applyFill="1" applyBorder="1" applyAlignment="1">
      <alignment horizontal="right" vertical="center"/>
    </xf>
    <xf numFmtId="174" fontId="44" fillId="0" borderId="0" xfId="4" applyNumberFormat="1" applyFont="1" applyFill="1" applyBorder="1" applyAlignment="1">
      <alignment horizontal="right" vertical="center"/>
    </xf>
    <xf numFmtId="43" fontId="44" fillId="0" borderId="0" xfId="1" applyFont="1" applyFill="1" applyBorder="1" applyAlignment="1">
      <alignment horizontal="right" vertical="center"/>
    </xf>
    <xf numFmtId="43" fontId="47" fillId="2" borderId="46" xfId="1" applyFont="1" applyFill="1" applyBorder="1" applyAlignment="1">
      <alignment horizontal="right" vertical="center"/>
    </xf>
    <xf numFmtId="43" fontId="44" fillId="2" borderId="46" xfId="4" applyFont="1" applyFill="1" applyBorder="1" applyAlignment="1">
      <alignment horizontal="right" vertical="center"/>
    </xf>
    <xf numFmtId="164" fontId="22" fillId="18" borderId="46" xfId="2" applyNumberFormat="1" applyFont="1" applyFill="1" applyBorder="1" applyAlignment="1">
      <alignment vertical="center"/>
    </xf>
    <xf numFmtId="0" fontId="28" fillId="0" borderId="29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28" fillId="0" borderId="46" xfId="3" applyFont="1" applyBorder="1" applyAlignment="1">
      <alignment vertical="center"/>
    </xf>
    <xf numFmtId="164" fontId="48" fillId="0" borderId="45" xfId="5" applyNumberFormat="1" applyFont="1" applyFill="1" applyBorder="1" applyAlignment="1">
      <alignment vertical="center"/>
    </xf>
    <xf numFmtId="164" fontId="28" fillId="0" borderId="46" xfId="5" applyNumberFormat="1" applyFont="1" applyFill="1" applyBorder="1" applyAlignment="1">
      <alignment vertical="center"/>
    </xf>
    <xf numFmtId="0" fontId="49" fillId="0" borderId="0" xfId="3" applyFont="1" applyAlignment="1">
      <alignment vertical="center"/>
    </xf>
    <xf numFmtId="9" fontId="18" fillId="0" borderId="0" xfId="5" applyFont="1" applyFill="1" applyBorder="1" applyAlignment="1">
      <alignment vertical="center"/>
    </xf>
    <xf numFmtId="9" fontId="18" fillId="7" borderId="45" xfId="5" applyFont="1" applyFill="1" applyBorder="1" applyAlignment="1">
      <alignment vertical="center"/>
    </xf>
    <xf numFmtId="9" fontId="18" fillId="7" borderId="46" xfId="5" applyFont="1" applyFill="1" applyBorder="1" applyAlignment="1">
      <alignment vertical="center"/>
    </xf>
    <xf numFmtId="43" fontId="22" fillId="0" borderId="0" xfId="5" applyNumberFormat="1" applyFont="1" applyFill="1" applyBorder="1" applyAlignment="1">
      <alignment vertical="center"/>
    </xf>
    <xf numFmtId="43" fontId="22" fillId="7" borderId="46" xfId="5" applyNumberFormat="1" applyFont="1" applyFill="1" applyBorder="1" applyAlignment="1">
      <alignment vertical="center"/>
    </xf>
    <xf numFmtId="0" fontId="12" fillId="7" borderId="46" xfId="3" applyFill="1" applyBorder="1" applyAlignment="1">
      <alignment horizontal="right" vertical="center"/>
    </xf>
    <xf numFmtId="0" fontId="28" fillId="0" borderId="57" xfId="3" applyFont="1" applyBorder="1" applyAlignment="1">
      <alignment vertical="center"/>
    </xf>
    <xf numFmtId="0" fontId="28" fillId="0" borderId="58" xfId="3" applyFont="1" applyBorder="1" applyAlignment="1">
      <alignment vertical="center"/>
    </xf>
    <xf numFmtId="0" fontId="28" fillId="0" borderId="59" xfId="3" applyFont="1" applyBorder="1" applyAlignment="1">
      <alignment vertical="center"/>
    </xf>
    <xf numFmtId="164" fontId="28" fillId="0" borderId="58" xfId="5" applyNumberFormat="1" applyFont="1" applyFill="1" applyBorder="1" applyAlignment="1">
      <alignment vertical="center"/>
    </xf>
    <xf numFmtId="164" fontId="48" fillId="0" borderId="60" xfId="5" applyNumberFormat="1" applyFont="1" applyFill="1" applyBorder="1" applyAlignment="1">
      <alignment vertical="center"/>
    </xf>
    <xf numFmtId="164" fontId="28" fillId="0" borderId="59" xfId="5" applyNumberFormat="1" applyFont="1" applyFill="1" applyBorder="1" applyAlignment="1">
      <alignment vertical="center"/>
    </xf>
    <xf numFmtId="10" fontId="48" fillId="0" borderId="60" xfId="5" applyNumberFormat="1" applyFont="1" applyFill="1" applyBorder="1" applyAlignment="1">
      <alignment vertical="center"/>
    </xf>
    <xf numFmtId="175" fontId="12" fillId="18" borderId="29" xfId="3" quotePrefix="1" applyNumberFormat="1" applyFill="1" applyBorder="1" applyAlignment="1">
      <alignment horizontal="left" vertical="center"/>
    </xf>
    <xf numFmtId="174" fontId="22" fillId="18" borderId="46" xfId="4" applyNumberFormat="1" applyFont="1" applyFill="1" applyBorder="1" applyAlignment="1">
      <alignment horizontal="right" vertical="center"/>
    </xf>
    <xf numFmtId="43" fontId="22" fillId="0" borderId="0" xfId="4" applyFont="1" applyFill="1" applyBorder="1" applyAlignment="1">
      <alignment horizontal="right" vertical="center"/>
    </xf>
    <xf numFmtId="43" fontId="22" fillId="18" borderId="45" xfId="4" applyFont="1" applyFill="1" applyBorder="1" applyAlignment="1">
      <alignment horizontal="right" vertical="center"/>
    </xf>
    <xf numFmtId="43" fontId="22" fillId="18" borderId="46" xfId="4" applyFont="1" applyFill="1" applyBorder="1" applyAlignment="1">
      <alignment horizontal="right" vertical="center"/>
    </xf>
    <xf numFmtId="174" fontId="22" fillId="0" borderId="0" xfId="4" applyNumberFormat="1" applyFont="1" applyFill="1" applyBorder="1" applyAlignment="1">
      <alignment horizontal="right" vertical="center"/>
    </xf>
    <xf numFmtId="170" fontId="18" fillId="9" borderId="46" xfId="4" applyNumberFormat="1" applyFont="1" applyFill="1" applyBorder="1" applyAlignment="1">
      <alignment vertical="center"/>
    </xf>
    <xf numFmtId="170" fontId="18" fillId="18" borderId="46" xfId="4" applyNumberFormat="1" applyFont="1" applyFill="1" applyBorder="1" applyAlignment="1">
      <alignment vertical="center"/>
    </xf>
    <xf numFmtId="0" fontId="50" fillId="18" borderId="29" xfId="3" applyFont="1" applyFill="1" applyBorder="1" applyAlignment="1">
      <alignment vertical="center"/>
    </xf>
    <xf numFmtId="172" fontId="25" fillId="0" borderId="0" xfId="4" applyNumberFormat="1" applyFont="1" applyFill="1" applyBorder="1" applyAlignment="1">
      <alignment vertical="center"/>
    </xf>
    <xf numFmtId="172" fontId="25" fillId="18" borderId="46" xfId="4" applyNumberFormat="1" applyFont="1" applyFill="1" applyBorder="1" applyAlignment="1">
      <alignment vertical="center"/>
    </xf>
    <xf numFmtId="172" fontId="25" fillId="12" borderId="46" xfId="4" applyNumberFormat="1" applyFont="1" applyFill="1" applyBorder="1" applyAlignment="1">
      <alignment vertical="center"/>
    </xf>
    <xf numFmtId="0" fontId="51" fillId="18" borderId="29" xfId="3" applyFont="1" applyFill="1" applyBorder="1" applyAlignment="1">
      <alignment vertical="center"/>
    </xf>
    <xf numFmtId="0" fontId="51" fillId="18" borderId="0" xfId="3" applyFont="1" applyFill="1" applyAlignment="1">
      <alignment vertical="center"/>
    </xf>
    <xf numFmtId="0" fontId="51" fillId="18" borderId="46" xfId="3" applyFont="1" applyFill="1" applyBorder="1" applyAlignment="1">
      <alignment horizontal="right" vertical="center"/>
    </xf>
    <xf numFmtId="164" fontId="52" fillId="0" borderId="0" xfId="2" applyNumberFormat="1" applyFont="1" applyFill="1" applyBorder="1" applyAlignment="1">
      <alignment vertical="center"/>
    </xf>
    <xf numFmtId="164" fontId="52" fillId="18" borderId="45" xfId="4" applyNumberFormat="1" applyFont="1" applyFill="1" applyBorder="1" applyAlignment="1">
      <alignment vertical="center"/>
    </xf>
    <xf numFmtId="164" fontId="52" fillId="18" borderId="46" xfId="2" applyNumberFormat="1" applyFont="1" applyFill="1" applyBorder="1" applyAlignment="1">
      <alignment vertical="center"/>
    </xf>
    <xf numFmtId="164" fontId="52" fillId="12" borderId="46" xfId="2" applyNumberFormat="1" applyFont="1" applyFill="1" applyBorder="1" applyAlignment="1">
      <alignment vertical="center"/>
    </xf>
    <xf numFmtId="0" fontId="51" fillId="0" borderId="0" xfId="3" applyFont="1" applyAlignment="1">
      <alignment horizontal="right" vertical="center"/>
    </xf>
    <xf numFmtId="164" fontId="52" fillId="0" borderId="0" xfId="4" applyNumberFormat="1" applyFont="1" applyFill="1" applyBorder="1" applyAlignment="1">
      <alignment vertical="center"/>
    </xf>
    <xf numFmtId="0" fontId="53" fillId="0" borderId="0" xfId="0" applyFont="1"/>
    <xf numFmtId="172" fontId="25" fillId="18" borderId="30" xfId="4" applyNumberFormat="1" applyFont="1" applyFill="1" applyBorder="1" applyAlignment="1">
      <alignment vertical="center"/>
    </xf>
    <xf numFmtId="164" fontId="52" fillId="18" borderId="30" xfId="2" applyNumberFormat="1" applyFont="1" applyFill="1" applyBorder="1" applyAlignment="1">
      <alignment vertical="center"/>
    </xf>
    <xf numFmtId="170" fontId="22" fillId="0" borderId="45" xfId="4" applyNumberFormat="1" applyFont="1" applyFill="1" applyBorder="1" applyAlignment="1">
      <alignment vertical="center"/>
    </xf>
    <xf numFmtId="172" fontId="25" fillId="0" borderId="46" xfId="4" applyNumberFormat="1" applyFont="1" applyFill="1" applyBorder="1" applyAlignment="1">
      <alignment vertical="center"/>
    </xf>
    <xf numFmtId="164" fontId="52" fillId="0" borderId="45" xfId="4" applyNumberFormat="1" applyFont="1" applyFill="1" applyBorder="1" applyAlignment="1">
      <alignment vertical="center"/>
    </xf>
    <xf numFmtId="164" fontId="52" fillId="0" borderId="46" xfId="2" applyNumberFormat="1" applyFont="1" applyFill="1" applyBorder="1" applyAlignment="1">
      <alignment vertical="center"/>
    </xf>
    <xf numFmtId="172" fontId="20" fillId="0" borderId="0" xfId="4" applyNumberFormat="1" applyFont="1" applyFill="1" applyBorder="1" applyAlignment="1">
      <alignment vertical="center"/>
    </xf>
    <xf numFmtId="170" fontId="18" fillId="18" borderId="45" xfId="4" applyNumberFormat="1" applyFont="1" applyFill="1" applyBorder="1" applyAlignment="1">
      <alignment vertical="center"/>
    </xf>
    <xf numFmtId="172" fontId="20" fillId="18" borderId="46" xfId="4" applyNumberFormat="1" applyFont="1" applyFill="1" applyBorder="1" applyAlignment="1">
      <alignment vertical="center"/>
    </xf>
    <xf numFmtId="172" fontId="20" fillId="12" borderId="46" xfId="4" applyNumberFormat="1" applyFont="1" applyFill="1" applyBorder="1" applyAlignment="1">
      <alignment vertical="center"/>
    </xf>
    <xf numFmtId="170" fontId="18" fillId="0" borderId="0" xfId="4" applyNumberFormat="1" applyFont="1" applyFill="1" applyBorder="1" applyAlignment="1">
      <alignment vertical="center"/>
    </xf>
    <xf numFmtId="43" fontId="25" fillId="12" borderId="46" xfId="1" applyFont="1" applyFill="1" applyBorder="1" applyAlignment="1">
      <alignment vertical="center"/>
    </xf>
    <xf numFmtId="43" fontId="25" fillId="0" borderId="0" xfId="1" applyFont="1" applyFill="1" applyBorder="1" applyAlignment="1">
      <alignment vertical="center"/>
    </xf>
    <xf numFmtId="0" fontId="12" fillId="0" borderId="29" xfId="3" applyBorder="1" applyAlignment="1">
      <alignment vertical="center"/>
    </xf>
    <xf numFmtId="0" fontId="51" fillId="0" borderId="0" xfId="3" applyFont="1" applyAlignment="1">
      <alignment vertical="center"/>
    </xf>
    <xf numFmtId="0" fontId="51" fillId="0" borderId="46" xfId="3" applyFont="1" applyBorder="1" applyAlignment="1">
      <alignment horizontal="right" vertical="center"/>
    </xf>
    <xf numFmtId="0" fontId="51" fillId="0" borderId="29" xfId="3" applyFont="1" applyBorder="1" applyAlignment="1">
      <alignment vertical="center"/>
    </xf>
    <xf numFmtId="170" fontId="22" fillId="0" borderId="46" xfId="4" applyNumberFormat="1" applyFont="1" applyFill="1" applyBorder="1" applyAlignment="1">
      <alignment vertical="center"/>
    </xf>
    <xf numFmtId="170" fontId="54" fillId="0" borderId="0" xfId="4" applyNumberFormat="1" applyFont="1" applyFill="1" applyBorder="1" applyAlignment="1">
      <alignment vertical="center"/>
    </xf>
    <xf numFmtId="166" fontId="35" fillId="18" borderId="29" xfId="1" applyNumberFormat="1" applyFont="1" applyFill="1" applyBorder="1" applyAlignment="1">
      <alignment vertical="center"/>
    </xf>
    <xf numFmtId="166" fontId="35" fillId="18" borderId="0" xfId="1" applyNumberFormat="1" applyFont="1" applyFill="1" applyBorder="1" applyAlignment="1">
      <alignment vertical="center"/>
    </xf>
    <xf numFmtId="166" fontId="35" fillId="18" borderId="46" xfId="1" applyNumberFormat="1" applyFont="1" applyFill="1" applyBorder="1" applyAlignment="1">
      <alignment horizontal="right" vertical="center"/>
    </xf>
    <xf numFmtId="166" fontId="44" fillId="0" borderId="46" xfId="1" applyNumberFormat="1" applyFont="1" applyFill="1" applyBorder="1" applyAlignment="1">
      <alignment vertical="center"/>
    </xf>
    <xf numFmtId="166" fontId="44" fillId="18" borderId="45" xfId="1" applyNumberFormat="1" applyFont="1" applyFill="1" applyBorder="1" applyAlignment="1">
      <alignment vertical="center"/>
    </xf>
    <xf numFmtId="166" fontId="44" fillId="18" borderId="46" xfId="1" applyNumberFormat="1" applyFont="1" applyFill="1" applyBorder="1" applyAlignment="1">
      <alignment vertical="center"/>
    </xf>
    <xf numFmtId="166" fontId="35" fillId="0" borderId="0" xfId="1" applyNumberFormat="1" applyFont="1" applyFill="1" applyBorder="1" applyAlignment="1">
      <alignment horizontal="right" vertical="center"/>
    </xf>
    <xf numFmtId="166" fontId="44" fillId="0" borderId="0" xfId="1" applyNumberFormat="1" applyFont="1" applyFill="1" applyBorder="1" applyAlignment="1">
      <alignment vertical="center"/>
    </xf>
    <xf numFmtId="166" fontId="54" fillId="0" borderId="0" xfId="1" applyNumberFormat="1" applyFont="1" applyFill="1" applyBorder="1" applyAlignment="1">
      <alignment vertical="center"/>
    </xf>
    <xf numFmtId="166" fontId="5" fillId="0" borderId="0" xfId="1" applyNumberFormat="1" applyFont="1" applyFill="1"/>
    <xf numFmtId="43" fontId="35" fillId="18" borderId="29" xfId="1" applyFont="1" applyFill="1" applyBorder="1" applyAlignment="1">
      <alignment vertical="center"/>
    </xf>
    <xf numFmtId="43" fontId="35" fillId="18" borderId="0" xfId="1" applyFont="1" applyFill="1" applyBorder="1" applyAlignment="1">
      <alignment vertical="center"/>
    </xf>
    <xf numFmtId="43" fontId="35" fillId="18" borderId="46" xfId="1" applyFont="1" applyFill="1" applyBorder="1" applyAlignment="1">
      <alignment horizontal="right" vertical="center"/>
    </xf>
    <xf numFmtId="43" fontId="44" fillId="0" borderId="46" xfId="1" applyFont="1" applyFill="1" applyBorder="1" applyAlignment="1">
      <alignment vertical="center"/>
    </xf>
    <xf numFmtId="43" fontId="35" fillId="0" borderId="0" xfId="1" applyFont="1" applyFill="1" applyBorder="1" applyAlignment="1">
      <alignment horizontal="right" vertical="center"/>
    </xf>
    <xf numFmtId="43" fontId="54" fillId="0" borderId="0" xfId="1" applyFont="1" applyFill="1" applyBorder="1" applyAlignment="1">
      <alignment vertical="center"/>
    </xf>
    <xf numFmtId="43" fontId="5" fillId="0" borderId="0" xfId="1" applyFont="1" applyFill="1"/>
    <xf numFmtId="43" fontId="55" fillId="18" borderId="29" xfId="1" applyFont="1" applyFill="1" applyBorder="1" applyAlignment="1">
      <alignment vertical="center"/>
    </xf>
    <xf numFmtId="43" fontId="55" fillId="18" borderId="0" xfId="1" applyFont="1" applyFill="1" applyBorder="1" applyAlignment="1">
      <alignment vertical="center"/>
    </xf>
    <xf numFmtId="43" fontId="55" fillId="18" borderId="46" xfId="1" applyFont="1" applyFill="1" applyBorder="1" applyAlignment="1">
      <alignment horizontal="right" vertical="center"/>
    </xf>
    <xf numFmtId="43" fontId="56" fillId="0" borderId="0" xfId="1" applyFont="1" applyFill="1" applyBorder="1" applyAlignment="1">
      <alignment vertical="center"/>
    </xf>
    <xf numFmtId="43" fontId="56" fillId="18" borderId="45" xfId="1" applyFont="1" applyFill="1" applyBorder="1" applyAlignment="1">
      <alignment vertical="center"/>
    </xf>
    <xf numFmtId="43" fontId="56" fillId="18" borderId="46" xfId="1" applyFont="1" applyFill="1" applyBorder="1" applyAlignment="1">
      <alignment vertical="center"/>
    </xf>
    <xf numFmtId="43" fontId="55" fillId="0" borderId="0" xfId="1" applyFont="1" applyFill="1" applyBorder="1" applyAlignment="1">
      <alignment horizontal="right" vertical="center"/>
    </xf>
    <xf numFmtId="43" fontId="19" fillId="0" borderId="0" xfId="1" applyFont="1" applyFill="1" applyBorder="1" applyAlignment="1">
      <alignment vertical="center"/>
    </xf>
    <xf numFmtId="43" fontId="57" fillId="0" borderId="0" xfId="1" applyFont="1" applyFill="1"/>
    <xf numFmtId="43" fontId="12" fillId="18" borderId="0" xfId="1" applyFont="1" applyFill="1" applyBorder="1" applyAlignment="1">
      <alignment vertical="center"/>
    </xf>
    <xf numFmtId="43" fontId="12" fillId="18" borderId="46" xfId="1" applyFont="1" applyFill="1" applyBorder="1" applyAlignment="1">
      <alignment horizontal="right" vertical="center"/>
    </xf>
    <xf numFmtId="43" fontId="22" fillId="0" borderId="0" xfId="1" applyFont="1" applyFill="1" applyBorder="1" applyAlignment="1">
      <alignment vertical="center"/>
    </xf>
    <xf numFmtId="43" fontId="22" fillId="18" borderId="46" xfId="1" applyFont="1" applyFill="1" applyBorder="1" applyAlignment="1">
      <alignment vertical="center"/>
    </xf>
    <xf numFmtId="43" fontId="22" fillId="10" borderId="46" xfId="1" applyFont="1" applyFill="1" applyBorder="1" applyAlignment="1">
      <alignment vertical="center"/>
    </xf>
    <xf numFmtId="43" fontId="12" fillId="0" borderId="0" xfId="1" applyFont="1" applyFill="1" applyBorder="1" applyAlignment="1">
      <alignment horizontal="right" vertical="center"/>
    </xf>
    <xf numFmtId="43" fontId="3" fillId="0" borderId="0" xfId="1" applyFont="1" applyFill="1"/>
    <xf numFmtId="164" fontId="27" fillId="18" borderId="0" xfId="2" applyNumberFormat="1" applyFont="1" applyFill="1" applyBorder="1" applyAlignment="1">
      <alignment vertical="center"/>
    </xf>
    <xf numFmtId="164" fontId="27" fillId="18" borderId="46" xfId="2" applyNumberFormat="1" applyFont="1" applyFill="1" applyBorder="1" applyAlignment="1">
      <alignment horizontal="right" vertical="center"/>
    </xf>
    <xf numFmtId="164" fontId="28" fillId="0" borderId="0" xfId="2" applyNumberFormat="1" applyFont="1" applyFill="1" applyBorder="1" applyAlignment="1">
      <alignment vertical="center"/>
    </xf>
    <xf numFmtId="164" fontId="28" fillId="18" borderId="45" xfId="2" applyNumberFormat="1" applyFont="1" applyFill="1" applyBorder="1" applyAlignment="1">
      <alignment vertical="center"/>
    </xf>
    <xf numFmtId="164" fontId="28" fillId="18" borderId="46" xfId="2" applyNumberFormat="1" applyFont="1" applyFill="1" applyBorder="1" applyAlignment="1">
      <alignment vertical="center"/>
    </xf>
    <xf numFmtId="164" fontId="27" fillId="0" borderId="0" xfId="2" applyNumberFormat="1" applyFont="1" applyFill="1" applyBorder="1" applyAlignment="1">
      <alignment horizontal="right" vertical="center"/>
    </xf>
    <xf numFmtId="164" fontId="54" fillId="0" borderId="0" xfId="2" applyNumberFormat="1" applyFont="1" applyFill="1" applyBorder="1" applyAlignment="1">
      <alignment vertical="center"/>
    </xf>
    <xf numFmtId="164" fontId="29" fillId="0" borderId="0" xfId="2" applyNumberFormat="1" applyFont="1" applyFill="1"/>
    <xf numFmtId="164" fontId="58" fillId="18" borderId="29" xfId="2" applyNumberFormat="1" applyFont="1" applyFill="1" applyBorder="1" applyAlignment="1">
      <alignment vertical="center"/>
    </xf>
    <xf numFmtId="164" fontId="58" fillId="18" borderId="0" xfId="2" applyNumberFormat="1" applyFont="1" applyFill="1" applyBorder="1" applyAlignment="1">
      <alignment vertical="center"/>
    </xf>
    <xf numFmtId="164" fontId="58" fillId="18" borderId="46" xfId="2" applyNumberFormat="1" applyFont="1" applyFill="1" applyBorder="1" applyAlignment="1">
      <alignment horizontal="right" vertical="center"/>
    </xf>
    <xf numFmtId="164" fontId="48" fillId="0" borderId="0" xfId="2" applyNumberFormat="1" applyFont="1" applyFill="1" applyBorder="1" applyAlignment="1">
      <alignment vertical="center"/>
    </xf>
    <xf numFmtId="164" fontId="48" fillId="18" borderId="45" xfId="2" applyNumberFormat="1" applyFont="1" applyFill="1" applyBorder="1" applyAlignment="1">
      <alignment vertical="center"/>
    </xf>
    <xf numFmtId="164" fontId="48" fillId="18" borderId="46" xfId="2" applyNumberFormat="1" applyFont="1" applyFill="1" applyBorder="1" applyAlignment="1">
      <alignment vertical="center"/>
    </xf>
    <xf numFmtId="164" fontId="58" fillId="0" borderId="0" xfId="2" applyNumberFormat="1" applyFont="1" applyFill="1" applyBorder="1" applyAlignment="1">
      <alignment horizontal="right" vertical="center"/>
    </xf>
    <xf numFmtId="164" fontId="48" fillId="18" borderId="0" xfId="2" applyNumberFormat="1" applyFont="1" applyFill="1" applyBorder="1" applyAlignment="1">
      <alignment vertical="center"/>
    </xf>
    <xf numFmtId="164" fontId="59" fillId="0" borderId="0" xfId="2" applyNumberFormat="1" applyFont="1" applyFill="1"/>
    <xf numFmtId="164" fontId="16" fillId="18" borderId="29" xfId="2" applyNumberFormat="1" applyFont="1" applyFill="1" applyBorder="1" applyAlignment="1">
      <alignment vertical="center"/>
    </xf>
    <xf numFmtId="43" fontId="48" fillId="18" borderId="46" xfId="1" applyFont="1" applyFill="1" applyBorder="1" applyAlignment="1">
      <alignment vertical="center"/>
    </xf>
    <xf numFmtId="43" fontId="48" fillId="18" borderId="45" xfId="1" applyFont="1" applyFill="1" applyBorder="1" applyAlignment="1">
      <alignment vertical="center"/>
    </xf>
    <xf numFmtId="43" fontId="48" fillId="0" borderId="0" xfId="1" applyFont="1" applyFill="1" applyBorder="1" applyAlignment="1">
      <alignment vertical="center"/>
    </xf>
    <xf numFmtId="43" fontId="59" fillId="0" borderId="0" xfId="1" applyFont="1" applyFill="1"/>
    <xf numFmtId="0" fontId="12" fillId="7" borderId="62" xfId="3" applyFill="1" applyBorder="1" applyAlignment="1">
      <alignment vertical="center"/>
    </xf>
    <xf numFmtId="0" fontId="12" fillId="7" borderId="37" xfId="3" applyFill="1" applyBorder="1" applyAlignment="1">
      <alignment vertical="center"/>
    </xf>
    <xf numFmtId="0" fontId="12" fillId="7" borderId="63" xfId="3" applyFill="1" applyBorder="1" applyAlignment="1">
      <alignment vertical="center"/>
    </xf>
    <xf numFmtId="0" fontId="12" fillId="0" borderId="64" xfId="3" applyBorder="1" applyAlignment="1">
      <alignment vertical="center"/>
    </xf>
    <xf numFmtId="0" fontId="12" fillId="0" borderId="63" xfId="3" applyBorder="1" applyAlignment="1">
      <alignment vertical="center"/>
    </xf>
    <xf numFmtId="166" fontId="2" fillId="24" borderId="0" xfId="1" applyNumberFormat="1" applyFont="1" applyFill="1"/>
    <xf numFmtId="0" fontId="0" fillId="24" borderId="0" xfId="0" applyFill="1"/>
    <xf numFmtId="166" fontId="2" fillId="0" borderId="0" xfId="1" applyNumberFormat="1" applyFont="1" applyFill="1"/>
    <xf numFmtId="166" fontId="60" fillId="24" borderId="0" xfId="1" applyNumberFormat="1" applyFont="1" applyFill="1"/>
    <xf numFmtId="166" fontId="60" fillId="0" borderId="0" xfId="1" applyNumberFormat="1" applyFont="1" applyFill="1"/>
    <xf numFmtId="166" fontId="37" fillId="24" borderId="0" xfId="1" applyNumberFormat="1" applyFont="1" applyFill="1"/>
    <xf numFmtId="9" fontId="37" fillId="24" borderId="0" xfId="2" applyFont="1" applyFill="1"/>
    <xf numFmtId="9" fontId="37" fillId="0" borderId="0" xfId="2" applyFont="1" applyFill="1"/>
    <xf numFmtId="166" fontId="61" fillId="24" borderId="0" xfId="1" applyNumberFormat="1" applyFont="1" applyFill="1"/>
    <xf numFmtId="166" fontId="61" fillId="0" borderId="0" xfId="1" applyNumberFormat="1" applyFont="1" applyFill="1"/>
    <xf numFmtId="40" fontId="9" fillId="2" borderId="31" xfId="2" applyNumberFormat="1" applyFont="1" applyFill="1" applyBorder="1" applyAlignment="1">
      <alignment horizontal="center"/>
    </xf>
    <xf numFmtId="0" fontId="11" fillId="8" borderId="27" xfId="0" applyFont="1" applyFill="1" applyBorder="1" applyAlignment="1">
      <alignment horizontal="centerContinuous"/>
    </xf>
    <xf numFmtId="0" fontId="11" fillId="8" borderId="28" xfId="0" applyFont="1" applyFill="1" applyBorder="1" applyAlignment="1">
      <alignment horizontal="centerContinuous"/>
    </xf>
    <xf numFmtId="0" fontId="11" fillId="8" borderId="24" xfId="0" applyFont="1" applyFill="1" applyBorder="1" applyAlignment="1">
      <alignment horizontal="centerContinuous"/>
    </xf>
    <xf numFmtId="2" fontId="10" fillId="7" borderId="25" xfId="0" applyNumberFormat="1" applyFont="1" applyFill="1" applyBorder="1" applyAlignment="1">
      <alignment horizontal="center"/>
    </xf>
    <xf numFmtId="0" fontId="9" fillId="18" borderId="29" xfId="0" applyFont="1" applyFill="1" applyBorder="1" applyAlignment="1">
      <alignment horizontal="center"/>
    </xf>
    <xf numFmtId="43" fontId="10" fillId="7" borderId="31" xfId="0" applyNumberFormat="1" applyFont="1" applyFill="1" applyBorder="1" applyAlignment="1">
      <alignment horizontal="left" vertical="center"/>
    </xf>
    <xf numFmtId="40" fontId="10" fillId="18" borderId="31" xfId="0" applyNumberFormat="1" applyFont="1" applyFill="1" applyBorder="1" applyAlignment="1">
      <alignment horizontal="center"/>
    </xf>
    <xf numFmtId="2" fontId="10" fillId="18" borderId="31" xfId="0" applyNumberFormat="1" applyFont="1" applyFill="1" applyBorder="1" applyAlignment="1">
      <alignment horizontal="center"/>
    </xf>
    <xf numFmtId="2" fontId="10" fillId="7" borderId="33" xfId="0" applyNumberFormat="1" applyFont="1" applyFill="1" applyBorder="1" applyAlignment="1">
      <alignment horizontal="center"/>
    </xf>
    <xf numFmtId="0" fontId="11" fillId="8" borderId="67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1" fillId="8" borderId="81" xfId="0" applyFont="1" applyFill="1" applyBorder="1" applyAlignment="1">
      <alignment horizontal="center" vertical="center"/>
    </xf>
    <xf numFmtId="0" fontId="11" fillId="8" borderId="82" xfId="0" applyFont="1" applyFill="1" applyBorder="1" applyAlignment="1">
      <alignment horizontal="center" vertical="center"/>
    </xf>
    <xf numFmtId="0" fontId="11" fillId="8" borderId="83" xfId="0" applyFont="1" applyFill="1" applyBorder="1" applyAlignment="1">
      <alignment horizontal="center" vertical="center"/>
    </xf>
    <xf numFmtId="0" fontId="11" fillId="7" borderId="76" xfId="0" applyFont="1" applyFill="1" applyBorder="1"/>
    <xf numFmtId="2" fontId="10" fillId="7" borderId="29" xfId="0" applyNumberFormat="1" applyFont="1" applyFill="1" applyBorder="1" applyAlignment="1">
      <alignment horizontal="center"/>
    </xf>
    <xf numFmtId="0" fontId="65" fillId="26" borderId="77" xfId="0" applyFont="1" applyFill="1" applyBorder="1"/>
    <xf numFmtId="0" fontId="65" fillId="26" borderId="30" xfId="0" applyFont="1" applyFill="1" applyBorder="1"/>
    <xf numFmtId="0" fontId="65" fillId="26" borderId="78" xfId="0" applyFont="1" applyFill="1" applyBorder="1"/>
    <xf numFmtId="0" fontId="9" fillId="18" borderId="76" xfId="0" applyFont="1" applyFill="1" applyBorder="1" applyAlignment="1">
      <alignment horizontal="center"/>
    </xf>
    <xf numFmtId="2" fontId="66" fillId="18" borderId="30" xfId="0" applyNumberFormat="1" applyFont="1" applyFill="1" applyBorder="1" applyAlignment="1">
      <alignment horizontal="center"/>
    </xf>
    <xf numFmtId="2" fontId="65" fillId="18" borderId="77" xfId="0" applyNumberFormat="1" applyFont="1" applyFill="1" applyBorder="1" applyAlignment="1">
      <alignment horizontal="center"/>
    </xf>
    <xf numFmtId="164" fontId="66" fillId="26" borderId="78" xfId="0" applyNumberFormat="1" applyFont="1" applyFill="1" applyBorder="1" applyAlignment="1">
      <alignment horizontal="center"/>
    </xf>
    <xf numFmtId="2" fontId="10" fillId="18" borderId="29" xfId="0" applyNumberFormat="1" applyFont="1" applyFill="1" applyBorder="1" applyAlignment="1">
      <alignment horizontal="center"/>
    </xf>
    <xf numFmtId="0" fontId="10" fillId="7" borderId="81" xfId="0" applyFont="1" applyFill="1" applyBorder="1" applyAlignment="1">
      <alignment horizontal="center"/>
    </xf>
    <xf numFmtId="0" fontId="10" fillId="7" borderId="82" xfId="0" applyFont="1" applyFill="1" applyBorder="1" applyAlignment="1">
      <alignment horizontal="center"/>
    </xf>
    <xf numFmtId="0" fontId="10" fillId="7" borderId="83" xfId="0" applyFont="1" applyFill="1" applyBorder="1"/>
    <xf numFmtId="0" fontId="10" fillId="7" borderId="83" xfId="0" applyFont="1" applyFill="1" applyBorder="1" applyAlignment="1">
      <alignment horizontal="center"/>
    </xf>
    <xf numFmtId="2" fontId="10" fillId="7" borderId="83" xfId="1" applyNumberFormat="1" applyFont="1" applyFill="1" applyBorder="1" applyAlignment="1">
      <alignment horizontal="center"/>
    </xf>
    <xf numFmtId="3" fontId="10" fillId="7" borderId="83" xfId="1" applyNumberFormat="1" applyFont="1" applyFill="1" applyBorder="1" applyAlignment="1">
      <alignment horizontal="center"/>
    </xf>
    <xf numFmtId="2" fontId="10" fillId="7" borderId="83" xfId="1" applyNumberFormat="1" applyFont="1" applyFill="1" applyBorder="1" applyAlignment="1">
      <alignment horizontal="center" vertical="center"/>
    </xf>
    <xf numFmtId="2" fontId="10" fillId="7" borderId="84" xfId="0" applyNumberFormat="1" applyFont="1" applyFill="1" applyBorder="1" applyAlignment="1">
      <alignment horizontal="center"/>
    </xf>
    <xf numFmtId="0" fontId="65" fillId="26" borderId="86" xfId="0" applyFont="1" applyFill="1" applyBorder="1"/>
    <xf numFmtId="0" fontId="66" fillId="26" borderId="82" xfId="0" applyFont="1" applyFill="1" applyBorder="1"/>
    <xf numFmtId="0" fontId="66" fillId="26" borderId="87" xfId="0" applyFont="1" applyFill="1" applyBorder="1"/>
    <xf numFmtId="0" fontId="64" fillId="26" borderId="0" xfId="0" applyFont="1" applyFill="1"/>
    <xf numFmtId="0" fontId="65" fillId="26" borderId="0" xfId="0" applyFont="1" applyFill="1"/>
    <xf numFmtId="0" fontId="65" fillId="0" borderId="0" xfId="0" applyFont="1"/>
    <xf numFmtId="0" fontId="11" fillId="8" borderId="67" xfId="0" applyFont="1" applyFill="1" applyBorder="1" applyAlignment="1">
      <alignment horizontal="center"/>
    </xf>
    <xf numFmtId="0" fontId="11" fillId="8" borderId="83" xfId="0" applyFont="1" applyFill="1" applyBorder="1"/>
    <xf numFmtId="0" fontId="11" fillId="8" borderId="83" xfId="0" applyFont="1" applyFill="1" applyBorder="1" applyAlignment="1">
      <alignment horizontal="center"/>
    </xf>
    <xf numFmtId="0" fontId="64" fillId="25" borderId="83" xfId="0" applyFont="1" applyFill="1" applyBorder="1" applyAlignment="1">
      <alignment horizontal="center" vertical="center"/>
    </xf>
    <xf numFmtId="0" fontId="64" fillId="25" borderId="82" xfId="0" applyFont="1" applyFill="1" applyBorder="1" applyAlignment="1">
      <alignment horizontal="center" vertical="center"/>
    </xf>
    <xf numFmtId="0" fontId="64" fillId="25" borderId="87" xfId="0" applyFont="1" applyFill="1" applyBorder="1" applyAlignment="1">
      <alignment horizontal="center" vertical="center"/>
    </xf>
    <xf numFmtId="0" fontId="64" fillId="26" borderId="76" xfId="0" applyFont="1" applyFill="1" applyBorder="1"/>
    <xf numFmtId="0" fontId="64" fillId="26" borderId="30" xfId="0" applyFont="1" applyFill="1" applyBorder="1"/>
    <xf numFmtId="0" fontId="66" fillId="0" borderId="76" xfId="0" applyFont="1" applyBorder="1" applyAlignment="1">
      <alignment horizontal="center"/>
    </xf>
    <xf numFmtId="0" fontId="65" fillId="26" borderId="30" xfId="0" applyFont="1" applyFill="1" applyBorder="1" applyAlignment="1">
      <alignment horizontal="center"/>
    </xf>
    <xf numFmtId="2" fontId="65" fillId="26" borderId="30" xfId="0" applyNumberFormat="1" applyFont="1" applyFill="1" applyBorder="1" applyAlignment="1">
      <alignment horizontal="center" vertical="center"/>
    </xf>
    <xf numFmtId="0" fontId="65" fillId="26" borderId="30" xfId="0" applyFont="1" applyFill="1" applyBorder="1" applyAlignment="1">
      <alignment horizontal="center" vertical="center"/>
    </xf>
    <xf numFmtId="2" fontId="65" fillId="18" borderId="30" xfId="0" applyNumberFormat="1" applyFont="1" applyFill="1" applyBorder="1" applyAlignment="1">
      <alignment horizontal="center" vertical="center"/>
    </xf>
    <xf numFmtId="2" fontId="65" fillId="18" borderId="30" xfId="0" applyNumberFormat="1" applyFont="1" applyFill="1" applyBorder="1" applyAlignment="1">
      <alignment horizontal="center"/>
    </xf>
    <xf numFmtId="164" fontId="65" fillId="18" borderId="78" xfId="0" applyNumberFormat="1" applyFont="1" applyFill="1" applyBorder="1" applyAlignment="1">
      <alignment horizontal="center" vertical="center"/>
    </xf>
    <xf numFmtId="2" fontId="10" fillId="0" borderId="0" xfId="0" applyNumberFormat="1" applyFont="1"/>
    <xf numFmtId="2" fontId="0" fillId="0" borderId="0" xfId="0" applyNumberFormat="1"/>
    <xf numFmtId="0" fontId="65" fillId="26" borderId="81" xfId="0" applyFont="1" applyFill="1" applyBorder="1"/>
    <xf numFmtId="0" fontId="65" fillId="26" borderId="82" xfId="0" applyFont="1" applyFill="1" applyBorder="1"/>
    <xf numFmtId="0" fontId="65" fillId="26" borderId="87" xfId="0" applyFont="1" applyFill="1" applyBorder="1"/>
    <xf numFmtId="43" fontId="11" fillId="7" borderId="0" xfId="0" applyNumberFormat="1" applyFont="1" applyFill="1" applyAlignment="1">
      <alignment horizontal="center"/>
    </xf>
    <xf numFmtId="0" fontId="67" fillId="7" borderId="0" xfId="0" applyFont="1" applyFill="1" applyAlignment="1">
      <alignment horizontal="right"/>
    </xf>
    <xf numFmtId="38" fontId="67" fillId="7" borderId="0" xfId="0" applyNumberFormat="1" applyFont="1" applyFill="1" applyAlignment="1">
      <alignment horizontal="center"/>
    </xf>
    <xf numFmtId="0" fontId="60" fillId="0" borderId="0" xfId="0" applyFont="1" applyAlignment="1">
      <alignment horizontal="right"/>
    </xf>
    <xf numFmtId="166" fontId="10" fillId="7" borderId="31" xfId="0" applyNumberFormat="1" applyFont="1" applyFill="1" applyBorder="1" applyAlignment="1">
      <alignment horizontal="center"/>
    </xf>
    <xf numFmtId="166" fontId="10" fillId="0" borderId="31" xfId="0" applyNumberFormat="1" applyFont="1" applyBorder="1" applyAlignment="1">
      <alignment horizontal="center"/>
    </xf>
    <xf numFmtId="0" fontId="68" fillId="0" borderId="0" xfId="0" applyFont="1"/>
    <xf numFmtId="0" fontId="11" fillId="8" borderId="26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Continuous" vertical="center"/>
    </xf>
    <xf numFmtId="0" fontId="11" fillId="8" borderId="28" xfId="0" applyFont="1" applyFill="1" applyBorder="1" applyAlignment="1">
      <alignment horizontal="centerContinuous" vertical="center"/>
    </xf>
    <xf numFmtId="0" fontId="11" fillId="8" borderId="24" xfId="0" applyFont="1" applyFill="1" applyBorder="1" applyAlignment="1">
      <alignment horizontal="centerContinuous" vertical="center"/>
    </xf>
    <xf numFmtId="0" fontId="10" fillId="8" borderId="25" xfId="0" applyFont="1" applyFill="1" applyBorder="1" applyAlignment="1">
      <alignment horizontal="centerContinuous" vertical="center"/>
    </xf>
    <xf numFmtId="0" fontId="11" fillId="8" borderId="26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Continuous" vertical="center"/>
    </xf>
    <xf numFmtId="0" fontId="64" fillId="25" borderId="91" xfId="0" applyFont="1" applyFill="1" applyBorder="1" applyAlignment="1">
      <alignment vertical="center"/>
    </xf>
    <xf numFmtId="0" fontId="64" fillId="25" borderId="31" xfId="0" applyFont="1" applyFill="1" applyBorder="1" applyAlignment="1">
      <alignment horizontal="center"/>
    </xf>
    <xf numFmtId="0" fontId="64" fillId="25" borderId="30" xfId="0" applyFont="1" applyFill="1" applyBorder="1" applyAlignment="1">
      <alignment horizontal="center"/>
    </xf>
    <xf numFmtId="0" fontId="64" fillId="25" borderId="78" xfId="0" applyFont="1" applyFill="1" applyBorder="1" applyAlignment="1">
      <alignment horizontal="center"/>
    </xf>
    <xf numFmtId="0" fontId="11" fillId="8" borderId="34" xfId="0" applyFont="1" applyFill="1" applyBorder="1" applyAlignment="1">
      <alignment horizontal="center" vertical="center" wrapText="1"/>
    </xf>
    <xf numFmtId="0" fontId="64" fillId="25" borderId="34" xfId="0" applyFont="1" applyFill="1" applyBorder="1"/>
    <xf numFmtId="0" fontId="64" fillId="25" borderId="33" xfId="0" applyFont="1" applyFill="1" applyBorder="1" applyAlignment="1">
      <alignment horizontal="center"/>
    </xf>
    <xf numFmtId="0" fontId="64" fillId="25" borderId="92" xfId="0" applyFont="1" applyFill="1" applyBorder="1"/>
    <xf numFmtId="0" fontId="65" fillId="26" borderId="31" xfId="0" applyFont="1" applyFill="1" applyBorder="1"/>
    <xf numFmtId="166" fontId="10" fillId="7" borderId="31" xfId="1" applyNumberFormat="1" applyFont="1" applyFill="1" applyBorder="1" applyAlignment="1">
      <alignment horizontal="center" vertical="center"/>
    </xf>
    <xf numFmtId="38" fontId="9" fillId="7" borderId="31" xfId="2" applyNumberFormat="1" applyFont="1" applyFill="1" applyBorder="1" applyAlignment="1">
      <alignment horizontal="center"/>
    </xf>
    <xf numFmtId="3" fontId="69" fillId="0" borderId="0" xfId="0" applyNumberFormat="1" applyFont="1"/>
    <xf numFmtId="3" fontId="65" fillId="26" borderId="31" xfId="0" applyNumberFormat="1" applyFont="1" applyFill="1" applyBorder="1"/>
    <xf numFmtId="164" fontId="65" fillId="26" borderId="30" xfId="0" applyNumberFormat="1" applyFont="1" applyFill="1" applyBorder="1"/>
    <xf numFmtId="3" fontId="65" fillId="26" borderId="78" xfId="0" applyNumberFormat="1" applyFont="1" applyFill="1" applyBorder="1"/>
    <xf numFmtId="0" fontId="0" fillId="0" borderId="85" xfId="0" applyBorder="1"/>
    <xf numFmtId="0" fontId="0" fillId="0" borderId="87" xfId="0" applyBorder="1"/>
    <xf numFmtId="4" fontId="70" fillId="0" borderId="0" xfId="0" applyNumberFormat="1" applyFont="1"/>
    <xf numFmtId="0" fontId="71" fillId="0" borderId="0" xfId="0" applyFont="1"/>
    <xf numFmtId="0" fontId="8" fillId="0" borderId="0" xfId="0" applyFont="1" applyAlignment="1">
      <alignment horizontal="center"/>
    </xf>
    <xf numFmtId="0" fontId="66" fillId="18" borderId="76" xfId="0" applyFont="1" applyFill="1" applyBorder="1" applyAlignment="1">
      <alignment horizontal="center"/>
    </xf>
    <xf numFmtId="0" fontId="10" fillId="18" borderId="30" xfId="0" applyFont="1" applyFill="1" applyBorder="1" applyAlignment="1">
      <alignment horizontal="center"/>
    </xf>
    <xf numFmtId="0" fontId="10" fillId="18" borderId="31" xfId="0" applyFont="1" applyFill="1" applyBorder="1"/>
    <xf numFmtId="0" fontId="10" fillId="18" borderId="31" xfId="0" applyFont="1" applyFill="1" applyBorder="1" applyAlignment="1">
      <alignment horizontal="center"/>
    </xf>
    <xf numFmtId="38" fontId="10" fillId="18" borderId="31" xfId="0" applyNumberFormat="1" applyFont="1" applyFill="1" applyBorder="1" applyAlignment="1">
      <alignment horizontal="center"/>
    </xf>
    <xf numFmtId="43" fontId="10" fillId="18" borderId="31" xfId="0" applyNumberFormat="1" applyFont="1" applyFill="1" applyBorder="1" applyAlignment="1">
      <alignment vertical="center"/>
    </xf>
    <xf numFmtId="164" fontId="10" fillId="18" borderId="31" xfId="2" applyNumberFormat="1" applyFont="1" applyFill="1" applyBorder="1" applyAlignment="1">
      <alignment horizontal="center"/>
    </xf>
    <xf numFmtId="43" fontId="10" fillId="7" borderId="0" xfId="0" applyNumberFormat="1" applyFont="1" applyFill="1"/>
    <xf numFmtId="0" fontId="64" fillId="25" borderId="31" xfId="0" applyFont="1" applyFill="1" applyBorder="1" applyAlignment="1">
      <alignment horizontal="center" vertical="center"/>
    </xf>
    <xf numFmtId="0" fontId="64" fillId="25" borderId="30" xfId="0" applyFont="1" applyFill="1" applyBorder="1" applyAlignment="1">
      <alignment horizontal="center" vertical="center"/>
    </xf>
    <xf numFmtId="0" fontId="64" fillId="25" borderId="0" xfId="0" applyFont="1" applyFill="1" applyAlignment="1">
      <alignment horizontal="center" vertical="center"/>
    </xf>
    <xf numFmtId="0" fontId="64" fillId="25" borderId="85" xfId="0" applyFont="1" applyFill="1" applyBorder="1" applyAlignment="1">
      <alignment horizontal="center" vertical="center"/>
    </xf>
    <xf numFmtId="2" fontId="10" fillId="18" borderId="31" xfId="1" applyNumberFormat="1" applyFont="1" applyFill="1" applyBorder="1" applyAlignment="1">
      <alignment horizontal="center"/>
    </xf>
    <xf numFmtId="2" fontId="10" fillId="18" borderId="31" xfId="1" applyNumberFormat="1" applyFont="1" applyFill="1" applyBorder="1" applyAlignment="1">
      <alignment horizontal="center" vertical="center"/>
    </xf>
    <xf numFmtId="2" fontId="65" fillId="18" borderId="31" xfId="0" applyNumberFormat="1" applyFont="1" applyFill="1" applyBorder="1" applyAlignment="1">
      <alignment horizontal="center"/>
    </xf>
    <xf numFmtId="164" fontId="66" fillId="18" borderId="78" xfId="0" applyNumberFormat="1" applyFont="1" applyFill="1" applyBorder="1" applyAlignment="1">
      <alignment horizontal="center"/>
    </xf>
    <xf numFmtId="2" fontId="10" fillId="7" borderId="83" xfId="0" applyNumberFormat="1" applyFont="1" applyFill="1" applyBorder="1" applyAlignment="1">
      <alignment horizontal="center"/>
    </xf>
    <xf numFmtId="0" fontId="65" fillId="26" borderId="83" xfId="0" applyFont="1" applyFill="1" applyBorder="1"/>
    <xf numFmtId="0" fontId="64" fillId="25" borderId="78" xfId="0" applyFont="1" applyFill="1" applyBorder="1" applyAlignment="1">
      <alignment horizontal="center" vertical="center"/>
    </xf>
    <xf numFmtId="0" fontId="11" fillId="8" borderId="81" xfId="0" applyFont="1" applyFill="1" applyBorder="1"/>
    <xf numFmtId="0" fontId="11" fillId="8" borderId="82" xfId="0" applyFont="1" applyFill="1" applyBorder="1"/>
    <xf numFmtId="0" fontId="65" fillId="18" borderId="30" xfId="0" applyFont="1" applyFill="1" applyBorder="1"/>
    <xf numFmtId="0" fontId="65" fillId="18" borderId="30" xfId="0" applyFont="1" applyFill="1" applyBorder="1" applyAlignment="1">
      <alignment horizontal="center"/>
    </xf>
    <xf numFmtId="0" fontId="65" fillId="18" borderId="3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/>
    <xf numFmtId="0" fontId="64" fillId="25" borderId="75" xfId="0" applyFont="1" applyFill="1" applyBorder="1" applyAlignment="1">
      <alignment horizontal="center" vertical="center" wrapText="1"/>
    </xf>
    <xf numFmtId="0" fontId="64" fillId="25" borderId="79" xfId="0" applyFont="1" applyFill="1" applyBorder="1" applyAlignment="1">
      <alignment horizontal="center" vertical="center"/>
    </xf>
    <xf numFmtId="0" fontId="64" fillId="25" borderId="88" xfId="0" applyFont="1" applyFill="1" applyBorder="1" applyAlignment="1">
      <alignment horizontal="center" vertical="center"/>
    </xf>
    <xf numFmtId="0" fontId="64" fillId="25" borderId="80" xfId="0" applyFont="1" applyFill="1" applyBorder="1" applyAlignment="1">
      <alignment horizontal="center" vertical="center"/>
    </xf>
    <xf numFmtId="0" fontId="64" fillId="25" borderId="89" xfId="0" applyFont="1" applyFill="1" applyBorder="1" applyAlignment="1">
      <alignment horizontal="center" vertical="center"/>
    </xf>
    <xf numFmtId="0" fontId="64" fillId="25" borderId="93" xfId="0" applyFont="1" applyFill="1" applyBorder="1" applyAlignment="1">
      <alignment horizontal="center" vertical="center"/>
    </xf>
    <xf numFmtId="0" fontId="64" fillId="25" borderId="94" xfId="0" applyFont="1" applyFill="1" applyBorder="1" applyAlignment="1">
      <alignment horizontal="center" vertical="center"/>
    </xf>
    <xf numFmtId="0" fontId="64" fillId="25" borderId="95" xfId="0" applyFont="1" applyFill="1" applyBorder="1" applyAlignment="1">
      <alignment horizontal="center" vertical="center"/>
    </xf>
    <xf numFmtId="0" fontId="64" fillId="25" borderId="73" xfId="0" applyFont="1" applyFill="1" applyBorder="1" applyAlignment="1">
      <alignment horizontal="center" vertical="center" wrapText="1"/>
    </xf>
    <xf numFmtId="0" fontId="64" fillId="25" borderId="78" xfId="0" applyFont="1" applyFill="1" applyBorder="1" applyAlignment="1">
      <alignment horizontal="center" vertical="center" wrapText="1"/>
    </xf>
    <xf numFmtId="0" fontId="64" fillId="25" borderId="87" xfId="0" applyFont="1" applyFill="1" applyBorder="1" applyAlignment="1">
      <alignment horizontal="center" vertical="center" wrapText="1"/>
    </xf>
    <xf numFmtId="9" fontId="0" fillId="0" borderId="0" xfId="2" applyFont="1"/>
    <xf numFmtId="166" fontId="10" fillId="7" borderId="31" xfId="1" applyNumberFormat="1" applyFont="1" applyFill="1" applyBorder="1" applyAlignment="1">
      <alignment horizontal="center"/>
    </xf>
    <xf numFmtId="43" fontId="9" fillId="7" borderId="31" xfId="1" applyFont="1" applyFill="1" applyBorder="1" applyAlignment="1">
      <alignment horizontal="center"/>
    </xf>
    <xf numFmtId="43" fontId="69" fillId="0" borderId="0" xfId="1" applyFont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13" xfId="0" applyBorder="1" applyAlignment="1">
      <alignment horizontal="right"/>
    </xf>
    <xf numFmtId="0" fontId="11" fillId="8" borderId="27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0" fontId="11" fillId="8" borderId="24" xfId="0" applyFont="1" applyFill="1" applyBorder="1" applyAlignment="1">
      <alignment horizontal="center"/>
    </xf>
    <xf numFmtId="0" fontId="11" fillId="8" borderId="25" xfId="0" applyFont="1" applyFill="1" applyBorder="1" applyAlignment="1">
      <alignment horizontal="center"/>
    </xf>
    <xf numFmtId="0" fontId="11" fillId="8" borderId="29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64" fillId="25" borderId="73" xfId="0" applyFont="1" applyFill="1" applyBorder="1" applyAlignment="1">
      <alignment horizontal="center" vertical="center" wrapText="1"/>
    </xf>
    <xf numFmtId="0" fontId="64" fillId="25" borderId="78" xfId="0" applyFont="1" applyFill="1" applyBorder="1" applyAlignment="1">
      <alignment horizontal="center" vertical="center" wrapText="1"/>
    </xf>
    <xf numFmtId="0" fontId="64" fillId="25" borderId="87" xfId="0" applyFont="1" applyFill="1" applyBorder="1" applyAlignment="1">
      <alignment horizontal="center" vertical="center" wrapText="1"/>
    </xf>
    <xf numFmtId="0" fontId="64" fillId="25" borderId="74" xfId="0" applyFont="1" applyFill="1" applyBorder="1" applyAlignment="1">
      <alignment horizontal="center" vertical="center" wrapText="1"/>
    </xf>
    <xf numFmtId="0" fontId="64" fillId="25" borderId="75" xfId="0" applyFont="1" applyFill="1" applyBorder="1" applyAlignment="1">
      <alignment horizontal="center" vertical="center" wrapText="1"/>
    </xf>
    <xf numFmtId="0" fontId="11" fillId="8" borderId="76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64" fillId="25" borderId="79" xfId="0" applyFont="1" applyFill="1" applyBorder="1" applyAlignment="1">
      <alignment horizontal="center" vertical="center"/>
    </xf>
    <xf numFmtId="0" fontId="64" fillId="25" borderId="88" xfId="0" applyFont="1" applyFill="1" applyBorder="1" applyAlignment="1">
      <alignment horizontal="center" vertical="center"/>
    </xf>
    <xf numFmtId="0" fontId="64" fillId="25" borderId="80" xfId="0" applyFont="1" applyFill="1" applyBorder="1" applyAlignment="1">
      <alignment horizontal="center" vertical="center"/>
    </xf>
    <xf numFmtId="0" fontId="64" fillId="25" borderId="89" xfId="0" applyFont="1" applyFill="1" applyBorder="1" applyAlignment="1">
      <alignment horizontal="center" vertical="center"/>
    </xf>
    <xf numFmtId="38" fontId="10" fillId="7" borderId="29" xfId="0" applyNumberFormat="1" applyFont="1" applyFill="1" applyBorder="1" applyAlignment="1">
      <alignment horizontal="center"/>
    </xf>
    <xf numFmtId="38" fontId="10" fillId="7" borderId="30" xfId="0" applyNumberFormat="1" applyFont="1" applyFill="1" applyBorder="1" applyAlignment="1">
      <alignment horizontal="center"/>
    </xf>
    <xf numFmtId="0" fontId="11" fillId="8" borderId="25" xfId="0" applyFont="1" applyFill="1" applyBorder="1" applyAlignment="1">
      <alignment horizontal="center" vertical="center" wrapText="1"/>
    </xf>
    <xf numFmtId="0" fontId="11" fillId="8" borderId="30" xfId="0" applyFont="1" applyFill="1" applyBorder="1" applyAlignment="1">
      <alignment horizontal="center" vertical="center" wrapText="1"/>
    </xf>
    <xf numFmtId="0" fontId="11" fillId="8" borderId="33" xfId="0" applyFont="1" applyFill="1" applyBorder="1" applyAlignment="1">
      <alignment horizontal="center" vertical="center" wrapText="1"/>
    </xf>
    <xf numFmtId="0" fontId="11" fillId="8" borderId="65" xfId="0" applyFont="1" applyFill="1" applyBorder="1" applyAlignment="1">
      <alignment horizontal="center" vertical="center"/>
    </xf>
    <xf numFmtId="0" fontId="11" fillId="8" borderId="66" xfId="0" applyFont="1" applyFill="1" applyBorder="1" applyAlignment="1">
      <alignment horizontal="center" vertical="center"/>
    </xf>
    <xf numFmtId="0" fontId="11" fillId="8" borderId="68" xfId="0" applyFont="1" applyFill="1" applyBorder="1" applyAlignment="1">
      <alignment horizontal="center" vertical="center"/>
    </xf>
    <xf numFmtId="0" fontId="11" fillId="8" borderId="69" xfId="0" applyFont="1" applyFill="1" applyBorder="1" applyAlignment="1">
      <alignment horizontal="center" vertical="center"/>
    </xf>
    <xf numFmtId="0" fontId="11" fillId="8" borderId="70" xfId="0" applyFont="1" applyFill="1" applyBorder="1" applyAlignment="1">
      <alignment horizontal="center" vertical="center" wrapText="1"/>
    </xf>
    <xf numFmtId="0" fontId="11" fillId="8" borderId="6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8" borderId="84" xfId="0" applyFont="1" applyFill="1" applyBorder="1" applyAlignment="1">
      <alignment horizontal="center" vertical="center" wrapText="1"/>
    </xf>
    <xf numFmtId="0" fontId="11" fillId="8" borderId="82" xfId="0" applyFont="1" applyFill="1" applyBorder="1" applyAlignment="1">
      <alignment horizontal="center" vertical="center" wrapText="1"/>
    </xf>
    <xf numFmtId="0" fontId="64" fillId="25" borderId="71" xfId="0" applyFont="1" applyFill="1" applyBorder="1" applyAlignment="1">
      <alignment horizontal="center" vertical="center" wrapText="1"/>
    </xf>
    <xf numFmtId="0" fontId="64" fillId="25" borderId="0" xfId="0" applyFont="1" applyFill="1" applyAlignment="1">
      <alignment horizontal="center" vertical="center" wrapText="1"/>
    </xf>
    <xf numFmtId="0" fontId="64" fillId="25" borderId="85" xfId="0" applyFont="1" applyFill="1" applyBorder="1" applyAlignment="1">
      <alignment horizontal="center" vertical="center" wrapText="1"/>
    </xf>
    <xf numFmtId="0" fontId="64" fillId="25" borderId="72" xfId="0" applyFont="1" applyFill="1" applyBorder="1" applyAlignment="1">
      <alignment horizontal="center" vertical="center"/>
    </xf>
    <xf numFmtId="0" fontId="64" fillId="25" borderId="77" xfId="0" applyFont="1" applyFill="1" applyBorder="1" applyAlignment="1">
      <alignment horizontal="center" vertical="center"/>
    </xf>
    <xf numFmtId="0" fontId="64" fillId="25" borderId="86" xfId="0" applyFont="1" applyFill="1" applyBorder="1" applyAlignment="1">
      <alignment horizontal="center" vertical="center"/>
    </xf>
    <xf numFmtId="169" fontId="10" fillId="7" borderId="84" xfId="0" applyNumberFormat="1" applyFont="1" applyFill="1" applyBorder="1" applyAlignment="1">
      <alignment horizontal="center"/>
    </xf>
    <xf numFmtId="169" fontId="10" fillId="7" borderId="82" xfId="0" applyNumberFormat="1" applyFont="1" applyFill="1" applyBorder="1" applyAlignment="1">
      <alignment horizontal="center"/>
    </xf>
    <xf numFmtId="0" fontId="11" fillId="8" borderId="65" xfId="0" applyFont="1" applyFill="1" applyBorder="1" applyAlignment="1">
      <alignment horizontal="center"/>
    </xf>
    <xf numFmtId="0" fontId="11" fillId="8" borderId="66" xfId="0" applyFont="1" applyFill="1" applyBorder="1" applyAlignment="1">
      <alignment horizontal="center"/>
    </xf>
    <xf numFmtId="0" fontId="64" fillId="25" borderId="67" xfId="0" applyFont="1" applyFill="1" applyBorder="1" applyAlignment="1">
      <alignment horizontal="center" vertical="center" wrapText="1"/>
    </xf>
    <xf numFmtId="0" fontId="64" fillId="25" borderId="83" xfId="0" applyFont="1" applyFill="1" applyBorder="1" applyAlignment="1">
      <alignment horizontal="center" vertical="center" wrapText="1"/>
    </xf>
    <xf numFmtId="0" fontId="64" fillId="25" borderId="67" xfId="0" applyFont="1" applyFill="1" applyBorder="1" applyAlignment="1">
      <alignment horizontal="center" vertical="center"/>
    </xf>
    <xf numFmtId="0" fontId="64" fillId="25" borderId="83" xfId="0" applyFont="1" applyFill="1" applyBorder="1" applyAlignment="1">
      <alignment horizontal="center" vertical="center"/>
    </xf>
    <xf numFmtId="0" fontId="64" fillId="25" borderId="68" xfId="0" applyFont="1" applyFill="1" applyBorder="1" applyAlignment="1">
      <alignment horizontal="center" vertical="center"/>
    </xf>
    <xf numFmtId="0" fontId="64" fillId="25" borderId="75" xfId="0" applyFont="1" applyFill="1" applyBorder="1" applyAlignment="1">
      <alignment horizontal="center" vertical="center"/>
    </xf>
    <xf numFmtId="0" fontId="11" fillId="8" borderId="81" xfId="0" applyFont="1" applyFill="1" applyBorder="1" applyAlignment="1">
      <alignment horizontal="center"/>
    </xf>
    <xf numFmtId="0" fontId="11" fillId="8" borderId="82" xfId="0" applyFont="1" applyFill="1" applyBorder="1" applyAlignment="1">
      <alignment horizontal="center"/>
    </xf>
    <xf numFmtId="176" fontId="10" fillId="7" borderId="29" xfId="0" applyNumberFormat="1" applyFont="1" applyFill="1" applyBorder="1" applyAlignment="1">
      <alignment horizontal="center"/>
    </xf>
    <xf numFmtId="176" fontId="10" fillId="7" borderId="30" xfId="0" applyNumberFormat="1" applyFont="1" applyFill="1" applyBorder="1" applyAlignment="1">
      <alignment horizontal="center"/>
    </xf>
    <xf numFmtId="0" fontId="11" fillId="8" borderId="24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center" vertical="center" wrapText="1"/>
    </xf>
    <xf numFmtId="0" fontId="11" fillId="8" borderId="34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64" fillId="25" borderId="27" xfId="0" applyFont="1" applyFill="1" applyBorder="1" applyAlignment="1">
      <alignment horizontal="center" vertical="center"/>
    </xf>
    <xf numFmtId="0" fontId="64" fillId="25" borderId="90" xfId="0" applyFont="1" applyFill="1" applyBorder="1" applyAlignment="1">
      <alignment horizontal="center" vertical="center"/>
    </xf>
    <xf numFmtId="2" fontId="10" fillId="18" borderId="29" xfId="0" applyNumberFormat="1" applyFont="1" applyFill="1" applyBorder="1" applyAlignment="1">
      <alignment horizontal="center"/>
    </xf>
    <xf numFmtId="0" fontId="10" fillId="18" borderId="30" xfId="0" applyFont="1" applyFill="1" applyBorder="1" applyAlignment="1">
      <alignment horizontal="center"/>
    </xf>
    <xf numFmtId="0" fontId="64" fillId="25" borderId="31" xfId="0" applyFont="1" applyFill="1" applyBorder="1" applyAlignment="1">
      <alignment horizontal="center" vertical="center" wrapText="1"/>
    </xf>
    <xf numFmtId="0" fontId="64" fillId="25" borderId="74" xfId="0" applyFont="1" applyFill="1" applyBorder="1" applyAlignment="1">
      <alignment horizontal="center" vertical="center"/>
    </xf>
    <xf numFmtId="0" fontId="64" fillId="25" borderId="30" xfId="0" applyFont="1" applyFill="1" applyBorder="1" applyAlignment="1">
      <alignment horizontal="center" vertical="center" wrapText="1"/>
    </xf>
    <xf numFmtId="0" fontId="64" fillId="25" borderId="82" xfId="0" applyFont="1" applyFill="1" applyBorder="1" applyAlignment="1">
      <alignment horizontal="center" vertical="center" wrapText="1"/>
    </xf>
    <xf numFmtId="0" fontId="64" fillId="25" borderId="93" xfId="0" applyFont="1" applyFill="1" applyBorder="1" applyAlignment="1">
      <alignment horizontal="center" vertical="center"/>
    </xf>
    <xf numFmtId="0" fontId="64" fillId="25" borderId="94" xfId="0" applyFont="1" applyFill="1" applyBorder="1" applyAlignment="1">
      <alignment horizontal="center" vertical="center"/>
    </xf>
    <xf numFmtId="0" fontId="64" fillId="25" borderId="95" xfId="0" applyFont="1" applyFill="1" applyBorder="1" applyAlignment="1">
      <alignment horizontal="center" vertical="center"/>
    </xf>
    <xf numFmtId="0" fontId="64" fillId="25" borderId="77" xfId="0" applyFont="1" applyFill="1" applyBorder="1" applyAlignment="1">
      <alignment horizontal="center" vertical="center" wrapText="1"/>
    </xf>
    <xf numFmtId="0" fontId="64" fillId="25" borderId="86" xfId="0" applyFont="1" applyFill="1" applyBorder="1" applyAlignment="1">
      <alignment horizontal="center" vertical="center" wrapText="1"/>
    </xf>
    <xf numFmtId="0" fontId="11" fillId="8" borderId="76" xfId="0" applyFont="1" applyFill="1" applyBorder="1" applyAlignment="1">
      <alignment horizontal="center"/>
    </xf>
    <xf numFmtId="0" fontId="0" fillId="0" borderId="9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9" borderId="1" xfId="3" applyFont="1" applyFill="1" applyBorder="1" applyAlignment="1">
      <alignment horizontal="center" vertical="center" wrapText="1"/>
    </xf>
    <xf numFmtId="0" fontId="16" fillId="9" borderId="1" xfId="3" applyFont="1" applyFill="1" applyBorder="1" applyAlignment="1">
      <alignment horizontal="center" vertical="center"/>
    </xf>
    <xf numFmtId="0" fontId="16" fillId="9" borderId="27" xfId="3" applyFont="1" applyFill="1" applyBorder="1" applyAlignment="1">
      <alignment horizontal="center" vertical="center" wrapText="1"/>
    </xf>
    <xf numFmtId="0" fontId="16" fillId="9" borderId="28" xfId="3" applyFont="1" applyFill="1" applyBorder="1" applyAlignment="1">
      <alignment horizontal="center" vertical="center" wrapText="1"/>
    </xf>
    <xf numFmtId="0" fontId="16" fillId="9" borderId="26" xfId="3" applyFont="1" applyFill="1" applyBorder="1" applyAlignment="1">
      <alignment horizontal="center" vertical="center" wrapText="1"/>
    </xf>
    <xf numFmtId="0" fontId="16" fillId="9" borderId="31" xfId="3" applyFont="1" applyFill="1" applyBorder="1" applyAlignment="1">
      <alignment horizontal="center" vertical="center" wrapText="1"/>
    </xf>
    <xf numFmtId="0" fontId="16" fillId="9" borderId="29" xfId="3" applyFont="1" applyFill="1" applyBorder="1" applyAlignment="1">
      <alignment horizontal="center" vertical="center" wrapText="1"/>
    </xf>
    <xf numFmtId="0" fontId="16" fillId="9" borderId="30" xfId="3" applyFont="1" applyFill="1" applyBorder="1" applyAlignment="1">
      <alignment horizontal="center" vertical="center" wrapText="1"/>
    </xf>
    <xf numFmtId="0" fontId="12" fillId="0" borderId="37" xfId="3" applyBorder="1" applyAlignment="1">
      <alignment horizontal="center" vertical="center"/>
    </xf>
    <xf numFmtId="0" fontId="12" fillId="0" borderId="0" xfId="3" applyAlignment="1">
      <alignment horizontal="center" vertical="center"/>
    </xf>
    <xf numFmtId="0" fontId="18" fillId="7" borderId="39" xfId="3" applyFont="1" applyFill="1" applyBorder="1" applyAlignment="1">
      <alignment horizontal="center" vertical="center" textRotation="90" wrapText="1"/>
    </xf>
    <xf numFmtId="0" fontId="18" fillId="7" borderId="45" xfId="3" applyFont="1" applyFill="1" applyBorder="1" applyAlignment="1">
      <alignment horizontal="center" vertical="center" textRotation="90" wrapText="1"/>
    </xf>
    <xf numFmtId="0" fontId="18" fillId="0" borderId="39" xfId="3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/>
    </xf>
    <xf numFmtId="0" fontId="18" fillId="9" borderId="43" xfId="3" applyFont="1" applyFill="1" applyBorder="1" applyAlignment="1">
      <alignment horizontal="center" vertical="center"/>
    </xf>
    <xf numFmtId="0" fontId="18" fillId="9" borderId="44" xfId="3" applyFont="1" applyFill="1" applyBorder="1" applyAlignment="1">
      <alignment horizontal="center" vertical="center"/>
    </xf>
    <xf numFmtId="0" fontId="18" fillId="11" borderId="39" xfId="3" applyFont="1" applyFill="1" applyBorder="1" applyAlignment="1">
      <alignment horizontal="center" vertical="center"/>
    </xf>
    <xf numFmtId="0" fontId="18" fillId="11" borderId="42" xfId="3" applyFont="1" applyFill="1" applyBorder="1" applyAlignment="1">
      <alignment horizontal="center" vertical="center"/>
    </xf>
    <xf numFmtId="0" fontId="18" fillId="0" borderId="43" xfId="3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/>
    </xf>
    <xf numFmtId="0" fontId="18" fillId="10" borderId="39" xfId="3" applyFont="1" applyFill="1" applyBorder="1" applyAlignment="1">
      <alignment horizontal="center" vertical="center"/>
    </xf>
    <xf numFmtId="0" fontId="18" fillId="10" borderId="42" xfId="3" applyFont="1" applyFill="1" applyBorder="1" applyAlignment="1">
      <alignment horizontal="center" vertical="center"/>
    </xf>
    <xf numFmtId="0" fontId="18" fillId="12" borderId="39" xfId="3" applyFont="1" applyFill="1" applyBorder="1" applyAlignment="1">
      <alignment horizontal="center" vertical="center"/>
    </xf>
    <xf numFmtId="0" fontId="18" fillId="12" borderId="42" xfId="3" applyFont="1" applyFill="1" applyBorder="1" applyAlignment="1">
      <alignment horizontal="center" vertical="center"/>
    </xf>
    <xf numFmtId="0" fontId="18" fillId="9" borderId="39" xfId="3" applyFont="1" applyFill="1" applyBorder="1" applyAlignment="1">
      <alignment horizontal="center" vertical="center"/>
    </xf>
    <xf numFmtId="0" fontId="18" fillId="9" borderId="42" xfId="3" applyFont="1" applyFill="1" applyBorder="1" applyAlignment="1">
      <alignment horizontal="center" vertical="center"/>
    </xf>
    <xf numFmtId="0" fontId="19" fillId="13" borderId="39" xfId="3" applyFont="1" applyFill="1" applyBorder="1" applyAlignment="1">
      <alignment horizontal="center" vertical="center"/>
    </xf>
    <xf numFmtId="0" fontId="19" fillId="13" borderId="42" xfId="3" applyFont="1" applyFill="1" applyBorder="1" applyAlignment="1">
      <alignment horizontal="center" vertical="center"/>
    </xf>
    <xf numFmtId="0" fontId="18" fillId="14" borderId="39" xfId="3" applyFont="1" applyFill="1" applyBorder="1" applyAlignment="1">
      <alignment horizontal="center" vertical="center"/>
    </xf>
    <xf numFmtId="0" fontId="18" fillId="14" borderId="42" xfId="3" applyFont="1" applyFill="1" applyBorder="1" applyAlignment="1">
      <alignment horizontal="center" vertical="center"/>
    </xf>
    <xf numFmtId="0" fontId="20" fillId="11" borderId="39" xfId="3" applyFont="1" applyFill="1" applyBorder="1" applyAlignment="1">
      <alignment horizontal="center" vertical="center"/>
    </xf>
    <xf numFmtId="0" fontId="20" fillId="11" borderId="42" xfId="3" applyFont="1" applyFill="1" applyBorder="1" applyAlignment="1">
      <alignment horizontal="center" vertical="center"/>
    </xf>
    <xf numFmtId="0" fontId="20" fillId="9" borderId="39" xfId="3" applyFont="1" applyFill="1" applyBorder="1" applyAlignment="1">
      <alignment horizontal="center" vertical="center"/>
    </xf>
    <xf numFmtId="0" fontId="20" fillId="9" borderId="42" xfId="3" applyFont="1" applyFill="1" applyBorder="1" applyAlignment="1">
      <alignment horizontal="center" vertical="center"/>
    </xf>
    <xf numFmtId="0" fontId="18" fillId="15" borderId="39" xfId="3" applyFont="1" applyFill="1" applyBorder="1" applyAlignment="1">
      <alignment horizontal="center" vertical="center"/>
    </xf>
    <xf numFmtId="0" fontId="18" fillId="15" borderId="42" xfId="3" applyFont="1" applyFill="1" applyBorder="1" applyAlignment="1">
      <alignment horizontal="center" vertical="center"/>
    </xf>
    <xf numFmtId="0" fontId="18" fillId="17" borderId="39" xfId="3" applyFont="1" applyFill="1" applyBorder="1" applyAlignment="1">
      <alignment horizontal="center" vertical="center"/>
    </xf>
    <xf numFmtId="0" fontId="18" fillId="17" borderId="42" xfId="3" applyFont="1" applyFill="1" applyBorder="1" applyAlignment="1">
      <alignment horizontal="center" vertical="center"/>
    </xf>
    <xf numFmtId="0" fontId="18" fillId="16" borderId="39" xfId="3" applyFont="1" applyFill="1" applyBorder="1" applyAlignment="1">
      <alignment horizontal="center" vertical="center"/>
    </xf>
    <xf numFmtId="0" fontId="18" fillId="16" borderId="42" xfId="3" applyFont="1" applyFill="1" applyBorder="1" applyAlignment="1">
      <alignment horizontal="center" vertical="center"/>
    </xf>
    <xf numFmtId="0" fontId="18" fillId="11" borderId="45" xfId="3" applyFont="1" applyFill="1" applyBorder="1" applyAlignment="1">
      <alignment horizontal="center" vertical="center"/>
    </xf>
    <xf numFmtId="0" fontId="18" fillId="11" borderId="46" xfId="3" applyFont="1" applyFill="1" applyBorder="1" applyAlignment="1">
      <alignment horizontal="center" vertical="center"/>
    </xf>
    <xf numFmtId="0" fontId="18" fillId="15" borderId="45" xfId="3" applyFont="1" applyFill="1" applyBorder="1" applyAlignment="1">
      <alignment horizontal="center" vertical="center"/>
    </xf>
    <xf numFmtId="0" fontId="18" fillId="15" borderId="46" xfId="3" applyFont="1" applyFill="1" applyBorder="1" applyAlignment="1">
      <alignment horizontal="center" vertical="center"/>
    </xf>
    <xf numFmtId="0" fontId="18" fillId="0" borderId="45" xfId="3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/>
    </xf>
    <xf numFmtId="0" fontId="18" fillId="9" borderId="45" xfId="3" applyFont="1" applyFill="1" applyBorder="1" applyAlignment="1">
      <alignment horizontal="center" vertical="center"/>
    </xf>
    <xf numFmtId="0" fontId="18" fillId="9" borderId="46" xfId="3" applyFont="1" applyFill="1" applyBorder="1" applyAlignment="1">
      <alignment horizontal="center" vertical="center"/>
    </xf>
    <xf numFmtId="0" fontId="18" fillId="10" borderId="45" xfId="3" applyFont="1" applyFill="1" applyBorder="1" applyAlignment="1">
      <alignment horizontal="center" vertical="center"/>
    </xf>
    <xf numFmtId="0" fontId="18" fillId="10" borderId="46" xfId="3" applyFont="1" applyFill="1" applyBorder="1" applyAlignment="1">
      <alignment horizontal="center" vertical="center"/>
    </xf>
    <xf numFmtId="0" fontId="18" fillId="12" borderId="45" xfId="3" applyFont="1" applyFill="1" applyBorder="1" applyAlignment="1">
      <alignment horizontal="center" vertical="center"/>
    </xf>
    <xf numFmtId="0" fontId="18" fillId="12" borderId="46" xfId="3" applyFont="1" applyFill="1" applyBorder="1" applyAlignment="1">
      <alignment horizontal="center" vertical="center"/>
    </xf>
    <xf numFmtId="0" fontId="19" fillId="13" borderId="45" xfId="3" applyFont="1" applyFill="1" applyBorder="1" applyAlignment="1">
      <alignment horizontal="center" vertical="center"/>
    </xf>
    <xf numFmtId="0" fontId="19" fillId="13" borderId="46" xfId="3" applyFont="1" applyFill="1" applyBorder="1" applyAlignment="1">
      <alignment horizontal="center" vertical="center"/>
    </xf>
    <xf numFmtId="0" fontId="18" fillId="14" borderId="45" xfId="3" applyFont="1" applyFill="1" applyBorder="1" applyAlignment="1">
      <alignment horizontal="center" vertical="center"/>
    </xf>
    <xf numFmtId="0" fontId="18" fillId="14" borderId="46" xfId="3" applyFont="1" applyFill="1" applyBorder="1" applyAlignment="1">
      <alignment horizontal="center" vertical="center"/>
    </xf>
    <xf numFmtId="0" fontId="20" fillId="11" borderId="45" xfId="3" applyFont="1" applyFill="1" applyBorder="1" applyAlignment="1">
      <alignment horizontal="center" vertical="center"/>
    </xf>
    <xf numFmtId="0" fontId="20" fillId="11" borderId="46" xfId="3" applyFont="1" applyFill="1" applyBorder="1" applyAlignment="1">
      <alignment horizontal="center" vertical="center"/>
    </xf>
    <xf numFmtId="0" fontId="20" fillId="9" borderId="45" xfId="3" applyFont="1" applyFill="1" applyBorder="1" applyAlignment="1">
      <alignment horizontal="center" vertical="center"/>
    </xf>
    <xf numFmtId="0" fontId="20" fillId="9" borderId="46" xfId="3" applyFont="1" applyFill="1" applyBorder="1" applyAlignment="1">
      <alignment horizontal="center" vertical="center"/>
    </xf>
    <xf numFmtId="0" fontId="18" fillId="16" borderId="45" xfId="3" applyFont="1" applyFill="1" applyBorder="1" applyAlignment="1">
      <alignment horizontal="center" vertical="center"/>
    </xf>
    <xf numFmtId="0" fontId="18" fillId="16" borderId="46" xfId="3" applyFont="1" applyFill="1" applyBorder="1" applyAlignment="1">
      <alignment horizontal="center" vertical="center"/>
    </xf>
    <xf numFmtId="0" fontId="18" fillId="17" borderId="45" xfId="3" applyFont="1" applyFill="1" applyBorder="1" applyAlignment="1">
      <alignment horizontal="center" vertical="center"/>
    </xf>
    <xf numFmtId="0" fontId="18" fillId="17" borderId="46" xfId="3" applyFont="1" applyFill="1" applyBorder="1" applyAlignment="1">
      <alignment horizontal="center" vertical="center"/>
    </xf>
    <xf numFmtId="0" fontId="18" fillId="0" borderId="48" xfId="3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/>
    </xf>
    <xf numFmtId="0" fontId="18" fillId="10" borderId="48" xfId="3" applyFont="1" applyFill="1" applyBorder="1" applyAlignment="1">
      <alignment horizontal="center" vertical="center"/>
    </xf>
    <xf numFmtId="0" fontId="18" fillId="10" borderId="47" xfId="3" applyFont="1" applyFill="1" applyBorder="1" applyAlignment="1">
      <alignment horizontal="center" vertical="center"/>
    </xf>
    <xf numFmtId="0" fontId="18" fillId="11" borderId="48" xfId="3" applyFont="1" applyFill="1" applyBorder="1" applyAlignment="1">
      <alignment horizontal="center" vertical="center"/>
    </xf>
    <xf numFmtId="0" fontId="18" fillId="11" borderId="47" xfId="3" applyFont="1" applyFill="1" applyBorder="1" applyAlignment="1">
      <alignment horizontal="center" vertical="center"/>
    </xf>
    <xf numFmtId="0" fontId="18" fillId="12" borderId="48" xfId="3" applyFont="1" applyFill="1" applyBorder="1" applyAlignment="1">
      <alignment horizontal="center" vertical="center"/>
    </xf>
    <xf numFmtId="0" fontId="18" fillId="12" borderId="47" xfId="3" applyFont="1" applyFill="1" applyBorder="1" applyAlignment="1">
      <alignment horizontal="center" vertical="center"/>
    </xf>
    <xf numFmtId="0" fontId="18" fillId="9" borderId="48" xfId="3" applyFont="1" applyFill="1" applyBorder="1" applyAlignment="1">
      <alignment horizontal="center" vertical="center"/>
    </xf>
    <xf numFmtId="0" fontId="18" fillId="9" borderId="47" xfId="3" applyFont="1" applyFill="1" applyBorder="1" applyAlignment="1">
      <alignment horizontal="center" vertical="center"/>
    </xf>
    <xf numFmtId="0" fontId="18" fillId="15" borderId="48" xfId="3" applyFont="1" applyFill="1" applyBorder="1" applyAlignment="1">
      <alignment horizontal="center" vertical="center"/>
    </xf>
    <xf numFmtId="0" fontId="18" fillId="15" borderId="47" xfId="3" applyFont="1" applyFill="1" applyBorder="1" applyAlignment="1">
      <alignment horizontal="center" vertical="center"/>
    </xf>
    <xf numFmtId="0" fontId="19" fillId="13" borderId="48" xfId="3" applyFont="1" applyFill="1" applyBorder="1" applyAlignment="1">
      <alignment horizontal="center" vertical="center"/>
    </xf>
    <xf numFmtId="0" fontId="19" fillId="13" borderId="47" xfId="3" applyFont="1" applyFill="1" applyBorder="1" applyAlignment="1">
      <alignment horizontal="center" vertical="center"/>
    </xf>
    <xf numFmtId="0" fontId="18" fillId="14" borderId="48" xfId="3" applyFont="1" applyFill="1" applyBorder="1" applyAlignment="1">
      <alignment horizontal="center" vertical="center"/>
    </xf>
    <xf numFmtId="0" fontId="18" fillId="14" borderId="47" xfId="3" applyFont="1" applyFill="1" applyBorder="1" applyAlignment="1">
      <alignment horizontal="center" vertical="center"/>
    </xf>
    <xf numFmtId="0" fontId="21" fillId="11" borderId="48" xfId="3" applyFont="1" applyFill="1" applyBorder="1" applyAlignment="1">
      <alignment horizontal="center" vertical="center"/>
    </xf>
    <xf numFmtId="0" fontId="21" fillId="11" borderId="47" xfId="3" applyFont="1" applyFill="1" applyBorder="1" applyAlignment="1">
      <alignment horizontal="center" vertical="center"/>
    </xf>
    <xf numFmtId="0" fontId="20" fillId="11" borderId="48" xfId="3" applyFont="1" applyFill="1" applyBorder="1" applyAlignment="1">
      <alignment horizontal="center" vertical="center"/>
    </xf>
    <xf numFmtId="0" fontId="20" fillId="11" borderId="47" xfId="3" applyFont="1" applyFill="1" applyBorder="1" applyAlignment="1">
      <alignment horizontal="center" vertical="center"/>
    </xf>
    <xf numFmtId="0" fontId="18" fillId="16" borderId="48" xfId="3" applyFont="1" applyFill="1" applyBorder="1" applyAlignment="1">
      <alignment horizontal="center" vertical="center"/>
    </xf>
    <xf numFmtId="0" fontId="18" fillId="16" borderId="47" xfId="3" applyFont="1" applyFill="1" applyBorder="1" applyAlignment="1">
      <alignment horizontal="center" vertical="center"/>
    </xf>
    <xf numFmtId="0" fontId="18" fillId="7" borderId="53" xfId="3" applyFont="1" applyFill="1" applyBorder="1" applyAlignment="1">
      <alignment horizontal="center" vertical="center" textRotation="90" wrapText="1"/>
    </xf>
    <xf numFmtId="0" fontId="18" fillId="7" borderId="49" xfId="3" applyFont="1" applyFill="1" applyBorder="1" applyAlignment="1">
      <alignment horizontal="center" vertical="center" textRotation="90" wrapText="1"/>
    </xf>
    <xf numFmtId="0" fontId="18" fillId="7" borderId="56" xfId="3" applyFont="1" applyFill="1" applyBorder="1" applyAlignment="1">
      <alignment horizontal="center" vertical="center" textRotation="90" wrapText="1"/>
    </xf>
    <xf numFmtId="0" fontId="18" fillId="7" borderId="61" xfId="3" applyFont="1" applyFill="1" applyBorder="1" applyAlignment="1">
      <alignment horizontal="center" vertical="center" textRotation="90" wrapText="1"/>
    </xf>
    <xf numFmtId="171" fontId="12" fillId="18" borderId="0" xfId="3" applyNumberFormat="1" applyFill="1" applyAlignment="1">
      <alignment horizontal="left" vertical="center"/>
    </xf>
    <xf numFmtId="171" fontId="12" fillId="18" borderId="46" xfId="3" applyNumberFormat="1" applyFill="1" applyBorder="1" applyAlignment="1">
      <alignment horizontal="left" vertical="center"/>
    </xf>
    <xf numFmtId="0" fontId="18" fillId="7" borderId="45" xfId="3" applyFont="1" applyFill="1" applyBorder="1" applyAlignment="1">
      <alignment horizontal="center" vertical="center" textRotation="90"/>
    </xf>
    <xf numFmtId="0" fontId="18" fillId="7" borderId="48" xfId="3" applyFont="1" applyFill="1" applyBorder="1" applyAlignment="1">
      <alignment horizontal="center" vertical="center" textRotation="90"/>
    </xf>
    <xf numFmtId="0" fontId="18" fillId="7" borderId="51" xfId="3" applyFont="1" applyFill="1" applyBorder="1" applyAlignment="1">
      <alignment horizontal="center" vertical="center" textRotation="90"/>
    </xf>
    <xf numFmtId="0" fontId="20" fillId="17" borderId="48" xfId="3" applyFont="1" applyFill="1" applyBorder="1" applyAlignment="1">
      <alignment horizontal="center" vertical="center"/>
    </xf>
    <xf numFmtId="0" fontId="20" fillId="17" borderId="47" xfId="3" applyFont="1" applyFill="1" applyBorder="1" applyAlignment="1">
      <alignment horizontal="center" vertical="center"/>
    </xf>
    <xf numFmtId="0" fontId="11" fillId="27" borderId="26" xfId="0" applyFont="1" applyFill="1" applyBorder="1" applyAlignment="1">
      <alignment horizontal="center"/>
    </xf>
    <xf numFmtId="0" fontId="11" fillId="27" borderId="31" xfId="0" applyFont="1" applyFill="1" applyBorder="1" applyAlignment="1">
      <alignment horizontal="center"/>
    </xf>
    <xf numFmtId="0" fontId="11" fillId="27" borderId="34" xfId="0" applyFont="1" applyFill="1" applyBorder="1" applyAlignment="1">
      <alignment horizontal="center"/>
    </xf>
    <xf numFmtId="0" fontId="10" fillId="27" borderId="26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27" borderId="34" xfId="0" applyFont="1" applyFill="1" applyBorder="1" applyAlignment="1">
      <alignment horizontal="center"/>
    </xf>
    <xf numFmtId="0" fontId="64" fillId="25" borderId="97" xfId="0" applyFont="1" applyFill="1" applyBorder="1" applyAlignment="1">
      <alignment horizontal="center" vertical="center" wrapText="1"/>
    </xf>
    <xf numFmtId="0" fontId="11" fillId="27" borderId="26" xfId="0" applyFont="1" applyFill="1" applyBorder="1" applyAlignment="1">
      <alignment horizontal="centerContinuous"/>
    </xf>
    <xf numFmtId="0" fontId="11" fillId="27" borderId="27" xfId="0" applyFont="1" applyFill="1" applyBorder="1" applyAlignment="1">
      <alignment horizontal="center"/>
    </xf>
    <xf numFmtId="0" fontId="11" fillId="27" borderId="28" xfId="0" applyFont="1" applyFill="1" applyBorder="1" applyAlignment="1">
      <alignment horizontal="center"/>
    </xf>
    <xf numFmtId="17" fontId="11" fillId="27" borderId="26" xfId="0" applyNumberFormat="1" applyFont="1" applyFill="1" applyBorder="1" applyAlignment="1">
      <alignment horizontal="center"/>
    </xf>
    <xf numFmtId="17" fontId="11" fillId="27" borderId="31" xfId="0" applyNumberFormat="1" applyFont="1" applyFill="1" applyBorder="1" applyAlignment="1">
      <alignment horizontal="center"/>
    </xf>
    <xf numFmtId="38" fontId="10" fillId="27" borderId="26" xfId="0" applyNumberFormat="1" applyFont="1" applyFill="1" applyBorder="1" applyAlignment="1">
      <alignment horizontal="center"/>
    </xf>
    <xf numFmtId="40" fontId="10" fillId="27" borderId="26" xfId="0" applyNumberFormat="1" applyFont="1" applyFill="1" applyBorder="1" applyAlignment="1">
      <alignment horizontal="center"/>
    </xf>
    <xf numFmtId="2" fontId="10" fillId="27" borderId="26" xfId="0" applyNumberFormat="1" applyFont="1" applyFill="1" applyBorder="1" applyAlignment="1">
      <alignment horizontal="center"/>
    </xf>
    <xf numFmtId="164" fontId="10" fillId="27" borderId="26" xfId="2" applyNumberFormat="1" applyFont="1" applyFill="1" applyBorder="1" applyAlignment="1">
      <alignment horizontal="center"/>
    </xf>
    <xf numFmtId="38" fontId="10" fillId="27" borderId="31" xfId="0" applyNumberFormat="1" applyFont="1" applyFill="1" applyBorder="1" applyAlignment="1">
      <alignment horizontal="center"/>
    </xf>
    <xf numFmtId="166" fontId="10" fillId="27" borderId="31" xfId="1" applyNumberFormat="1" applyFont="1" applyFill="1" applyBorder="1" applyAlignment="1">
      <alignment horizontal="center"/>
    </xf>
    <xf numFmtId="168" fontId="10" fillId="27" borderId="31" xfId="1" applyNumberFormat="1" applyFont="1" applyFill="1" applyBorder="1" applyAlignment="1">
      <alignment horizontal="center"/>
    </xf>
    <xf numFmtId="40" fontId="10" fillId="27" borderId="31" xfId="0" applyNumberFormat="1" applyFont="1" applyFill="1" applyBorder="1" applyAlignment="1">
      <alignment horizontal="center"/>
    </xf>
    <xf numFmtId="2" fontId="10" fillId="27" borderId="31" xfId="0" applyNumberFormat="1" applyFont="1" applyFill="1" applyBorder="1" applyAlignment="1">
      <alignment horizontal="center"/>
    </xf>
    <xf numFmtId="164" fontId="10" fillId="27" borderId="31" xfId="2" applyNumberFormat="1" applyFont="1" applyFill="1" applyBorder="1" applyAlignment="1">
      <alignment horizontal="center"/>
    </xf>
    <xf numFmtId="38" fontId="10" fillId="27" borderId="34" xfId="0" applyNumberFormat="1" applyFont="1" applyFill="1" applyBorder="1" applyAlignment="1">
      <alignment horizontal="center"/>
    </xf>
    <xf numFmtId="40" fontId="10" fillId="27" borderId="34" xfId="0" applyNumberFormat="1" applyFont="1" applyFill="1" applyBorder="1" applyAlignment="1">
      <alignment horizontal="center"/>
    </xf>
    <xf numFmtId="2" fontId="10" fillId="27" borderId="34" xfId="0" applyNumberFormat="1" applyFont="1" applyFill="1" applyBorder="1" applyAlignment="1">
      <alignment horizontal="center"/>
    </xf>
    <xf numFmtId="164" fontId="10" fillId="27" borderId="34" xfId="2" applyNumberFormat="1" applyFont="1" applyFill="1" applyBorder="1" applyAlignment="1">
      <alignment horizontal="center"/>
    </xf>
    <xf numFmtId="0" fontId="64" fillId="28" borderId="67" xfId="0" applyFont="1" applyFill="1" applyBorder="1" applyAlignment="1">
      <alignment horizontal="center" vertical="center" wrapText="1"/>
    </xf>
    <xf numFmtId="0" fontId="64" fillId="28" borderId="74" xfId="0" applyFont="1" applyFill="1" applyBorder="1" applyAlignment="1">
      <alignment horizontal="center" vertical="center"/>
    </xf>
    <xf numFmtId="0" fontId="64" fillId="28" borderId="75" xfId="0" applyFont="1" applyFill="1" applyBorder="1" applyAlignment="1">
      <alignment horizontal="center" vertical="center"/>
    </xf>
    <xf numFmtId="0" fontId="64" fillId="28" borderId="68" xfId="0" applyFont="1" applyFill="1" applyBorder="1" applyAlignment="1">
      <alignment horizontal="center" vertical="center"/>
    </xf>
    <xf numFmtId="0" fontId="64" fillId="28" borderId="31" xfId="0" applyFont="1" applyFill="1" applyBorder="1" applyAlignment="1">
      <alignment horizontal="center" vertical="center" wrapText="1"/>
    </xf>
    <xf numFmtId="0" fontId="64" fillId="28" borderId="30" xfId="0" applyFont="1" applyFill="1" applyBorder="1" applyAlignment="1">
      <alignment horizontal="center" vertical="center"/>
    </xf>
    <xf numFmtId="0" fontId="64" fillId="28" borderId="78" xfId="0" applyFont="1" applyFill="1" applyBorder="1" applyAlignment="1">
      <alignment horizontal="center" vertical="center"/>
    </xf>
    <xf numFmtId="0" fontId="64" fillId="28" borderId="83" xfId="0" applyFont="1" applyFill="1" applyBorder="1" applyAlignment="1">
      <alignment horizontal="center" vertical="center" wrapText="1"/>
    </xf>
    <xf numFmtId="0" fontId="64" fillId="28" borderId="82" xfId="0" applyFont="1" applyFill="1" applyBorder="1" applyAlignment="1">
      <alignment horizontal="center" vertical="center"/>
    </xf>
    <xf numFmtId="0" fontId="64" fillId="28" borderId="87" xfId="0" applyFont="1" applyFill="1" applyBorder="1" applyAlignment="1">
      <alignment horizontal="center" vertical="center"/>
    </xf>
    <xf numFmtId="0" fontId="65" fillId="28" borderId="30" xfId="0" applyFont="1" applyFill="1" applyBorder="1"/>
    <xf numFmtId="0" fontId="65" fillId="28" borderId="78" xfId="0" applyFont="1" applyFill="1" applyBorder="1"/>
    <xf numFmtId="2" fontId="65" fillId="27" borderId="30" xfId="0" applyNumberFormat="1" applyFont="1" applyFill="1" applyBorder="1" applyAlignment="1">
      <alignment horizontal="center" vertical="center"/>
    </xf>
    <xf numFmtId="2" fontId="65" fillId="27" borderId="30" xfId="0" applyNumberFormat="1" applyFont="1" applyFill="1" applyBorder="1" applyAlignment="1">
      <alignment horizontal="center"/>
    </xf>
    <xf numFmtId="2" fontId="66" fillId="27" borderId="30" xfId="0" applyNumberFormat="1" applyFont="1" applyFill="1" applyBorder="1" applyAlignment="1">
      <alignment horizontal="center"/>
    </xf>
    <xf numFmtId="164" fontId="65" fillId="27" borderId="78" xfId="0" applyNumberFormat="1" applyFont="1" applyFill="1" applyBorder="1" applyAlignment="1">
      <alignment horizontal="center" vertical="center"/>
    </xf>
    <xf numFmtId="0" fontId="65" fillId="28" borderId="82" xfId="0" applyFont="1" applyFill="1" applyBorder="1"/>
    <xf numFmtId="0" fontId="66" fillId="28" borderId="82" xfId="0" applyFont="1" applyFill="1" applyBorder="1"/>
    <xf numFmtId="0" fontId="65" fillId="28" borderId="87" xfId="0" applyFont="1" applyFill="1" applyBorder="1"/>
    <xf numFmtId="0" fontId="11" fillId="8" borderId="98" xfId="0" applyFont="1" applyFill="1" applyBorder="1" applyAlignment="1">
      <alignment horizontal="center"/>
    </xf>
    <xf numFmtId="0" fontId="11" fillId="27" borderId="98" xfId="0" applyFont="1" applyFill="1" applyBorder="1" applyAlignment="1">
      <alignment horizontal="center"/>
    </xf>
    <xf numFmtId="0" fontId="11" fillId="27" borderId="27" xfId="0" applyFont="1" applyFill="1" applyBorder="1" applyAlignment="1">
      <alignment horizontal="center" vertical="center"/>
    </xf>
    <xf numFmtId="0" fontId="11" fillId="27" borderId="28" xfId="0" applyFont="1" applyFill="1" applyBorder="1" applyAlignment="1">
      <alignment horizontal="center" vertical="center"/>
    </xf>
    <xf numFmtId="0" fontId="11" fillId="27" borderId="27" xfId="0" applyFont="1" applyFill="1" applyBorder="1" applyAlignment="1">
      <alignment horizontal="center" vertical="center" wrapText="1"/>
    </xf>
    <xf numFmtId="0" fontId="11" fillId="27" borderId="28" xfId="0" applyFont="1" applyFill="1" applyBorder="1" applyAlignment="1">
      <alignment horizontal="center" vertical="center" wrapText="1"/>
    </xf>
    <xf numFmtId="0" fontId="64" fillId="28" borderId="27" xfId="0" applyFont="1" applyFill="1" applyBorder="1" applyAlignment="1">
      <alignment horizontal="center" vertical="center"/>
    </xf>
    <xf numFmtId="0" fontId="64" fillId="28" borderId="90" xfId="0" applyFont="1" applyFill="1" applyBorder="1" applyAlignment="1">
      <alignment horizontal="center" vertical="center"/>
    </xf>
    <xf numFmtId="0" fontId="64" fillId="28" borderId="91" xfId="0" applyFont="1" applyFill="1" applyBorder="1" applyAlignment="1">
      <alignment vertical="center"/>
    </xf>
    <xf numFmtId="0" fontId="0" fillId="27" borderId="0" xfId="0" applyFill="1"/>
    <xf numFmtId="0" fontId="11" fillId="27" borderId="70" xfId="0" applyFont="1" applyFill="1" applyBorder="1" applyAlignment="1">
      <alignment horizontal="center" vertical="center" wrapText="1"/>
    </xf>
    <xf numFmtId="0" fontId="64" fillId="28" borderId="71" xfId="0" applyFont="1" applyFill="1" applyBorder="1" applyAlignment="1">
      <alignment horizontal="center" vertical="center" wrapText="1"/>
    </xf>
    <xf numFmtId="0" fontId="64" fillId="28" borderId="93" xfId="0" applyFont="1" applyFill="1" applyBorder="1" applyAlignment="1">
      <alignment horizontal="center" vertical="center"/>
    </xf>
    <xf numFmtId="0" fontId="64" fillId="28" borderId="94" xfId="0" applyFont="1" applyFill="1" applyBorder="1" applyAlignment="1">
      <alignment horizontal="center" vertical="center"/>
    </xf>
    <xf numFmtId="0" fontId="64" fillId="28" borderId="95" xfId="0" applyFont="1" applyFill="1" applyBorder="1" applyAlignment="1">
      <alignment horizontal="center" vertical="center"/>
    </xf>
    <xf numFmtId="0" fontId="64" fillId="28" borderId="73" xfId="0" applyFont="1" applyFill="1" applyBorder="1" applyAlignment="1">
      <alignment horizontal="center" vertical="center" wrapText="1"/>
    </xf>
    <xf numFmtId="0" fontId="64" fillId="28" borderId="97" xfId="0" applyFont="1" applyFill="1" applyBorder="1" applyAlignment="1">
      <alignment horizontal="center" vertical="center" wrapText="1"/>
    </xf>
    <xf numFmtId="0" fontId="64" fillId="28" borderId="75" xfId="0" applyFont="1" applyFill="1" applyBorder="1" applyAlignment="1">
      <alignment horizontal="center" vertical="center" wrapText="1"/>
    </xf>
    <xf numFmtId="0" fontId="11" fillId="27" borderId="26" xfId="0" applyFont="1" applyFill="1" applyBorder="1" applyAlignment="1">
      <alignment horizontal="center" vertical="center" wrapText="1"/>
    </xf>
    <xf numFmtId="0" fontId="64" fillId="28" borderId="31" xfId="0" applyFont="1" applyFill="1" applyBorder="1" applyAlignment="1">
      <alignment horizontal="center"/>
    </xf>
    <xf numFmtId="0" fontId="64" fillId="28" borderId="30" xfId="0" applyFont="1" applyFill="1" applyBorder="1" applyAlignment="1">
      <alignment horizontal="center"/>
    </xf>
    <xf numFmtId="0" fontId="64" fillId="28" borderId="78" xfId="0" applyFont="1" applyFill="1" applyBorder="1" applyAlignment="1">
      <alignment horizontal="center"/>
    </xf>
    <xf numFmtId="0" fontId="11" fillId="27" borderId="29" xfId="0" applyFont="1" applyFill="1" applyBorder="1" applyAlignment="1">
      <alignment horizontal="center" vertical="center" wrapText="1"/>
    </xf>
    <xf numFmtId="0" fontId="64" fillId="28" borderId="0" xfId="0" applyFont="1" applyFill="1" applyBorder="1" applyAlignment="1">
      <alignment horizontal="center" vertical="center" wrapText="1"/>
    </xf>
    <xf numFmtId="0" fontId="64" fillId="28" borderId="31" xfId="0" applyFont="1" applyFill="1" applyBorder="1" applyAlignment="1">
      <alignment horizontal="center" vertical="center"/>
    </xf>
    <xf numFmtId="0" fontId="64" fillId="28" borderId="78" xfId="0" applyFont="1" applyFill="1" applyBorder="1" applyAlignment="1">
      <alignment horizontal="center" vertical="center" wrapText="1"/>
    </xf>
    <xf numFmtId="0" fontId="64" fillId="28" borderId="79" xfId="0" applyFont="1" applyFill="1" applyBorder="1" applyAlignment="1">
      <alignment horizontal="center" vertical="center"/>
    </xf>
    <xf numFmtId="0" fontId="64" fillId="28" borderId="80" xfId="0" applyFont="1" applyFill="1" applyBorder="1" applyAlignment="1">
      <alignment horizontal="center" vertical="center"/>
    </xf>
    <xf numFmtId="17" fontId="11" fillId="27" borderId="34" xfId="0" applyNumberFormat="1" applyFont="1" applyFill="1" applyBorder="1" applyAlignment="1">
      <alignment horizontal="center"/>
    </xf>
    <xf numFmtId="0" fontId="11" fillId="27" borderId="34" xfId="0" applyFont="1" applyFill="1" applyBorder="1" applyAlignment="1">
      <alignment horizontal="center" vertical="center" wrapText="1"/>
    </xf>
    <xf numFmtId="0" fontId="64" fillId="28" borderId="34" xfId="0" applyFont="1" applyFill="1" applyBorder="1"/>
    <xf numFmtId="0" fontId="64" fillId="28" borderId="33" xfId="0" applyFont="1" applyFill="1" applyBorder="1" applyAlignment="1">
      <alignment horizontal="center"/>
    </xf>
    <xf numFmtId="0" fontId="64" fillId="28" borderId="92" xfId="0" applyFont="1" applyFill="1" applyBorder="1"/>
    <xf numFmtId="0" fontId="11" fillId="27" borderId="84" xfId="0" applyFont="1" applyFill="1" applyBorder="1" applyAlignment="1">
      <alignment horizontal="center" vertical="center" wrapText="1"/>
    </xf>
    <xf numFmtId="0" fontId="64" fillId="28" borderId="85" xfId="0" applyFont="1" applyFill="1" applyBorder="1" applyAlignment="1">
      <alignment horizontal="center" vertical="center" wrapText="1"/>
    </xf>
    <xf numFmtId="0" fontId="64" fillId="28" borderId="83" xfId="0" applyFont="1" applyFill="1" applyBorder="1" applyAlignment="1">
      <alignment horizontal="center" vertical="center"/>
    </xf>
    <xf numFmtId="0" fontId="64" fillId="28" borderId="87" xfId="0" applyFont="1" applyFill="1" applyBorder="1" applyAlignment="1">
      <alignment horizontal="center" vertical="center" wrapText="1"/>
    </xf>
    <xf numFmtId="0" fontId="64" fillId="28" borderId="88" xfId="0" applyFont="1" applyFill="1" applyBorder="1" applyAlignment="1">
      <alignment horizontal="center" vertical="center"/>
    </xf>
    <xf numFmtId="0" fontId="64" fillId="28" borderId="89" xfId="0" applyFont="1" applyFill="1" applyBorder="1" applyAlignment="1">
      <alignment horizontal="center" vertical="center"/>
    </xf>
    <xf numFmtId="9" fontId="10" fillId="27" borderId="31" xfId="0" applyNumberFormat="1" applyFont="1" applyFill="1" applyBorder="1" applyAlignment="1">
      <alignment horizontal="center"/>
    </xf>
    <xf numFmtId="0" fontId="65" fillId="28" borderId="31" xfId="0" applyFont="1" applyFill="1" applyBorder="1"/>
    <xf numFmtId="0" fontId="65" fillId="28" borderId="0" xfId="0" applyFont="1" applyFill="1"/>
    <xf numFmtId="2" fontId="10" fillId="27" borderId="31" xfId="1" applyNumberFormat="1" applyFont="1" applyFill="1" applyBorder="1" applyAlignment="1">
      <alignment horizontal="center" vertical="center"/>
    </xf>
    <xf numFmtId="10" fontId="10" fillId="27" borderId="31" xfId="0" applyNumberFormat="1" applyFont="1" applyFill="1" applyBorder="1" applyAlignment="1">
      <alignment horizontal="center"/>
    </xf>
    <xf numFmtId="43" fontId="9" fillId="27" borderId="31" xfId="1" applyFont="1" applyFill="1" applyBorder="1" applyAlignment="1">
      <alignment horizontal="center"/>
    </xf>
    <xf numFmtId="164" fontId="9" fillId="27" borderId="31" xfId="2" applyNumberFormat="1" applyFont="1" applyFill="1" applyBorder="1" applyAlignment="1">
      <alignment horizontal="center"/>
    </xf>
    <xf numFmtId="43" fontId="69" fillId="27" borderId="0" xfId="1" applyFont="1" applyFill="1"/>
    <xf numFmtId="3" fontId="65" fillId="28" borderId="31" xfId="0" applyNumberFormat="1" applyFont="1" applyFill="1" applyBorder="1"/>
    <xf numFmtId="164" fontId="65" fillId="28" borderId="30" xfId="0" applyNumberFormat="1" applyFont="1" applyFill="1" applyBorder="1"/>
    <xf numFmtId="3" fontId="65" fillId="28" borderId="78" xfId="0" applyNumberFormat="1" applyFont="1" applyFill="1" applyBorder="1"/>
    <xf numFmtId="3" fontId="10" fillId="27" borderId="34" xfId="1" applyNumberFormat="1" applyFont="1" applyFill="1" applyBorder="1" applyAlignment="1">
      <alignment horizontal="center"/>
    </xf>
    <xf numFmtId="2" fontId="10" fillId="27" borderId="34" xfId="1" applyNumberFormat="1" applyFont="1" applyFill="1" applyBorder="1" applyAlignment="1">
      <alignment horizontal="center" vertical="center"/>
    </xf>
    <xf numFmtId="10" fontId="10" fillId="27" borderId="34" xfId="0" applyNumberFormat="1" applyFont="1" applyFill="1" applyBorder="1" applyAlignment="1">
      <alignment horizontal="center"/>
    </xf>
    <xf numFmtId="169" fontId="10" fillId="27" borderId="34" xfId="0" applyNumberFormat="1" applyFont="1" applyFill="1" applyBorder="1" applyAlignment="1">
      <alignment horizontal="center"/>
    </xf>
    <xf numFmtId="40" fontId="9" fillId="27" borderId="34" xfId="2" applyNumberFormat="1" applyFont="1" applyFill="1" applyBorder="1" applyAlignment="1">
      <alignment horizontal="center"/>
    </xf>
    <xf numFmtId="164" fontId="9" fillId="27" borderId="34" xfId="2" applyNumberFormat="1" applyFont="1" applyFill="1" applyBorder="1" applyAlignment="1">
      <alignment horizontal="center"/>
    </xf>
    <xf numFmtId="0" fontId="64" fillId="25" borderId="65" xfId="0" applyFont="1" applyFill="1" applyBorder="1" applyAlignment="1">
      <alignment horizontal="center" vertical="center" wrapText="1"/>
    </xf>
    <xf numFmtId="0" fontId="64" fillId="25" borderId="76" xfId="0" applyFont="1" applyFill="1" applyBorder="1" applyAlignment="1">
      <alignment horizontal="center" vertical="center" wrapText="1"/>
    </xf>
    <xf numFmtId="0" fontId="64" fillId="25" borderId="81" xfId="0" applyFont="1" applyFill="1" applyBorder="1" applyAlignment="1">
      <alignment horizontal="center" vertical="center" wrapText="1"/>
    </xf>
  </cellXfs>
  <cellStyles count="6">
    <cellStyle name="Comma" xfId="1" builtinId="3"/>
    <cellStyle name="Comma 3" xfId="4" xr:uid="{3BFB49CA-C77E-4568-95DB-B94BADD1B94D}"/>
    <cellStyle name="Normal" xfId="0" builtinId="0"/>
    <cellStyle name="Normal 2" xfId="3" xr:uid="{1E777A0D-846B-40E5-A603-C1954A8A04B9}"/>
    <cellStyle name="Percent" xfId="2" builtinId="5"/>
    <cellStyle name="Percent 3" xfId="5" xr:uid="{87DB4C80-5D5C-4915-80A2-06C296A90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71438</xdr:rowOff>
    </xdr:from>
    <xdr:to>
      <xdr:col>5</xdr:col>
      <xdr:colOff>14287</xdr:colOff>
      <xdr:row>3</xdr:row>
      <xdr:rowOff>38101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F66D6C-4940-1E46-F434-B57B3A2CEC50}"/>
            </a:ext>
          </a:extLst>
        </xdr:cNvPr>
        <xdr:cNvSpPr txBox="1"/>
      </xdr:nvSpPr>
      <xdr:spPr>
        <a:xfrm>
          <a:off x="28575" y="71438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Analis</a:t>
          </a:r>
          <a:r>
            <a:rPr lang="en-US" sz="1100" kern="1200" baseline="0"/>
            <a:t> country kasih pricing structure ke cost analyst</a:t>
          </a:r>
          <a:endParaRPr lang="en-US" sz="1100" kern="1200"/>
        </a:p>
      </xdr:txBody>
    </xdr:sp>
    <xdr:clientData/>
  </xdr:twoCellAnchor>
  <xdr:twoCellAnchor>
    <xdr:from>
      <xdr:col>0</xdr:col>
      <xdr:colOff>0</xdr:colOff>
      <xdr:row>6</xdr:row>
      <xdr:rowOff>90488</xdr:rowOff>
    </xdr:from>
    <xdr:to>
      <xdr:col>4</xdr:col>
      <xdr:colOff>633412</xdr:colOff>
      <xdr:row>9</xdr:row>
      <xdr:rowOff>57151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BD8839-B05B-46B0-8075-AB5A60E7CD4D}"/>
            </a:ext>
          </a:extLst>
        </xdr:cNvPr>
        <xdr:cNvSpPr txBox="1"/>
      </xdr:nvSpPr>
      <xdr:spPr>
        <a:xfrm>
          <a:off x="0" y="1176338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Cost</a:t>
          </a:r>
          <a:r>
            <a:rPr lang="en-US" sz="1100" kern="1200" baseline="0"/>
            <a:t> analyst cek rumus PS sudah benar atau belum, lalu input data ke excel pricing approval dan TTD</a:t>
          </a:r>
          <a:endParaRPr lang="en-US" sz="1100" kern="1200"/>
        </a:p>
      </xdr:txBody>
    </xdr:sp>
    <xdr:clientData/>
  </xdr:twoCellAnchor>
  <xdr:twoCellAnchor>
    <xdr:from>
      <xdr:col>1</xdr:col>
      <xdr:colOff>566737</xdr:colOff>
      <xdr:row>3</xdr:row>
      <xdr:rowOff>100014</xdr:rowOff>
    </xdr:from>
    <xdr:to>
      <xdr:col>2</xdr:col>
      <xdr:colOff>390525</xdr:colOff>
      <xdr:row>6</xdr:row>
      <xdr:rowOff>19051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7F52DAD8-6583-A9A7-228E-56EAE400A08E}"/>
            </a:ext>
          </a:extLst>
        </xdr:cNvPr>
        <xdr:cNvSpPr/>
      </xdr:nvSpPr>
      <xdr:spPr>
        <a:xfrm>
          <a:off x="1214437" y="642939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542925</xdr:colOff>
      <xdr:row>9</xdr:row>
      <xdr:rowOff>123826</xdr:rowOff>
    </xdr:from>
    <xdr:to>
      <xdr:col>2</xdr:col>
      <xdr:colOff>366713</xdr:colOff>
      <xdr:row>12</xdr:row>
      <xdr:rowOff>42863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F27124C0-1A1F-4786-B918-887AABDD0AF8}"/>
            </a:ext>
          </a:extLst>
        </xdr:cNvPr>
        <xdr:cNvSpPr/>
      </xdr:nvSpPr>
      <xdr:spPr>
        <a:xfrm>
          <a:off x="1190625" y="1752601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12</xdr:row>
      <xdr:rowOff>100013</xdr:rowOff>
    </xdr:from>
    <xdr:to>
      <xdr:col>4</xdr:col>
      <xdr:colOff>633412</xdr:colOff>
      <xdr:row>15</xdr:row>
      <xdr:rowOff>66676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55E6B50-7C9F-45A9-8C80-172267A0D081}"/>
            </a:ext>
          </a:extLst>
        </xdr:cNvPr>
        <xdr:cNvSpPr txBox="1"/>
      </xdr:nvSpPr>
      <xdr:spPr>
        <a:xfrm>
          <a:off x="0" y="2271713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Minta TTD Bu Irene</a:t>
          </a:r>
        </a:p>
      </xdr:txBody>
    </xdr:sp>
    <xdr:clientData/>
  </xdr:twoCellAnchor>
  <xdr:twoCellAnchor>
    <xdr:from>
      <xdr:col>1</xdr:col>
      <xdr:colOff>523875</xdr:colOff>
      <xdr:row>15</xdr:row>
      <xdr:rowOff>157163</xdr:rowOff>
    </xdr:from>
    <xdr:to>
      <xdr:col>2</xdr:col>
      <xdr:colOff>347663</xdr:colOff>
      <xdr:row>18</xdr:row>
      <xdr:rowOff>76200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09808CF2-7C7F-4F19-BBE9-A900D922A2E3}"/>
            </a:ext>
          </a:extLst>
        </xdr:cNvPr>
        <xdr:cNvSpPr/>
      </xdr:nvSpPr>
      <xdr:spPr>
        <a:xfrm>
          <a:off x="1171575" y="2871788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19</xdr:row>
      <xdr:rowOff>9525</xdr:rowOff>
    </xdr:from>
    <xdr:to>
      <xdr:col>4</xdr:col>
      <xdr:colOff>633412</xdr:colOff>
      <xdr:row>21</xdr:row>
      <xdr:rowOff>157163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A147BDE-5137-4DF8-B4AE-BF4D60520A2A}"/>
            </a:ext>
          </a:extLst>
        </xdr:cNvPr>
        <xdr:cNvSpPr txBox="1"/>
      </xdr:nvSpPr>
      <xdr:spPr>
        <a:xfrm>
          <a:off x="0" y="3448050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Minta TTD Pak</a:t>
          </a:r>
          <a:r>
            <a:rPr lang="en-US" sz="1100" kern="1200" baseline="0"/>
            <a:t> Her</a:t>
          </a:r>
          <a:endParaRPr lang="en-US" sz="1100" kern="1200"/>
        </a:p>
      </xdr:txBody>
    </xdr:sp>
    <xdr:clientData/>
  </xdr:twoCellAnchor>
  <xdr:twoCellAnchor>
    <xdr:from>
      <xdr:col>1</xdr:col>
      <xdr:colOff>557212</xdr:colOff>
      <xdr:row>22</xdr:row>
      <xdr:rowOff>42863</xdr:rowOff>
    </xdr:from>
    <xdr:to>
      <xdr:col>2</xdr:col>
      <xdr:colOff>381000</xdr:colOff>
      <xdr:row>24</xdr:row>
      <xdr:rowOff>142875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DF8BFDCA-3EC3-49B6-A113-266DD581505A}"/>
            </a:ext>
          </a:extLst>
        </xdr:cNvPr>
        <xdr:cNvSpPr/>
      </xdr:nvSpPr>
      <xdr:spPr>
        <a:xfrm>
          <a:off x="1204912" y="4024313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25</xdr:row>
      <xdr:rowOff>66675</xdr:rowOff>
    </xdr:from>
    <xdr:to>
      <xdr:col>4</xdr:col>
      <xdr:colOff>633412</xdr:colOff>
      <xdr:row>28</xdr:row>
      <xdr:rowOff>33338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CA43B91-1BBF-46B5-8F8F-A245EBFE88A6}"/>
            </a:ext>
          </a:extLst>
        </xdr:cNvPr>
        <xdr:cNvSpPr txBox="1"/>
      </xdr:nvSpPr>
      <xdr:spPr>
        <a:xfrm>
          <a:off x="0" y="4591050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Minta TTD Bu Elly, ada tambahan approval jika negara dihandle Pak Kevin</a:t>
          </a:r>
        </a:p>
      </xdr:txBody>
    </xdr:sp>
    <xdr:clientData/>
  </xdr:twoCellAnchor>
  <xdr:twoCellAnchor>
    <xdr:from>
      <xdr:col>1</xdr:col>
      <xdr:colOff>566737</xdr:colOff>
      <xdr:row>28</xdr:row>
      <xdr:rowOff>138113</xdr:rowOff>
    </xdr:from>
    <xdr:to>
      <xdr:col>2</xdr:col>
      <xdr:colOff>390525</xdr:colOff>
      <xdr:row>31</xdr:row>
      <xdr:rowOff>57150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4CB6A9AF-6AD3-48CB-8B39-0DB03095E408}"/>
            </a:ext>
          </a:extLst>
        </xdr:cNvPr>
        <xdr:cNvSpPr/>
      </xdr:nvSpPr>
      <xdr:spPr>
        <a:xfrm>
          <a:off x="1214437" y="5205413"/>
          <a:ext cx="471488" cy="46196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9525</xdr:colOff>
      <xdr:row>31</xdr:row>
      <xdr:rowOff>142876</xdr:rowOff>
    </xdr:from>
    <xdr:to>
      <xdr:col>4</xdr:col>
      <xdr:colOff>642937</xdr:colOff>
      <xdr:row>34</xdr:row>
      <xdr:rowOff>109539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671C2A9-92A5-4A8D-8EED-D7D336E15D0D}"/>
            </a:ext>
          </a:extLst>
        </xdr:cNvPr>
        <xdr:cNvSpPr txBox="1"/>
      </xdr:nvSpPr>
      <xdr:spPr>
        <a:xfrm>
          <a:off x="9525" y="5753101"/>
          <a:ext cx="3224212" cy="50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kern="1200"/>
            <a:t>Data diberikan ke akunting dan diinput ke data base price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403382</xdr:rowOff>
    </xdr:from>
    <xdr:to>
      <xdr:col>4</xdr:col>
      <xdr:colOff>0</xdr:colOff>
      <xdr:row>2</xdr:row>
      <xdr:rowOff>162456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229C8B25-95CD-4F1F-9917-59C659DDF496}"/>
            </a:ext>
          </a:extLst>
        </xdr:cNvPr>
        <xdr:cNvSpPr/>
      </xdr:nvSpPr>
      <xdr:spPr>
        <a:xfrm>
          <a:off x="3757613" y="250982"/>
          <a:ext cx="0" cy="45916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377414</xdr:colOff>
      <xdr:row>0</xdr:row>
      <xdr:rowOff>375457</xdr:rowOff>
    </xdr:from>
    <xdr:to>
      <xdr:col>46</xdr:col>
      <xdr:colOff>462080</xdr:colOff>
      <xdr:row>2</xdr:row>
      <xdr:rowOff>127000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F3781611-2556-4296-A6F7-1CAF9E848507}"/>
            </a:ext>
          </a:extLst>
        </xdr:cNvPr>
        <xdr:cNvSpPr/>
      </xdr:nvSpPr>
      <xdr:spPr>
        <a:xfrm>
          <a:off x="3757613" y="251632"/>
          <a:ext cx="0" cy="42305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207</xdr:col>
      <xdr:colOff>383491</xdr:colOff>
      <xdr:row>0</xdr:row>
      <xdr:rowOff>393451</xdr:rowOff>
    </xdr:from>
    <xdr:to>
      <xdr:col>208</xdr:col>
      <xdr:colOff>457574</xdr:colOff>
      <xdr:row>2</xdr:row>
      <xdr:rowOff>152525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9B8B7326-AF11-402F-A382-CA2FF11DDADB}"/>
            </a:ext>
          </a:extLst>
        </xdr:cNvPr>
        <xdr:cNvSpPr/>
      </xdr:nvSpPr>
      <xdr:spPr>
        <a:xfrm>
          <a:off x="3757613" y="250576"/>
          <a:ext cx="0" cy="44963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295</xdr:col>
      <xdr:colOff>362946</xdr:colOff>
      <xdr:row>0</xdr:row>
      <xdr:rowOff>356098</xdr:rowOff>
    </xdr:from>
    <xdr:to>
      <xdr:col>296</xdr:col>
      <xdr:colOff>437029</xdr:colOff>
      <xdr:row>2</xdr:row>
      <xdr:rowOff>115172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1B9C022E-6E88-4EA0-8753-66F161AD7E1D}"/>
            </a:ext>
          </a:extLst>
        </xdr:cNvPr>
        <xdr:cNvSpPr/>
      </xdr:nvSpPr>
      <xdr:spPr>
        <a:xfrm>
          <a:off x="3757613" y="251323"/>
          <a:ext cx="0" cy="41153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376</xdr:col>
      <xdr:colOff>423334</xdr:colOff>
      <xdr:row>0</xdr:row>
      <xdr:rowOff>363569</xdr:rowOff>
    </xdr:from>
    <xdr:to>
      <xdr:col>377</xdr:col>
      <xdr:colOff>497417</xdr:colOff>
      <xdr:row>2</xdr:row>
      <xdr:rowOff>122643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28755850-0DC3-480A-9388-D789AD912062}"/>
            </a:ext>
          </a:extLst>
        </xdr:cNvPr>
        <xdr:cNvSpPr/>
      </xdr:nvSpPr>
      <xdr:spPr>
        <a:xfrm>
          <a:off x="3757613" y="254032"/>
          <a:ext cx="0" cy="416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514349</xdr:colOff>
      <xdr:row>49</xdr:row>
      <xdr:rowOff>104802</xdr:rowOff>
    </xdr:to>
    <xdr:pic>
      <xdr:nvPicPr>
        <xdr:cNvPr id="2" name="ymail_attachmentIdd80f3226-6464-43da-8ab1-6cd2e3bcfb80">
          <a:extLst>
            <a:ext uri="{FF2B5EF4-FFF2-40B4-BE49-F238E27FC236}">
              <a16:creationId xmlns:a16="http://schemas.microsoft.com/office/drawing/2014/main" id="{BC716454-A795-4489-97D3-A800B2DF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39049" cy="8972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nnis\Desktop\Data%20Penting\Pricing%20Approval.xlsx" TargetMode="External"/><Relationship Id="rId1" Type="http://schemas.openxmlformats.org/officeDocument/2006/relationships/externalLinkPath" Target="/Users/Dennis/Desktop/Data%20Penting/Pricing%20Approv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nnis\Desktop\PRICING%20STRUCTURE\1801%2020250328%20-%20PS%20BRUNEI%20-%20AIKING%20-%20IPKF%20IPKS%20EXP%204x5.xlsx" TargetMode="External"/><Relationship Id="rId1" Type="http://schemas.openxmlformats.org/officeDocument/2006/relationships/externalLinkPath" Target="/Users/Dennis/Desktop/PRICING%20STRUCTURE/1801%2020250328%20-%20PS%20BRUNEI%20-%20AIKING%20-%20IPKF%20IPKS%20EXP%204x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413"/>
      <sheetName val="1414"/>
      <sheetName val="1415"/>
      <sheetName val="1416"/>
      <sheetName val="1417"/>
      <sheetName val="1418"/>
      <sheetName val="1419"/>
      <sheetName val="1420"/>
      <sheetName val="1421"/>
      <sheetName val="1422"/>
      <sheetName val="1423"/>
      <sheetName val="1424"/>
      <sheetName val="1425"/>
      <sheetName val="1426"/>
      <sheetName val="1427"/>
      <sheetName val="1428"/>
      <sheetName val="1429"/>
      <sheetName val="1430"/>
      <sheetName val="1431"/>
      <sheetName val="1432"/>
      <sheetName val="1433"/>
      <sheetName val="1434"/>
      <sheetName val="1435"/>
      <sheetName val="1436"/>
      <sheetName val="1437"/>
      <sheetName val="1438"/>
      <sheetName val="1439"/>
      <sheetName val="1440"/>
      <sheetName val="1441"/>
      <sheetName val="1442"/>
      <sheetName val="1443"/>
      <sheetName val="1444"/>
      <sheetName val="1445"/>
      <sheetName val="1446"/>
      <sheetName val="1447"/>
      <sheetName val="1448"/>
      <sheetName val="1449"/>
      <sheetName val="1450"/>
      <sheetName val="1451"/>
      <sheetName val="1452"/>
      <sheetName val="1453"/>
      <sheetName val="1454"/>
      <sheetName val="1455"/>
      <sheetName val="1456"/>
      <sheetName val="1457"/>
      <sheetName val="1458"/>
      <sheetName val="1459"/>
      <sheetName val="1460"/>
      <sheetName val="1461"/>
      <sheetName val="1462"/>
      <sheetName val="1463"/>
      <sheetName val="1464"/>
      <sheetName val="1465"/>
      <sheetName val="1466"/>
      <sheetName val="1467"/>
      <sheetName val="1468"/>
      <sheetName val="1469"/>
      <sheetName val="1470"/>
      <sheetName val="1471"/>
      <sheetName val="1472"/>
      <sheetName val="1473"/>
      <sheetName val="1474"/>
      <sheetName val="1475"/>
      <sheetName val="1476"/>
      <sheetName val="1477"/>
      <sheetName val="1478"/>
      <sheetName val="1479"/>
      <sheetName val="1480"/>
      <sheetName val="1481"/>
      <sheetName val="1482"/>
      <sheetName val="1483"/>
      <sheetName val="1484"/>
      <sheetName val="1485"/>
      <sheetName val="1486"/>
      <sheetName val="1487"/>
      <sheetName val="1488"/>
      <sheetName val="1489"/>
      <sheetName val="1490"/>
      <sheetName val="1491"/>
      <sheetName val="1492"/>
      <sheetName val="1493"/>
      <sheetName val="1494"/>
      <sheetName val="1495"/>
      <sheetName val="1496"/>
      <sheetName val="1497"/>
      <sheetName val="1498"/>
      <sheetName val="1499"/>
      <sheetName val="1500"/>
      <sheetName val="1501"/>
      <sheetName val="1502"/>
      <sheetName val="1503"/>
      <sheetName val="1504"/>
      <sheetName val="1505"/>
      <sheetName val="1506"/>
      <sheetName val="1507"/>
      <sheetName val="1508"/>
      <sheetName val="1509"/>
      <sheetName val="1510"/>
      <sheetName val="1511"/>
      <sheetName val="1512"/>
      <sheetName val="1513"/>
      <sheetName val="1514"/>
      <sheetName val="1515"/>
      <sheetName val="1516"/>
      <sheetName val="1517"/>
      <sheetName val="1518"/>
      <sheetName val="1519"/>
      <sheetName val="1520"/>
      <sheetName val="1521"/>
      <sheetName val="1522"/>
      <sheetName val="1523"/>
      <sheetName val="1524"/>
      <sheetName val="1525"/>
      <sheetName val="1526"/>
      <sheetName val="1527"/>
      <sheetName val="1528"/>
      <sheetName val="1529"/>
      <sheetName val="1530"/>
      <sheetName val="1531"/>
      <sheetName val="1532"/>
      <sheetName val="1533"/>
      <sheetName val="1534"/>
      <sheetName val="1535"/>
      <sheetName val="1536"/>
      <sheetName val="1537"/>
      <sheetName val="1538"/>
      <sheetName val="1539"/>
      <sheetName val="1540"/>
      <sheetName val="1541"/>
      <sheetName val="1542"/>
      <sheetName val="1543"/>
      <sheetName val="1544"/>
      <sheetName val="1545"/>
      <sheetName val="1546"/>
      <sheetName val="1547"/>
      <sheetName val="1548"/>
      <sheetName val="1549"/>
      <sheetName val="1550"/>
      <sheetName val="1551"/>
      <sheetName val="1552"/>
      <sheetName val="1553"/>
      <sheetName val="1554"/>
      <sheetName val="1555"/>
      <sheetName val="1556"/>
      <sheetName val="1557"/>
      <sheetName val="1558"/>
      <sheetName val="1559"/>
      <sheetName val="1560"/>
      <sheetName val="1561"/>
      <sheetName val="1562"/>
      <sheetName val="1563"/>
      <sheetName val="1564"/>
      <sheetName val="1565"/>
      <sheetName val="1566"/>
      <sheetName val="1567"/>
      <sheetName val="1568"/>
      <sheetName val="1569"/>
      <sheetName val="1570"/>
      <sheetName val="1571"/>
      <sheetName val="1572"/>
      <sheetName val="1573"/>
      <sheetName val="1574"/>
      <sheetName val="1575"/>
      <sheetName val="1576"/>
      <sheetName val="1577"/>
      <sheetName val="1578"/>
      <sheetName val="1579"/>
      <sheetName val="1580"/>
      <sheetName val="1581"/>
      <sheetName val="1582"/>
      <sheetName val="1583"/>
      <sheetName val="1584"/>
      <sheetName val="1585"/>
      <sheetName val="1586"/>
      <sheetName val="1587"/>
      <sheetName val="1588"/>
      <sheetName val="1589"/>
      <sheetName val="1590"/>
      <sheetName val="1591"/>
      <sheetName val="1592"/>
      <sheetName val="1593"/>
      <sheetName val="1594"/>
      <sheetName val="1595"/>
      <sheetName val="1596"/>
      <sheetName val="1597"/>
      <sheetName val="1598"/>
      <sheetName val="1599"/>
      <sheetName val="1600"/>
      <sheetName val="1601"/>
      <sheetName val="1602"/>
      <sheetName val="1603"/>
      <sheetName val="1604"/>
      <sheetName val="1605"/>
      <sheetName val="1606"/>
      <sheetName val="1607"/>
      <sheetName val="1608"/>
      <sheetName val="1609"/>
      <sheetName val="1610"/>
      <sheetName val="1611"/>
      <sheetName val="1612"/>
      <sheetName val="1613"/>
      <sheetName val="1614"/>
      <sheetName val="1615"/>
      <sheetName val="1616"/>
      <sheetName val="1617"/>
      <sheetName val="1618"/>
      <sheetName val="1619"/>
      <sheetName val="1620"/>
      <sheetName val="1621"/>
      <sheetName val="1622"/>
      <sheetName val="1623"/>
      <sheetName val="1624"/>
      <sheetName val="1625"/>
      <sheetName val="1627"/>
      <sheetName val="1628"/>
      <sheetName val="1629"/>
      <sheetName val="1630"/>
      <sheetName val="1631"/>
      <sheetName val="1632"/>
      <sheetName val="1633"/>
      <sheetName val="1634"/>
      <sheetName val="1635"/>
      <sheetName val="1636"/>
      <sheetName val="1637"/>
      <sheetName val="1638"/>
      <sheetName val="1639"/>
      <sheetName val="1640"/>
      <sheetName val="1641"/>
      <sheetName val="1642"/>
      <sheetName val="1643"/>
      <sheetName val="1644"/>
      <sheetName val="1645"/>
      <sheetName val="1646"/>
      <sheetName val="1647"/>
      <sheetName val="1648"/>
      <sheetName val="1649"/>
      <sheetName val="1650"/>
      <sheetName val="1651"/>
      <sheetName val="1652"/>
      <sheetName val="1653"/>
      <sheetName val="1654"/>
      <sheetName val="1655"/>
      <sheetName val="1656"/>
      <sheetName val="1657"/>
      <sheetName val="1658"/>
      <sheetName val="1659"/>
      <sheetName val="1660"/>
      <sheetName val="1661"/>
      <sheetName val="1662"/>
      <sheetName val="1663"/>
      <sheetName val="1664"/>
      <sheetName val="1665"/>
      <sheetName val="1666"/>
      <sheetName val="1667"/>
      <sheetName val="1668"/>
      <sheetName val="1669"/>
      <sheetName val="1670"/>
      <sheetName val="1671"/>
      <sheetName val="1672"/>
      <sheetName val="1673"/>
      <sheetName val="1674"/>
      <sheetName val="1675"/>
      <sheetName val="1676"/>
      <sheetName val="1677"/>
      <sheetName val="1678"/>
      <sheetName val="1679"/>
      <sheetName val="1680"/>
      <sheetName val="1681"/>
      <sheetName val="1682"/>
      <sheetName val="1683"/>
      <sheetName val="1684"/>
      <sheetName val="1685"/>
      <sheetName val="1686"/>
      <sheetName val="1687"/>
      <sheetName val="1688"/>
      <sheetName val="1689"/>
      <sheetName val="1690"/>
      <sheetName val="1691"/>
      <sheetName val="1692"/>
      <sheetName val="1693"/>
      <sheetName val="1694"/>
      <sheetName val="1695"/>
      <sheetName val="1696"/>
      <sheetName val="1697"/>
      <sheetName val="1698"/>
      <sheetName val="1699"/>
      <sheetName val="1700"/>
      <sheetName val="1701"/>
      <sheetName val="1702"/>
      <sheetName val="1703"/>
      <sheetName val="1704"/>
      <sheetName val="1705"/>
      <sheetName val="1706"/>
      <sheetName val="1707"/>
      <sheetName val="1708"/>
      <sheetName val="1709"/>
      <sheetName val="1710"/>
      <sheetName val="1711"/>
      <sheetName val="1712"/>
      <sheetName val="1713"/>
      <sheetName val="1714"/>
      <sheetName val="1715"/>
      <sheetName val="1716"/>
      <sheetName val="1717"/>
      <sheetName val="1718"/>
      <sheetName val="1719"/>
      <sheetName val="1720"/>
      <sheetName val="1721"/>
      <sheetName val="1722"/>
      <sheetName val="1723"/>
      <sheetName val="1724"/>
      <sheetName val="1725"/>
      <sheetName val="1726"/>
      <sheetName val="1727"/>
      <sheetName val="1728"/>
      <sheetName val="1729"/>
      <sheetName val="1730"/>
      <sheetName val="1731"/>
      <sheetName val="1732"/>
      <sheetName val="1733"/>
      <sheetName val="1734"/>
      <sheetName val="1735"/>
      <sheetName val="1736"/>
      <sheetName val="1737"/>
      <sheetName val="1738"/>
      <sheetName val="1739"/>
      <sheetName val="1740"/>
      <sheetName val="1741"/>
      <sheetName val="1742"/>
      <sheetName val="1743"/>
      <sheetName val="1744"/>
      <sheetName val="1745"/>
      <sheetName val="1746"/>
      <sheetName val="1747"/>
      <sheetName val="1748"/>
      <sheetName val="1749"/>
      <sheetName val="1750"/>
      <sheetName val="1751"/>
      <sheetName val="1752"/>
      <sheetName val="1753"/>
      <sheetName val="1754"/>
      <sheetName val="1755"/>
      <sheetName val="1756"/>
      <sheetName val="1757"/>
      <sheetName val="1758"/>
      <sheetName val="1759"/>
      <sheetName val="1760"/>
      <sheetName val="1761"/>
      <sheetName val="1762"/>
      <sheetName val="1763"/>
      <sheetName val="1764"/>
      <sheetName val="1765"/>
      <sheetName val="1766"/>
      <sheetName val="1767"/>
      <sheetName val="1768"/>
      <sheetName val="1769"/>
      <sheetName val="1770"/>
      <sheetName val="1771"/>
      <sheetName val="1772"/>
      <sheetName val="1773"/>
      <sheetName val="1774"/>
      <sheetName val="1775"/>
      <sheetName val="1776"/>
      <sheetName val="1777"/>
      <sheetName val="1778"/>
      <sheetName val="1779"/>
      <sheetName val="1780"/>
      <sheetName val="1781"/>
      <sheetName val="1782"/>
      <sheetName val="1783"/>
      <sheetName val="1784"/>
      <sheetName val="1785"/>
      <sheetName val="1786"/>
      <sheetName val="1787"/>
      <sheetName val="1788"/>
      <sheetName val="1789"/>
      <sheetName val="1790"/>
      <sheetName val="1791"/>
      <sheetName val="1792"/>
      <sheetName val="1793"/>
      <sheetName val="1794"/>
      <sheetName val="1795"/>
      <sheetName val="1796"/>
      <sheetName val="1797"/>
      <sheetName val="1798"/>
      <sheetName val="1799"/>
      <sheetName val="1800"/>
      <sheetName val="1801"/>
      <sheetName val="1802"/>
      <sheetName val="1803"/>
      <sheetName val="1804"/>
      <sheetName val="1805"/>
      <sheetName val="1806"/>
      <sheetName val="1807"/>
      <sheetName val="1808"/>
      <sheetName val="1809"/>
      <sheetName val="1810"/>
      <sheetName val="1811"/>
      <sheetName val="1812"/>
      <sheetName val="1813"/>
      <sheetName val="List Pricing Proposal"/>
      <sheetName val="Product"/>
      <sheetName val="Pricing Appro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FIN"/>
      <sheetName val="Sheet1"/>
      <sheetName val="Sheet2"/>
      <sheetName val="PS LEC"/>
      <sheetName val="PS Aiking"/>
      <sheetName val="PNL by Cust"/>
      <sheetName val="Hua Ho Pricing"/>
      <sheetName val="Korean"/>
      <sheetName val="GSI Promo for SL"/>
      <sheetName val="GSI Promo for HH"/>
      <sheetName val="Aliaa Promotion"/>
      <sheetName val="Aiking Promotion"/>
      <sheetName val="LEC Price Increment"/>
      <sheetName val="Summary (2)"/>
      <sheetName val="Summary"/>
      <sheetName val="Price List"/>
      <sheetName val="COGS Comparison"/>
      <sheetName val="COGS Comparison-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749B-F7BB-48AB-AF35-B3BA427D9B59}">
  <dimension ref="A1:AH44"/>
  <sheetViews>
    <sheetView topLeftCell="A25" workbookViewId="0">
      <selection activeCell="P35" sqref="P35"/>
    </sheetView>
  </sheetViews>
  <sheetFormatPr defaultRowHeight="14.25" x14ac:dyDescent="0.45"/>
  <cols>
    <col min="4" max="4" width="10.06640625" bestFit="1" customWidth="1"/>
  </cols>
  <sheetData>
    <row r="1" spans="1:34" ht="14.65" thickBot="1" x14ac:dyDescent="0.5">
      <c r="A1" s="699" t="s">
        <v>176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  <c r="Y1" s="700"/>
      <c r="Z1" s="700"/>
      <c r="AA1" s="700"/>
      <c r="AB1" s="700"/>
      <c r="AC1" s="700"/>
      <c r="AD1" s="701"/>
    </row>
    <row r="2" spans="1:34" x14ac:dyDescent="0.45">
      <c r="A2" s="47" t="s">
        <v>0</v>
      </c>
      <c r="B2" s="48" t="s">
        <v>139</v>
      </c>
      <c r="C2" s="48" t="s">
        <v>109</v>
      </c>
      <c r="D2" s="48" t="s">
        <v>7</v>
      </c>
      <c r="E2" s="48" t="s">
        <v>140</v>
      </c>
      <c r="F2" s="48" t="s">
        <v>141</v>
      </c>
      <c r="G2" s="48" t="s">
        <v>142</v>
      </c>
      <c r="H2" s="48" t="s">
        <v>143</v>
      </c>
      <c r="I2" s="48" t="s">
        <v>144</v>
      </c>
      <c r="J2" s="49" t="s">
        <v>145</v>
      </c>
      <c r="K2" s="50" t="s">
        <v>146</v>
      </c>
      <c r="L2" s="48" t="s">
        <v>147</v>
      </c>
      <c r="M2" s="48" t="s">
        <v>148</v>
      </c>
      <c r="N2" s="49" t="s">
        <v>149</v>
      </c>
      <c r="O2" s="48" t="s">
        <v>5</v>
      </c>
      <c r="P2" s="50" t="s">
        <v>150</v>
      </c>
      <c r="Q2" s="48" t="s">
        <v>151</v>
      </c>
      <c r="R2" s="48" t="s">
        <v>152</v>
      </c>
      <c r="S2" s="48" t="s">
        <v>153</v>
      </c>
      <c r="T2" s="48" t="s">
        <v>154</v>
      </c>
      <c r="U2" s="48" t="s">
        <v>155</v>
      </c>
      <c r="V2" s="48" t="s">
        <v>156</v>
      </c>
      <c r="W2" s="48" t="s">
        <v>157</v>
      </c>
      <c r="X2" s="48" t="s">
        <v>158</v>
      </c>
      <c r="Y2" s="51" t="s">
        <v>159</v>
      </c>
      <c r="Z2" s="51" t="s">
        <v>160</v>
      </c>
      <c r="AA2" s="51" t="s">
        <v>161</v>
      </c>
      <c r="AB2" s="51" t="s">
        <v>162</v>
      </c>
      <c r="AC2" s="51" t="s">
        <v>163</v>
      </c>
      <c r="AD2" s="52" t="s">
        <v>164</v>
      </c>
    </row>
    <row r="3" spans="1:34" x14ac:dyDescent="0.45">
      <c r="A3" s="25">
        <v>1801</v>
      </c>
      <c r="B3" s="26">
        <v>45737</v>
      </c>
      <c r="C3" s="27" t="s">
        <v>113</v>
      </c>
      <c r="D3" s="27" t="s">
        <v>27</v>
      </c>
      <c r="E3" s="28" t="s">
        <v>165</v>
      </c>
      <c r="F3" s="28" t="s">
        <v>166</v>
      </c>
      <c r="G3" s="27">
        <v>438095</v>
      </c>
      <c r="H3" s="29"/>
      <c r="I3" s="29"/>
      <c r="J3" s="29">
        <v>6.9</v>
      </c>
      <c r="K3" s="29">
        <v>7.1</v>
      </c>
      <c r="L3" s="30">
        <v>950</v>
      </c>
      <c r="M3" s="30"/>
      <c r="N3" s="30">
        <v>5800</v>
      </c>
      <c r="O3" s="30">
        <v>16200</v>
      </c>
      <c r="P3" s="30">
        <v>3016.2273340000002</v>
      </c>
      <c r="Q3" s="29">
        <v>3.7237374493827162</v>
      </c>
      <c r="R3" s="30" t="s">
        <v>167</v>
      </c>
      <c r="S3" s="30" t="s">
        <v>168</v>
      </c>
      <c r="T3" s="30" t="s">
        <v>169</v>
      </c>
      <c r="U3" s="30" t="s">
        <v>170</v>
      </c>
      <c r="V3" s="30">
        <v>20</v>
      </c>
      <c r="W3" s="31" t="s">
        <v>149</v>
      </c>
      <c r="X3" s="30"/>
      <c r="Y3" s="29">
        <v>-3.6206896551723489E-2</v>
      </c>
      <c r="Z3" s="32">
        <v>0.46032790588656292</v>
      </c>
      <c r="AA3" s="32">
        <v>0.46495789089405903</v>
      </c>
      <c r="AB3" s="33">
        <v>0.5</v>
      </c>
      <c r="AC3" s="34"/>
      <c r="AD3" s="35" t="s">
        <v>171</v>
      </c>
    </row>
    <row r="4" spans="1:34" x14ac:dyDescent="0.45">
      <c r="A4" s="36">
        <v>1801</v>
      </c>
      <c r="B4" s="37">
        <v>45737</v>
      </c>
      <c r="C4" s="38" t="s">
        <v>113</v>
      </c>
      <c r="D4" s="38" t="s">
        <v>27</v>
      </c>
      <c r="E4" s="39" t="s">
        <v>165</v>
      </c>
      <c r="F4" s="39" t="s">
        <v>166</v>
      </c>
      <c r="G4" s="38">
        <v>438099</v>
      </c>
      <c r="H4" s="40"/>
      <c r="I4" s="40"/>
      <c r="J4" s="40">
        <v>6.9</v>
      </c>
      <c r="K4" s="40">
        <v>7.1</v>
      </c>
      <c r="L4" s="41">
        <v>950</v>
      </c>
      <c r="M4" s="41"/>
      <c r="N4" s="41">
        <v>5800</v>
      </c>
      <c r="O4" s="41">
        <v>16200</v>
      </c>
      <c r="P4" s="41">
        <v>3235.9926059999998</v>
      </c>
      <c r="Q4" s="40">
        <v>3.9950525999999997</v>
      </c>
      <c r="R4" s="41" t="s">
        <v>167</v>
      </c>
      <c r="S4" s="41" t="s">
        <v>172</v>
      </c>
      <c r="T4" s="41" t="s">
        <v>173</v>
      </c>
      <c r="U4" s="41" t="s">
        <v>174</v>
      </c>
      <c r="V4" s="41">
        <v>20</v>
      </c>
      <c r="W4" s="42" t="s">
        <v>149</v>
      </c>
      <c r="X4" s="41"/>
      <c r="Y4" s="40">
        <v>-3.6206896551723489E-2</v>
      </c>
      <c r="Z4" s="43">
        <v>0.42100686956521743</v>
      </c>
      <c r="AA4" s="43">
        <v>0.42563685457271361</v>
      </c>
      <c r="AB4" s="44">
        <v>0.5</v>
      </c>
      <c r="AC4" s="45"/>
      <c r="AD4" s="46" t="s">
        <v>171</v>
      </c>
    </row>
    <row r="5" spans="1:34" x14ac:dyDescent="0.45">
      <c r="A5" t="s">
        <v>175</v>
      </c>
      <c r="B5" t="s">
        <v>175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J5" t="s">
        <v>225</v>
      </c>
      <c r="K5" t="s">
        <v>175</v>
      </c>
      <c r="L5" t="s">
        <v>175</v>
      </c>
      <c r="N5" t="s">
        <v>175</v>
      </c>
      <c r="O5" t="s">
        <v>175</v>
      </c>
      <c r="P5" t="s">
        <v>175</v>
      </c>
      <c r="Q5" t="s">
        <v>225</v>
      </c>
      <c r="R5" t="s">
        <v>175</v>
      </c>
      <c r="S5" t="s">
        <v>225</v>
      </c>
      <c r="T5" t="s">
        <v>225</v>
      </c>
      <c r="U5" t="s">
        <v>225</v>
      </c>
      <c r="V5" t="s">
        <v>225</v>
      </c>
      <c r="Y5" t="s">
        <v>175</v>
      </c>
      <c r="Z5" t="s">
        <v>225</v>
      </c>
      <c r="AA5" t="s">
        <v>225</v>
      </c>
      <c r="AB5" t="s">
        <v>175</v>
      </c>
      <c r="AD5" t="s">
        <v>175</v>
      </c>
    </row>
    <row r="7" spans="1:34" x14ac:dyDescent="0.45">
      <c r="A7" t="s">
        <v>445</v>
      </c>
    </row>
    <row r="11" spans="1:34" ht="14.65" thickBot="1" x14ac:dyDescent="0.5"/>
    <row r="12" spans="1:34" ht="14.65" thickBot="1" x14ac:dyDescent="0.5">
      <c r="A12" s="690" t="s">
        <v>224</v>
      </c>
      <c r="B12" s="691"/>
      <c r="C12" s="691"/>
      <c r="D12" s="691"/>
      <c r="E12" s="691"/>
      <c r="F12" s="691"/>
      <c r="G12" s="691"/>
      <c r="H12" s="691"/>
      <c r="I12" s="692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</row>
    <row r="13" spans="1:34" x14ac:dyDescent="0.45">
      <c r="A13" s="53" t="s">
        <v>177</v>
      </c>
      <c r="B13" s="53" t="s">
        <v>178</v>
      </c>
      <c r="C13" s="54">
        <v>1801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</row>
    <row r="14" spans="1:34" x14ac:dyDescent="0.45">
      <c r="A14" s="53" t="s">
        <v>109</v>
      </c>
      <c r="B14" s="53" t="s">
        <v>178</v>
      </c>
      <c r="C14" s="55" t="s">
        <v>113</v>
      </c>
      <c r="D14" s="56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</row>
    <row r="15" spans="1:34" x14ac:dyDescent="0.45">
      <c r="A15" s="53" t="s">
        <v>7</v>
      </c>
      <c r="B15" s="53" t="s">
        <v>178</v>
      </c>
      <c r="C15" s="55" t="s">
        <v>27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</row>
    <row r="16" spans="1:34" x14ac:dyDescent="0.45">
      <c r="A16" s="53" t="s">
        <v>140</v>
      </c>
      <c r="B16" s="53" t="s">
        <v>178</v>
      </c>
      <c r="C16" s="55" t="s">
        <v>165</v>
      </c>
      <c r="D16" s="56"/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</row>
    <row r="17" spans="1:17" x14ac:dyDescent="0.45">
      <c r="A17" s="53" t="s">
        <v>141</v>
      </c>
      <c r="B17" s="53" t="s">
        <v>178</v>
      </c>
      <c r="C17" s="55" t="s">
        <v>166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 spans="1:17" x14ac:dyDescent="0.45">
      <c r="A18" s="53" t="s">
        <v>179</v>
      </c>
      <c r="B18" s="53" t="s">
        <v>178</v>
      </c>
      <c r="C18" s="57">
        <v>45737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</row>
    <row r="19" spans="1:17" x14ac:dyDescent="0.4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1:17" x14ac:dyDescent="0.45">
      <c r="A20" s="58" t="s">
        <v>180</v>
      </c>
      <c r="B20" s="58"/>
      <c r="C20" s="58"/>
      <c r="D20" s="59"/>
      <c r="E20" s="59"/>
      <c r="F20" s="59"/>
      <c r="G20" s="59"/>
      <c r="H20" s="59"/>
      <c r="I20" s="59"/>
      <c r="J20" s="55"/>
      <c r="K20" s="55"/>
      <c r="L20" s="60"/>
      <c r="M20" s="60" t="s">
        <v>181</v>
      </c>
      <c r="N20" s="61">
        <v>16200</v>
      </c>
      <c r="O20" s="58" t="s">
        <v>182</v>
      </c>
    </row>
    <row r="21" spans="1:17" x14ac:dyDescent="0.45">
      <c r="A21" s="131" t="s">
        <v>142</v>
      </c>
      <c r="B21" s="132"/>
      <c r="C21" s="62" t="s">
        <v>153</v>
      </c>
      <c r="D21" s="62" t="s">
        <v>183</v>
      </c>
      <c r="E21" s="62" t="s">
        <v>122</v>
      </c>
      <c r="F21" s="62" t="s">
        <v>184</v>
      </c>
      <c r="G21" s="62" t="s">
        <v>185</v>
      </c>
      <c r="H21" s="62" t="s">
        <v>186</v>
      </c>
      <c r="I21" s="62"/>
      <c r="J21" s="63" t="s">
        <v>187</v>
      </c>
      <c r="K21" s="63"/>
      <c r="L21" s="702" t="s">
        <v>188</v>
      </c>
      <c r="M21" s="703"/>
      <c r="N21" s="63" t="s">
        <v>189</v>
      </c>
      <c r="O21" s="63"/>
    </row>
    <row r="22" spans="1:17" x14ac:dyDescent="0.45">
      <c r="A22" s="133" t="s">
        <v>183</v>
      </c>
      <c r="B22" s="134"/>
      <c r="C22" s="66"/>
      <c r="D22" s="67"/>
      <c r="E22" s="67"/>
      <c r="F22" s="67" t="s">
        <v>190</v>
      </c>
      <c r="G22" s="67" t="s">
        <v>191</v>
      </c>
      <c r="H22" s="62" t="s">
        <v>148</v>
      </c>
      <c r="I22" s="62">
        <v>40</v>
      </c>
      <c r="J22" s="62" t="s">
        <v>182</v>
      </c>
      <c r="K22" s="62" t="s">
        <v>192</v>
      </c>
      <c r="L22" s="68" t="s">
        <v>193</v>
      </c>
      <c r="M22" s="68" t="s">
        <v>194</v>
      </c>
      <c r="N22" s="62" t="s">
        <v>195</v>
      </c>
      <c r="O22" s="62" t="s">
        <v>196</v>
      </c>
    </row>
    <row r="23" spans="1:17" x14ac:dyDescent="0.45">
      <c r="A23" s="69"/>
      <c r="B23" s="70"/>
      <c r="C23" s="71"/>
      <c r="D23" s="72"/>
      <c r="E23" s="72"/>
      <c r="F23" s="72"/>
      <c r="G23" s="72"/>
      <c r="H23" s="72"/>
      <c r="I23" s="72" t="s">
        <v>197</v>
      </c>
      <c r="J23" s="72" t="s">
        <v>198</v>
      </c>
      <c r="K23" s="72" t="s">
        <v>199</v>
      </c>
      <c r="L23" s="73" t="s">
        <v>200</v>
      </c>
      <c r="M23" s="67" t="s">
        <v>200</v>
      </c>
      <c r="N23" s="72"/>
      <c r="O23" s="72" t="s">
        <v>201</v>
      </c>
    </row>
    <row r="24" spans="1:17" x14ac:dyDescent="0.45">
      <c r="A24" s="74" t="s">
        <v>202</v>
      </c>
      <c r="B24" s="75"/>
      <c r="C24" s="76"/>
      <c r="D24" s="77"/>
      <c r="E24" s="77"/>
      <c r="F24" s="77"/>
      <c r="G24" s="77"/>
      <c r="H24" s="78"/>
      <c r="I24" s="78"/>
      <c r="J24" s="78"/>
      <c r="K24" s="79"/>
      <c r="L24" s="80"/>
      <c r="M24" s="80"/>
      <c r="N24" s="79"/>
      <c r="O24" s="81"/>
    </row>
    <row r="25" spans="1:17" x14ac:dyDescent="0.45">
      <c r="A25" s="82">
        <v>438095</v>
      </c>
      <c r="B25" s="83"/>
      <c r="C25" s="84" t="s">
        <v>168</v>
      </c>
      <c r="D25" s="85" t="s">
        <v>169</v>
      </c>
      <c r="E25" s="85" t="s">
        <v>221</v>
      </c>
      <c r="F25" s="85" t="s">
        <v>170</v>
      </c>
      <c r="G25" s="85">
        <v>20</v>
      </c>
      <c r="H25" s="86" t="s">
        <v>222</v>
      </c>
      <c r="I25" s="86">
        <v>5800</v>
      </c>
      <c r="J25" s="86">
        <v>3016.2273340000002</v>
      </c>
      <c r="K25" s="87">
        <v>3.7237374493827162</v>
      </c>
      <c r="L25" s="88" t="s">
        <v>222</v>
      </c>
      <c r="M25" s="88">
        <v>6.9</v>
      </c>
      <c r="N25" s="87">
        <v>3.1762625506172841</v>
      </c>
      <c r="O25" s="89">
        <v>0.46032790588656292</v>
      </c>
    </row>
    <row r="26" spans="1:17" x14ac:dyDescent="0.45">
      <c r="A26" s="82">
        <v>438099</v>
      </c>
      <c r="B26" s="83"/>
      <c r="C26" s="84" t="s">
        <v>172</v>
      </c>
      <c r="D26" s="85" t="s">
        <v>173</v>
      </c>
      <c r="E26" s="85" t="s">
        <v>221</v>
      </c>
      <c r="F26" s="85" t="s">
        <v>174</v>
      </c>
      <c r="G26" s="85">
        <v>20</v>
      </c>
      <c r="H26" s="86" t="s">
        <v>222</v>
      </c>
      <c r="I26" s="86">
        <v>5800</v>
      </c>
      <c r="J26" s="86">
        <v>3235.9926059999998</v>
      </c>
      <c r="K26" s="87">
        <v>3.9950525999999997</v>
      </c>
      <c r="L26" s="88" t="s">
        <v>222</v>
      </c>
      <c r="M26" s="88">
        <v>6.9</v>
      </c>
      <c r="N26" s="87">
        <v>2.9049474000000006</v>
      </c>
      <c r="O26" s="89">
        <v>0.42100686956521743</v>
      </c>
    </row>
    <row r="27" spans="1:17" x14ac:dyDescent="0.45">
      <c r="A27" s="90"/>
      <c r="B27" s="91"/>
      <c r="C27" s="92" t="s">
        <v>222</v>
      </c>
      <c r="D27" s="93" t="s">
        <v>222</v>
      </c>
      <c r="E27" s="93" t="s">
        <v>222</v>
      </c>
      <c r="F27" s="93" t="s">
        <v>222</v>
      </c>
      <c r="G27" s="93" t="s">
        <v>222</v>
      </c>
      <c r="H27" s="94" t="s">
        <v>222</v>
      </c>
      <c r="I27" s="94" t="s">
        <v>222</v>
      </c>
      <c r="J27" s="94" t="s">
        <v>222</v>
      </c>
      <c r="K27" s="95" t="s">
        <v>222</v>
      </c>
      <c r="L27" s="96" t="s">
        <v>222</v>
      </c>
      <c r="M27" s="96" t="s">
        <v>222</v>
      </c>
      <c r="N27" s="95" t="s">
        <v>222</v>
      </c>
      <c r="O27" s="97" t="s">
        <v>222</v>
      </c>
    </row>
    <row r="28" spans="1:17" x14ac:dyDescent="0.45">
      <c r="A28" s="98"/>
      <c r="B28" s="55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7" x14ac:dyDescent="0.45">
      <c r="A29" s="99" t="s">
        <v>223</v>
      </c>
      <c r="B29" s="58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7" x14ac:dyDescent="0.45">
      <c r="A30" s="131" t="s">
        <v>142</v>
      </c>
      <c r="B30" s="132"/>
      <c r="C30" s="62" t="s">
        <v>153</v>
      </c>
      <c r="D30" s="62" t="s">
        <v>183</v>
      </c>
      <c r="E30" s="62" t="s">
        <v>122</v>
      </c>
      <c r="F30" s="62" t="s">
        <v>184</v>
      </c>
      <c r="G30" s="64" t="s">
        <v>147</v>
      </c>
      <c r="H30" s="65"/>
      <c r="I30" s="131" t="s">
        <v>203</v>
      </c>
      <c r="J30" s="100"/>
      <c r="K30" s="63" t="s">
        <v>204</v>
      </c>
      <c r="L30" s="702" t="s">
        <v>205</v>
      </c>
      <c r="M30" s="703"/>
      <c r="N30" s="702" t="s">
        <v>189</v>
      </c>
      <c r="O30" s="703"/>
      <c r="P30" s="702" t="s">
        <v>206</v>
      </c>
      <c r="Q30" s="703"/>
    </row>
    <row r="31" spans="1:17" x14ac:dyDescent="0.45">
      <c r="A31" s="133" t="s">
        <v>183</v>
      </c>
      <c r="B31" s="134"/>
      <c r="C31" s="66"/>
      <c r="D31" s="67"/>
      <c r="E31" s="67"/>
      <c r="F31" s="67" t="s">
        <v>190</v>
      </c>
      <c r="G31" s="67" t="s">
        <v>207</v>
      </c>
      <c r="H31" s="67" t="s">
        <v>207</v>
      </c>
      <c r="I31" s="62" t="s">
        <v>196</v>
      </c>
      <c r="J31" s="62" t="s">
        <v>208</v>
      </c>
      <c r="K31" s="67" t="s">
        <v>209</v>
      </c>
      <c r="L31" s="101" t="s">
        <v>193</v>
      </c>
      <c r="M31" s="101" t="s">
        <v>210</v>
      </c>
      <c r="N31" s="62" t="s">
        <v>195</v>
      </c>
      <c r="O31" s="62" t="s">
        <v>196</v>
      </c>
      <c r="P31" s="62" t="s">
        <v>195</v>
      </c>
      <c r="Q31" s="62" t="s">
        <v>196</v>
      </c>
    </row>
    <row r="32" spans="1:17" x14ac:dyDescent="0.45">
      <c r="A32" s="102"/>
      <c r="B32" s="103"/>
      <c r="C32" s="71"/>
      <c r="D32" s="72"/>
      <c r="E32" s="72"/>
      <c r="F32" s="72"/>
      <c r="G32" s="72" t="s">
        <v>211</v>
      </c>
      <c r="H32" s="72" t="s">
        <v>212</v>
      </c>
      <c r="I32" s="72" t="s">
        <v>213</v>
      </c>
      <c r="J32" s="72" t="s">
        <v>192</v>
      </c>
      <c r="K32" s="72" t="s">
        <v>214</v>
      </c>
      <c r="L32" s="104" t="s">
        <v>200</v>
      </c>
      <c r="M32" s="104" t="s">
        <v>200</v>
      </c>
      <c r="N32" s="72"/>
      <c r="O32" s="72" t="s">
        <v>201</v>
      </c>
      <c r="P32" s="72"/>
      <c r="Q32" s="72" t="s">
        <v>201</v>
      </c>
    </row>
    <row r="33" spans="1:19" x14ac:dyDescent="0.45">
      <c r="A33" s="105" t="s">
        <v>202</v>
      </c>
      <c r="B33" s="106"/>
      <c r="C33" s="107"/>
      <c r="D33" s="85"/>
      <c r="E33" s="85"/>
      <c r="F33" s="85"/>
      <c r="G33" s="85"/>
      <c r="H33" s="86"/>
      <c r="I33" s="86"/>
      <c r="J33" s="86"/>
      <c r="K33" s="87"/>
      <c r="L33" s="88"/>
      <c r="M33" s="88"/>
      <c r="N33" s="87"/>
      <c r="O33" s="108"/>
      <c r="P33" s="87"/>
      <c r="Q33" s="108"/>
    </row>
    <row r="34" spans="1:19" x14ac:dyDescent="0.45">
      <c r="A34" s="82">
        <v>438095</v>
      </c>
      <c r="B34" s="83"/>
      <c r="C34" s="84" t="s">
        <v>168</v>
      </c>
      <c r="D34" s="85" t="s">
        <v>169</v>
      </c>
      <c r="E34" s="85" t="s">
        <v>221</v>
      </c>
      <c r="F34" s="109" t="s">
        <v>170</v>
      </c>
      <c r="G34" s="86">
        <v>950</v>
      </c>
      <c r="H34" s="110">
        <v>0.16379310344827586</v>
      </c>
      <c r="I34" s="111">
        <v>4.2500000000000003E-4</v>
      </c>
      <c r="J34" s="112">
        <v>3.0175000000000002E-3</v>
      </c>
      <c r="K34" s="87">
        <v>3.8905480528309919</v>
      </c>
      <c r="L34" s="88" t="s">
        <v>222</v>
      </c>
      <c r="M34" s="88">
        <v>7.1</v>
      </c>
      <c r="N34" s="113">
        <v>3.2094519471690077</v>
      </c>
      <c r="O34" s="114">
        <v>0.4651379633578272</v>
      </c>
      <c r="P34" s="556">
        <v>2.1396871009999998</v>
      </c>
      <c r="Q34" s="114">
        <v>0.31009957985507242</v>
      </c>
      <c r="S34" t="s">
        <v>446</v>
      </c>
    </row>
    <row r="35" spans="1:19" x14ac:dyDescent="0.45">
      <c r="A35" s="82">
        <v>438099</v>
      </c>
      <c r="B35" s="83"/>
      <c r="C35" s="84" t="s">
        <v>172</v>
      </c>
      <c r="D35" s="85" t="s">
        <v>173</v>
      </c>
      <c r="E35" s="85" t="s">
        <v>221</v>
      </c>
      <c r="F35" s="109" t="s">
        <v>174</v>
      </c>
      <c r="G35" s="86">
        <v>950</v>
      </c>
      <c r="H35" s="110">
        <v>0.16379310344827586</v>
      </c>
      <c r="I35" s="111">
        <v>4.2500000000000003E-4</v>
      </c>
      <c r="J35" s="112">
        <v>3.0175000000000002E-3</v>
      </c>
      <c r="K35" s="87">
        <v>4.1618632034482754</v>
      </c>
      <c r="L35" s="88" t="s">
        <v>222</v>
      </c>
      <c r="M35" s="88">
        <v>7.1</v>
      </c>
      <c r="N35" s="113">
        <v>2.9381367965517242</v>
      </c>
      <c r="O35" s="114">
        <v>0.42581692703648177</v>
      </c>
      <c r="P35" s="556">
        <v>1.868082163</v>
      </c>
      <c r="Q35" s="114">
        <v>0.27073654536231884</v>
      </c>
      <c r="S35" t="s">
        <v>446</v>
      </c>
    </row>
    <row r="36" spans="1:19" x14ac:dyDescent="0.45">
      <c r="A36" s="90"/>
      <c r="B36" s="91"/>
      <c r="C36" s="92" t="s">
        <v>222</v>
      </c>
      <c r="D36" s="93" t="s">
        <v>222</v>
      </c>
      <c r="E36" s="93" t="s">
        <v>222</v>
      </c>
      <c r="F36" s="115" t="s">
        <v>222</v>
      </c>
      <c r="G36" s="116" t="s">
        <v>222</v>
      </c>
      <c r="H36" s="117" t="s">
        <v>222</v>
      </c>
      <c r="I36" s="118"/>
      <c r="J36" s="119" t="s">
        <v>222</v>
      </c>
      <c r="K36" s="95" t="s">
        <v>222</v>
      </c>
      <c r="L36" s="96" t="s">
        <v>222</v>
      </c>
      <c r="M36" s="96" t="s">
        <v>222</v>
      </c>
      <c r="N36" s="120" t="s">
        <v>222</v>
      </c>
      <c r="O36" s="121" t="s">
        <v>222</v>
      </c>
      <c r="P36" s="120"/>
      <c r="Q36" s="121" t="s">
        <v>222</v>
      </c>
    </row>
    <row r="37" spans="1:19" x14ac:dyDescent="0.4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9" x14ac:dyDescent="0.45">
      <c r="A38" s="122" t="s">
        <v>215</v>
      </c>
      <c r="B38" s="123"/>
      <c r="C38" s="123"/>
      <c r="D38" s="122" t="s">
        <v>216</v>
      </c>
      <c r="E38" s="123"/>
      <c r="F38" s="123"/>
      <c r="G38" s="123"/>
      <c r="H38" s="123"/>
      <c r="I38" s="124"/>
      <c r="J38" s="693" t="s">
        <v>217</v>
      </c>
      <c r="K38" s="694"/>
      <c r="L38" s="694"/>
      <c r="M38" s="694"/>
      <c r="N38" s="694"/>
      <c r="O38" s="694"/>
      <c r="P38" s="694"/>
      <c r="Q38" s="695"/>
    </row>
    <row r="39" spans="1:19" x14ac:dyDescent="0.45">
      <c r="A39" s="125"/>
      <c r="B39" s="55"/>
      <c r="C39" s="55"/>
      <c r="D39" s="125"/>
      <c r="E39" s="55"/>
      <c r="F39" s="55"/>
      <c r="G39" s="55"/>
      <c r="H39" s="55"/>
      <c r="I39" s="126"/>
      <c r="J39" s="125"/>
      <c r="K39" s="55"/>
      <c r="L39" s="55"/>
      <c r="M39" s="55"/>
      <c r="N39" s="55"/>
      <c r="O39" s="55"/>
      <c r="P39" s="55"/>
      <c r="Q39" s="126"/>
    </row>
    <row r="40" spans="1:19" x14ac:dyDescent="0.45">
      <c r="A40" s="125"/>
      <c r="B40" s="55"/>
      <c r="C40" s="55"/>
      <c r="D40" s="125"/>
      <c r="E40" s="55"/>
      <c r="F40" s="55"/>
      <c r="G40" s="55"/>
      <c r="H40" s="55"/>
      <c r="I40" s="126"/>
      <c r="J40" s="125"/>
      <c r="K40" s="55"/>
      <c r="L40" s="55"/>
      <c r="M40" s="55"/>
      <c r="N40" s="55"/>
      <c r="O40" s="55"/>
      <c r="P40" s="55"/>
      <c r="Q40" s="126"/>
    </row>
    <row r="41" spans="1:19" x14ac:dyDescent="0.45">
      <c r="A41" s="125"/>
      <c r="B41" s="55"/>
      <c r="C41" s="55"/>
      <c r="D41" s="125"/>
      <c r="E41" s="55"/>
      <c r="F41" s="55"/>
      <c r="G41" s="55"/>
      <c r="H41" s="55"/>
      <c r="I41" s="126"/>
      <c r="J41" s="125"/>
      <c r="K41" s="55"/>
      <c r="L41" s="55"/>
      <c r="M41" s="55"/>
      <c r="N41" s="55"/>
      <c r="O41" s="55"/>
      <c r="P41" s="55"/>
      <c r="Q41" s="126"/>
    </row>
    <row r="42" spans="1:19" x14ac:dyDescent="0.45">
      <c r="A42" s="125"/>
      <c r="B42" s="55"/>
      <c r="C42" s="55"/>
      <c r="D42" s="125"/>
      <c r="E42" s="55"/>
      <c r="F42" s="55"/>
      <c r="G42" s="55"/>
      <c r="H42" s="55"/>
      <c r="I42" s="126"/>
      <c r="J42" s="125"/>
      <c r="K42" s="55"/>
      <c r="L42" s="55"/>
      <c r="M42" s="55"/>
      <c r="N42" s="55"/>
      <c r="O42" s="55"/>
      <c r="P42" s="55"/>
      <c r="Q42" s="126"/>
    </row>
    <row r="43" spans="1:19" x14ac:dyDescent="0.45">
      <c r="A43" s="125"/>
      <c r="B43" s="55"/>
      <c r="C43" s="55"/>
      <c r="D43" s="125"/>
      <c r="E43" s="55"/>
      <c r="F43" s="55"/>
      <c r="G43" s="55"/>
      <c r="H43" s="55"/>
      <c r="I43" s="126"/>
      <c r="J43" s="125"/>
      <c r="K43" s="55"/>
      <c r="L43" s="55"/>
      <c r="M43" s="55"/>
      <c r="N43" s="55"/>
      <c r="O43" s="55"/>
      <c r="P43" s="55"/>
      <c r="Q43" s="126"/>
    </row>
    <row r="44" spans="1:19" x14ac:dyDescent="0.45">
      <c r="A44" s="127" t="s">
        <v>121</v>
      </c>
      <c r="B44" s="128"/>
      <c r="C44" s="128"/>
      <c r="D44" s="127" t="s">
        <v>218</v>
      </c>
      <c r="E44" s="128"/>
      <c r="F44" s="129"/>
      <c r="G44" s="128" t="s">
        <v>219</v>
      </c>
      <c r="H44" s="128"/>
      <c r="I44" s="130"/>
      <c r="J44" s="696" t="s">
        <v>220</v>
      </c>
      <c r="K44" s="697"/>
      <c r="L44" s="697"/>
      <c r="M44" s="697"/>
      <c r="N44" s="697"/>
      <c r="O44" s="697"/>
      <c r="P44" s="697"/>
      <c r="Q44" s="698"/>
    </row>
  </sheetData>
  <mergeCells count="8">
    <mergeCell ref="A12:I12"/>
    <mergeCell ref="J38:Q38"/>
    <mergeCell ref="J44:Q44"/>
    <mergeCell ref="A1:AD1"/>
    <mergeCell ref="L21:M21"/>
    <mergeCell ref="L30:M30"/>
    <mergeCell ref="N30:O30"/>
    <mergeCell ref="P30:Q30"/>
  </mergeCells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A5CC-21BA-4C26-B5C4-F591B46BFA77}">
  <sheetPr>
    <pageSetUpPr fitToPage="1"/>
  </sheetPr>
  <dimension ref="A1:U256"/>
  <sheetViews>
    <sheetView topLeftCell="A13" zoomScaleNormal="100" workbookViewId="0">
      <selection activeCell="I101" sqref="I101"/>
    </sheetView>
  </sheetViews>
  <sheetFormatPr defaultRowHeight="14.25" x14ac:dyDescent="0.45"/>
  <cols>
    <col min="2" max="2" width="16.53125" customWidth="1"/>
    <col min="6" max="6" width="14.59765625" bestFit="1" customWidth="1"/>
    <col min="7" max="7" width="8.73046875" bestFit="1" customWidth="1"/>
  </cols>
  <sheetData>
    <row r="1" spans="1:15" x14ac:dyDescent="0.45">
      <c r="C1" t="s">
        <v>450</v>
      </c>
    </row>
    <row r="2" spans="1:15" x14ac:dyDescent="0.45">
      <c r="A2">
        <v>1</v>
      </c>
      <c r="B2" t="s">
        <v>447</v>
      </c>
      <c r="C2" t="s">
        <v>451</v>
      </c>
      <c r="F2" t="s">
        <v>455</v>
      </c>
      <c r="H2" t="s">
        <v>454</v>
      </c>
    </row>
    <row r="3" spans="1:15" x14ac:dyDescent="0.45">
      <c r="A3">
        <v>2</v>
      </c>
      <c r="B3" t="s">
        <v>448</v>
      </c>
      <c r="F3" t="s">
        <v>452</v>
      </c>
    </row>
    <row r="4" spans="1:15" x14ac:dyDescent="0.45">
      <c r="A4">
        <v>3</v>
      </c>
      <c r="B4" t="s">
        <v>449</v>
      </c>
      <c r="E4" t="s">
        <v>456</v>
      </c>
      <c r="F4" t="s">
        <v>201</v>
      </c>
    </row>
    <row r="5" spans="1:15" x14ac:dyDescent="0.45">
      <c r="F5" t="s">
        <v>453</v>
      </c>
    </row>
    <row r="6" spans="1:15" x14ac:dyDescent="0.45">
      <c r="F6" t="s">
        <v>573</v>
      </c>
    </row>
    <row r="8" spans="1:15" x14ac:dyDescent="0.45">
      <c r="A8" t="s">
        <v>465</v>
      </c>
    </row>
    <row r="9" spans="1:15" x14ac:dyDescent="0.45">
      <c r="A9" s="53" t="s">
        <v>177</v>
      </c>
      <c r="B9" s="53" t="s">
        <v>178</v>
      </c>
      <c r="C9" s="54">
        <v>1813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 spans="1:15" x14ac:dyDescent="0.45">
      <c r="A10" s="53" t="s">
        <v>109</v>
      </c>
      <c r="B10" s="53" t="s">
        <v>178</v>
      </c>
      <c r="C10" s="55" t="s">
        <v>110</v>
      </c>
      <c r="D10" s="56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5" x14ac:dyDescent="0.45">
      <c r="A11" s="53" t="s">
        <v>7</v>
      </c>
      <c r="B11" s="53" t="s">
        <v>178</v>
      </c>
      <c r="C11" s="55" t="s">
        <v>74</v>
      </c>
      <c r="D11" s="56"/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1:15" x14ac:dyDescent="0.45">
      <c r="A12" s="53" t="s">
        <v>140</v>
      </c>
      <c r="B12" s="53" t="s">
        <v>178</v>
      </c>
      <c r="C12" s="55" t="s">
        <v>457</v>
      </c>
      <c r="D12" s="56"/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5" x14ac:dyDescent="0.45">
      <c r="A13" s="53" t="s">
        <v>141</v>
      </c>
      <c r="B13" s="53" t="s">
        <v>178</v>
      </c>
      <c r="C13" s="55" t="s">
        <v>458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</row>
    <row r="14" spans="1:15" x14ac:dyDescent="0.45">
      <c r="A14" s="53" t="s">
        <v>179</v>
      </c>
      <c r="B14" s="53" t="s">
        <v>178</v>
      </c>
      <c r="C14" s="57">
        <v>45761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spans="1:15" x14ac:dyDescent="0.4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 spans="1:15" x14ac:dyDescent="0.45">
      <c r="A16" s="58" t="s">
        <v>180</v>
      </c>
      <c r="B16" s="58"/>
      <c r="C16" s="58"/>
      <c r="D16" s="59"/>
      <c r="E16" s="59"/>
      <c r="F16" s="59"/>
      <c r="G16" s="59"/>
      <c r="H16" s="59"/>
      <c r="I16" s="59"/>
      <c r="J16" s="55"/>
      <c r="K16" s="55"/>
      <c r="L16" s="60"/>
      <c r="M16" s="60" t="s">
        <v>181</v>
      </c>
      <c r="N16" s="61">
        <v>16500</v>
      </c>
      <c r="O16" s="58" t="s">
        <v>182</v>
      </c>
    </row>
    <row r="17" spans="1:18" x14ac:dyDescent="0.45">
      <c r="A17" s="704" t="s">
        <v>142</v>
      </c>
      <c r="B17" s="705"/>
      <c r="C17" s="62" t="s">
        <v>153</v>
      </c>
      <c r="D17" s="62" t="s">
        <v>183</v>
      </c>
      <c r="E17" s="62" t="s">
        <v>122</v>
      </c>
      <c r="F17" s="62" t="s">
        <v>184</v>
      </c>
      <c r="G17" s="62" t="s">
        <v>185</v>
      </c>
      <c r="H17" s="63" t="s">
        <v>186</v>
      </c>
      <c r="I17" s="63"/>
      <c r="J17" s="63" t="s">
        <v>187</v>
      </c>
      <c r="K17" s="63"/>
      <c r="L17" s="702" t="s">
        <v>188</v>
      </c>
      <c r="M17" s="703"/>
      <c r="N17" s="63" t="s">
        <v>189</v>
      </c>
      <c r="O17" s="63"/>
    </row>
    <row r="18" spans="1:18" x14ac:dyDescent="0.45">
      <c r="A18" s="706" t="s">
        <v>183</v>
      </c>
      <c r="B18" s="707"/>
      <c r="C18" s="66"/>
      <c r="D18" s="67"/>
      <c r="E18" s="67"/>
      <c r="F18" s="67" t="s">
        <v>190</v>
      </c>
      <c r="G18" s="67" t="s">
        <v>191</v>
      </c>
      <c r="H18" s="62" t="s">
        <v>148</v>
      </c>
      <c r="I18" s="62">
        <v>40</v>
      </c>
      <c r="J18" s="62" t="s">
        <v>182</v>
      </c>
      <c r="K18" s="62" t="s">
        <v>192</v>
      </c>
      <c r="L18" s="68" t="s">
        <v>193</v>
      </c>
      <c r="M18" s="68" t="s">
        <v>194</v>
      </c>
      <c r="N18" s="62" t="s">
        <v>195</v>
      </c>
      <c r="O18" s="62" t="s">
        <v>196</v>
      </c>
    </row>
    <row r="19" spans="1:18" x14ac:dyDescent="0.45">
      <c r="A19" s="69"/>
      <c r="B19" s="70"/>
      <c r="C19" s="71"/>
      <c r="D19" s="72"/>
      <c r="E19" s="72"/>
      <c r="F19" s="72"/>
      <c r="G19" s="72"/>
      <c r="H19" s="72"/>
      <c r="I19" s="72" t="s">
        <v>197</v>
      </c>
      <c r="J19" s="72" t="s">
        <v>198</v>
      </c>
      <c r="K19" s="72" t="s">
        <v>199</v>
      </c>
      <c r="L19" s="73" t="s">
        <v>200</v>
      </c>
      <c r="M19" s="67" t="s">
        <v>200</v>
      </c>
      <c r="N19" s="72"/>
      <c r="O19" s="72" t="s">
        <v>201</v>
      </c>
    </row>
    <row r="20" spans="1:18" x14ac:dyDescent="0.45">
      <c r="A20" s="74" t="s">
        <v>202</v>
      </c>
      <c r="B20" s="75"/>
      <c r="C20" s="76"/>
      <c r="D20" s="77"/>
      <c r="E20" s="77"/>
      <c r="F20" s="77"/>
      <c r="G20" s="77"/>
      <c r="H20" s="78"/>
      <c r="I20" s="78"/>
      <c r="J20" s="78"/>
      <c r="K20" s="79"/>
      <c r="L20" s="80"/>
      <c r="M20" s="80"/>
      <c r="N20" s="79"/>
      <c r="O20" s="81"/>
    </row>
    <row r="21" spans="1:18" x14ac:dyDescent="0.45">
      <c r="A21" s="82">
        <v>438179</v>
      </c>
      <c r="B21" s="83"/>
      <c r="C21" s="84" t="s">
        <v>459</v>
      </c>
      <c r="D21" s="85" t="s">
        <v>460</v>
      </c>
      <c r="E21" s="85" t="s">
        <v>461</v>
      </c>
      <c r="F21" s="85" t="s">
        <v>462</v>
      </c>
      <c r="G21" s="85">
        <v>40</v>
      </c>
      <c r="H21" s="86" t="s">
        <v>222</v>
      </c>
      <c r="I21" s="86">
        <v>4305</v>
      </c>
      <c r="J21" s="86">
        <v>1413</v>
      </c>
      <c r="K21" s="87">
        <v>3.4254545454545453</v>
      </c>
      <c r="L21" s="88" t="s">
        <v>222</v>
      </c>
      <c r="M21" s="88">
        <v>6</v>
      </c>
      <c r="N21" s="87">
        <v>2.5745454545454547</v>
      </c>
      <c r="O21" s="89">
        <v>0.42909090909090913</v>
      </c>
    </row>
    <row r="22" spans="1:18" x14ac:dyDescent="0.45">
      <c r="A22" s="82">
        <v>438178</v>
      </c>
      <c r="B22" s="83"/>
      <c r="C22" s="84" t="s">
        <v>463</v>
      </c>
      <c r="D22" s="85" t="s">
        <v>464</v>
      </c>
      <c r="E22" s="85" t="s">
        <v>461</v>
      </c>
      <c r="F22" s="85" t="s">
        <v>462</v>
      </c>
      <c r="G22" s="85">
        <v>40</v>
      </c>
      <c r="H22" s="86" t="s">
        <v>222</v>
      </c>
      <c r="I22" s="86">
        <v>4305</v>
      </c>
      <c r="J22" s="86">
        <v>1444</v>
      </c>
      <c r="K22" s="87">
        <v>3.5006060606060609</v>
      </c>
      <c r="L22" s="88" t="s">
        <v>222</v>
      </c>
      <c r="M22" s="88">
        <v>6</v>
      </c>
      <c r="N22" s="87">
        <v>2.4993939393939391</v>
      </c>
      <c r="O22" s="89">
        <v>0.41656565656565653</v>
      </c>
    </row>
    <row r="23" spans="1:18" x14ac:dyDescent="0.45">
      <c r="A23" s="90"/>
      <c r="B23" s="91"/>
      <c r="C23" s="92" t="s">
        <v>222</v>
      </c>
      <c r="D23" s="93" t="s">
        <v>222</v>
      </c>
      <c r="E23" s="93" t="s">
        <v>222</v>
      </c>
      <c r="F23" s="93" t="s">
        <v>222</v>
      </c>
      <c r="G23" s="93" t="s">
        <v>222</v>
      </c>
      <c r="H23" s="94" t="s">
        <v>222</v>
      </c>
      <c r="I23" s="94" t="s">
        <v>222</v>
      </c>
      <c r="J23" s="94" t="s">
        <v>222</v>
      </c>
      <c r="K23" s="95" t="s">
        <v>222</v>
      </c>
      <c r="L23" s="96" t="s">
        <v>222</v>
      </c>
      <c r="M23" s="96" t="s">
        <v>222</v>
      </c>
      <c r="N23" s="95" t="s">
        <v>222</v>
      </c>
      <c r="O23" s="97" t="s">
        <v>222</v>
      </c>
      <c r="R23" s="611">
        <f>M30-N30</f>
        <v>4.5899334812849748</v>
      </c>
    </row>
    <row r="24" spans="1:18" x14ac:dyDescent="0.45">
      <c r="A24" s="98"/>
      <c r="B24" s="55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8" x14ac:dyDescent="0.45">
      <c r="A25" s="99" t="str">
        <f>CONCATENATE("CIF ",C13)</f>
        <v>CIF Monrovia</v>
      </c>
      <c r="B25" s="58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8" x14ac:dyDescent="0.45">
      <c r="A26" s="704" t="s">
        <v>142</v>
      </c>
      <c r="B26" s="705"/>
      <c r="C26" s="62" t="s">
        <v>153</v>
      </c>
      <c r="D26" s="62" t="s">
        <v>183</v>
      </c>
      <c r="E26" s="62" t="s">
        <v>122</v>
      </c>
      <c r="F26" s="62" t="s">
        <v>184</v>
      </c>
      <c r="G26" s="557" t="s">
        <v>147</v>
      </c>
      <c r="H26" s="558"/>
      <c r="I26" s="559" t="s">
        <v>203</v>
      </c>
      <c r="J26" s="100"/>
      <c r="K26" s="63" t="s">
        <v>204</v>
      </c>
      <c r="L26" s="702" t="s">
        <v>205</v>
      </c>
      <c r="M26" s="703"/>
      <c r="N26" s="702" t="s">
        <v>189</v>
      </c>
      <c r="O26" s="703"/>
      <c r="P26" s="702" t="s">
        <v>206</v>
      </c>
      <c r="Q26" s="703"/>
    </row>
    <row r="27" spans="1:18" x14ac:dyDescent="0.45">
      <c r="A27" s="706" t="s">
        <v>183</v>
      </c>
      <c r="B27" s="707"/>
      <c r="C27" s="66"/>
      <c r="D27" s="67"/>
      <c r="E27" s="67"/>
      <c r="F27" s="67" t="s">
        <v>190</v>
      </c>
      <c r="G27" s="67" t="s">
        <v>207</v>
      </c>
      <c r="H27" s="67" t="s">
        <v>207</v>
      </c>
      <c r="I27" s="62" t="s">
        <v>196</v>
      </c>
      <c r="J27" s="62" t="s">
        <v>208</v>
      </c>
      <c r="K27" s="67" t="s">
        <v>209</v>
      </c>
      <c r="L27" s="101" t="s">
        <v>193</v>
      </c>
      <c r="M27" s="101" t="s">
        <v>210</v>
      </c>
      <c r="N27" s="62" t="s">
        <v>195</v>
      </c>
      <c r="O27" s="62" t="s">
        <v>196</v>
      </c>
      <c r="P27" s="62" t="s">
        <v>195</v>
      </c>
      <c r="Q27" s="62" t="s">
        <v>196</v>
      </c>
    </row>
    <row r="28" spans="1:18" x14ac:dyDescent="0.45">
      <c r="A28" s="102"/>
      <c r="B28" s="103"/>
      <c r="C28" s="71"/>
      <c r="D28" s="72"/>
      <c r="E28" s="72"/>
      <c r="F28" s="72"/>
      <c r="G28" s="72" t="s">
        <v>211</v>
      </c>
      <c r="H28" s="72" t="s">
        <v>212</v>
      </c>
      <c r="I28" s="72" t="s">
        <v>213</v>
      </c>
      <c r="J28" s="72" t="s">
        <v>192</v>
      </c>
      <c r="K28" s="72" t="s">
        <v>214</v>
      </c>
      <c r="L28" s="104" t="s">
        <v>200</v>
      </c>
      <c r="M28" s="104" t="s">
        <v>200</v>
      </c>
      <c r="N28" s="72"/>
      <c r="O28" s="72" t="s">
        <v>201</v>
      </c>
      <c r="P28" s="72"/>
      <c r="Q28" s="72" t="s">
        <v>201</v>
      </c>
    </row>
    <row r="29" spans="1:18" x14ac:dyDescent="0.45">
      <c r="A29" s="105" t="s">
        <v>202</v>
      </c>
      <c r="B29" s="106"/>
      <c r="C29" s="107"/>
      <c r="D29" s="85"/>
      <c r="E29" s="85"/>
      <c r="F29" s="85"/>
      <c r="G29" s="85"/>
      <c r="H29" s="86"/>
      <c r="I29" s="86"/>
      <c r="J29" s="86"/>
      <c r="K29" s="87"/>
      <c r="L29" s="88"/>
      <c r="M29" s="88"/>
      <c r="N29" s="87"/>
      <c r="O29" s="108"/>
      <c r="P29" s="87"/>
      <c r="Q29" s="108"/>
    </row>
    <row r="30" spans="1:18" x14ac:dyDescent="0.45">
      <c r="A30" s="82">
        <v>438179</v>
      </c>
      <c r="B30" s="83"/>
      <c r="C30" s="84" t="s">
        <v>459</v>
      </c>
      <c r="D30" s="85" t="s">
        <v>460</v>
      </c>
      <c r="E30" s="85" t="s">
        <v>461</v>
      </c>
      <c r="F30" s="109" t="s">
        <v>462</v>
      </c>
      <c r="G30" s="86">
        <v>5000</v>
      </c>
      <c r="H30" s="110">
        <v>1.1614401858304297</v>
      </c>
      <c r="I30" s="111">
        <v>4.2500000000000003E-4</v>
      </c>
      <c r="J30" s="112">
        <v>3.0387500000000002E-3</v>
      </c>
      <c r="K30" s="87">
        <v>4.5899334812849748</v>
      </c>
      <c r="L30" s="88" t="s">
        <v>222</v>
      </c>
      <c r="M30" s="88">
        <v>7.15</v>
      </c>
      <c r="N30" s="113">
        <v>2.5600665187150256</v>
      </c>
      <c r="O30" s="114">
        <v>0.42667775311917094</v>
      </c>
      <c r="P30" s="113">
        <v>0.145362019014185</v>
      </c>
      <c r="Q30" s="114">
        <v>2.4227003169030831E-2</v>
      </c>
    </row>
    <row r="31" spans="1:18" x14ac:dyDescent="0.45">
      <c r="A31" s="82">
        <v>438178</v>
      </c>
      <c r="B31" s="83"/>
      <c r="C31" s="84" t="s">
        <v>463</v>
      </c>
      <c r="D31" s="85" t="s">
        <v>464</v>
      </c>
      <c r="E31" s="85" t="s">
        <v>461</v>
      </c>
      <c r="F31" s="109" t="s">
        <v>462</v>
      </c>
      <c r="G31" s="86">
        <v>5000</v>
      </c>
      <c r="H31" s="110">
        <v>1.1614401858304297</v>
      </c>
      <c r="I31" s="111">
        <v>4.2500000000000003E-4</v>
      </c>
      <c r="J31" s="112">
        <v>3.0387500000000002E-3</v>
      </c>
      <c r="K31" s="87">
        <v>4.6650849964364909</v>
      </c>
      <c r="L31" s="88" t="s">
        <v>222</v>
      </c>
      <c r="M31" s="88">
        <v>7.15</v>
      </c>
      <c r="N31" s="113">
        <v>2.4849150035635095</v>
      </c>
      <c r="O31" s="114">
        <v>0.41415250059391823</v>
      </c>
      <c r="P31" s="113">
        <v>7.1899871405695495E-2</v>
      </c>
      <c r="Q31" s="114">
        <v>1.1983311900949249E-2</v>
      </c>
    </row>
    <row r="32" spans="1:18" x14ac:dyDescent="0.45">
      <c r="A32" s="90"/>
      <c r="B32" s="91"/>
      <c r="C32" s="92" t="s">
        <v>222</v>
      </c>
      <c r="D32" s="93" t="s">
        <v>222</v>
      </c>
      <c r="E32" s="93" t="s">
        <v>222</v>
      </c>
      <c r="F32" s="115" t="s">
        <v>222</v>
      </c>
      <c r="G32" s="116" t="s">
        <v>222</v>
      </c>
      <c r="H32" s="117" t="s">
        <v>222</v>
      </c>
      <c r="I32" s="118"/>
      <c r="J32" s="119" t="s">
        <v>222</v>
      </c>
      <c r="K32" s="95" t="s">
        <v>222</v>
      </c>
      <c r="L32" s="96" t="s">
        <v>222</v>
      </c>
      <c r="M32" s="96" t="s">
        <v>222</v>
      </c>
      <c r="N32" s="120" t="s">
        <v>222</v>
      </c>
      <c r="O32" s="121" t="s">
        <v>222</v>
      </c>
      <c r="P32" s="120"/>
      <c r="Q32" s="121" t="s">
        <v>222</v>
      </c>
    </row>
    <row r="34" spans="1:17" x14ac:dyDescent="0.45">
      <c r="A34" s="693" t="s">
        <v>215</v>
      </c>
      <c r="B34" s="694"/>
      <c r="C34" s="694"/>
      <c r="D34" s="693" t="s">
        <v>216</v>
      </c>
      <c r="E34" s="694"/>
      <c r="F34" s="694"/>
      <c r="G34" s="694"/>
      <c r="H34" s="694"/>
      <c r="I34" s="695"/>
      <c r="J34" s="693" t="s">
        <v>217</v>
      </c>
      <c r="K34" s="694"/>
      <c r="L34" s="694"/>
      <c r="M34" s="694"/>
      <c r="N34" s="694"/>
      <c r="O34" s="694"/>
      <c r="P34" s="694"/>
      <c r="Q34" s="695"/>
    </row>
    <row r="35" spans="1:17" x14ac:dyDescent="0.45">
      <c r="A35" s="125"/>
      <c r="B35" s="55"/>
      <c r="C35" s="55"/>
      <c r="D35" s="125"/>
      <c r="E35" s="55"/>
      <c r="F35" s="55"/>
      <c r="G35" s="55"/>
      <c r="H35" s="55"/>
      <c r="I35" s="126"/>
      <c r="J35" s="125"/>
      <c r="K35" s="55"/>
      <c r="L35" s="55"/>
      <c r="M35" s="55"/>
      <c r="N35" s="55"/>
      <c r="O35" s="55"/>
      <c r="P35" s="55"/>
      <c r="Q35" s="126"/>
    </row>
    <row r="36" spans="1:17" x14ac:dyDescent="0.45">
      <c r="A36" s="125"/>
      <c r="B36" s="55"/>
      <c r="C36" s="55"/>
      <c r="D36" s="125"/>
      <c r="E36" s="55"/>
      <c r="F36" s="55"/>
      <c r="G36" s="55"/>
      <c r="H36" s="55"/>
      <c r="I36" s="126"/>
      <c r="J36" s="125"/>
      <c r="K36" s="55"/>
      <c r="L36" s="55"/>
      <c r="M36" s="55"/>
      <c r="N36" s="55"/>
      <c r="O36" s="55"/>
      <c r="P36" s="55"/>
      <c r="Q36" s="126"/>
    </row>
    <row r="37" spans="1:17" x14ac:dyDescent="0.45">
      <c r="A37" s="125"/>
      <c r="B37" s="55"/>
      <c r="C37" s="55"/>
      <c r="D37" s="125"/>
      <c r="E37" s="55"/>
      <c r="F37" s="55"/>
      <c r="G37" s="55"/>
      <c r="H37" s="55"/>
      <c r="I37" s="126"/>
      <c r="J37" s="125"/>
      <c r="K37" s="55"/>
      <c r="L37" s="55"/>
      <c r="M37" s="55"/>
      <c r="N37" s="55"/>
      <c r="O37" s="55"/>
      <c r="P37" s="55"/>
      <c r="Q37" s="126"/>
    </row>
    <row r="38" spans="1:17" x14ac:dyDescent="0.45">
      <c r="A38" s="125"/>
      <c r="B38" s="55"/>
      <c r="C38" s="55"/>
      <c r="D38" s="125"/>
      <c r="E38" s="55"/>
      <c r="F38" s="55"/>
      <c r="G38" s="55"/>
      <c r="H38" s="55"/>
      <c r="I38" s="126"/>
      <c r="J38" s="125"/>
      <c r="K38" s="55"/>
      <c r="L38" s="55"/>
      <c r="M38" s="55"/>
      <c r="N38" s="55"/>
      <c r="O38" s="55"/>
      <c r="P38" s="55"/>
      <c r="Q38" s="126"/>
    </row>
    <row r="39" spans="1:17" x14ac:dyDescent="0.45">
      <c r="A39" s="125"/>
      <c r="B39" s="55"/>
      <c r="C39" s="55"/>
      <c r="D39" s="125"/>
      <c r="E39" s="55"/>
      <c r="F39" s="55"/>
      <c r="G39" s="55"/>
      <c r="H39" s="55"/>
      <c r="I39" s="126"/>
      <c r="J39" s="125"/>
      <c r="K39" s="55"/>
      <c r="L39" s="55"/>
      <c r="M39" s="55"/>
      <c r="N39" s="55"/>
      <c r="O39" s="55"/>
      <c r="P39" s="55"/>
      <c r="Q39" s="126"/>
    </row>
    <row r="40" spans="1:17" x14ac:dyDescent="0.45">
      <c r="A40" s="696" t="s">
        <v>466</v>
      </c>
      <c r="B40" s="697"/>
      <c r="C40" s="697"/>
      <c r="D40" s="696" t="s">
        <v>218</v>
      </c>
      <c r="E40" s="697"/>
      <c r="F40" s="129"/>
      <c r="G40" s="697" t="s">
        <v>219</v>
      </c>
      <c r="H40" s="697"/>
      <c r="I40" s="698"/>
      <c r="J40" s="696" t="s">
        <v>220</v>
      </c>
      <c r="K40" s="697"/>
      <c r="L40" s="697"/>
      <c r="M40" s="697"/>
      <c r="N40" s="697"/>
      <c r="O40" s="697"/>
      <c r="P40" s="697"/>
      <c r="Q40" s="698"/>
    </row>
    <row r="45" spans="1:17" x14ac:dyDescent="0.45">
      <c r="A45" t="s">
        <v>504</v>
      </c>
    </row>
    <row r="46" spans="1:17" x14ac:dyDescent="0.45">
      <c r="A46" s="53" t="s">
        <v>177</v>
      </c>
      <c r="B46" s="53" t="s">
        <v>178</v>
      </c>
      <c r="C46" s="54">
        <v>1784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</row>
    <row r="47" spans="1:17" x14ac:dyDescent="0.45">
      <c r="A47" s="53" t="s">
        <v>109</v>
      </c>
      <c r="B47" s="53" t="s">
        <v>178</v>
      </c>
      <c r="C47" s="55" t="s">
        <v>112</v>
      </c>
      <c r="D47" s="56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</row>
    <row r="48" spans="1:17" x14ac:dyDescent="0.45">
      <c r="A48" s="53" t="s">
        <v>7</v>
      </c>
      <c r="B48" s="53" t="s">
        <v>178</v>
      </c>
      <c r="C48" s="55" t="s">
        <v>10</v>
      </c>
      <c r="D48" s="56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5"/>
    </row>
    <row r="49" spans="1:17" x14ac:dyDescent="0.45">
      <c r="A49" s="53" t="s">
        <v>140</v>
      </c>
      <c r="B49" s="53" t="s">
        <v>178</v>
      </c>
      <c r="C49" s="55" t="s">
        <v>467</v>
      </c>
      <c r="D49" s="56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5"/>
    </row>
    <row r="50" spans="1:17" x14ac:dyDescent="0.45">
      <c r="A50" s="53" t="s">
        <v>141</v>
      </c>
      <c r="B50" s="53" t="s">
        <v>178</v>
      </c>
      <c r="C50" s="55" t="s">
        <v>468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</row>
    <row r="51" spans="1:17" x14ac:dyDescent="0.45">
      <c r="A51" s="53" t="s">
        <v>179</v>
      </c>
      <c r="B51" s="53" t="s">
        <v>178</v>
      </c>
      <c r="C51" s="57">
        <v>45715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</row>
    <row r="52" spans="1:17" x14ac:dyDescent="0.4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</row>
    <row r="53" spans="1:17" x14ac:dyDescent="0.45">
      <c r="A53" s="58" t="s">
        <v>180</v>
      </c>
      <c r="B53" s="58"/>
      <c r="C53" s="58"/>
      <c r="D53" s="59"/>
      <c r="E53" s="59"/>
      <c r="F53" s="59"/>
      <c r="G53" s="59"/>
      <c r="H53" s="59"/>
      <c r="I53" s="59"/>
      <c r="J53" s="55"/>
      <c r="K53" s="55"/>
      <c r="L53" s="60"/>
      <c r="M53" s="60" t="s">
        <v>181</v>
      </c>
      <c r="N53" s="61">
        <v>16000</v>
      </c>
      <c r="O53" s="58" t="s">
        <v>182</v>
      </c>
    </row>
    <row r="54" spans="1:17" x14ac:dyDescent="0.45">
      <c r="A54" s="704" t="s">
        <v>142</v>
      </c>
      <c r="B54" s="705"/>
      <c r="C54" s="62" t="s">
        <v>153</v>
      </c>
      <c r="D54" s="62" t="s">
        <v>183</v>
      </c>
      <c r="E54" s="62" t="s">
        <v>122</v>
      </c>
      <c r="F54" s="62" t="s">
        <v>184</v>
      </c>
      <c r="G54" s="62" t="s">
        <v>185</v>
      </c>
      <c r="H54" s="63" t="s">
        <v>186</v>
      </c>
      <c r="I54" s="63"/>
      <c r="J54" s="63" t="s">
        <v>187</v>
      </c>
      <c r="K54" s="63"/>
      <c r="L54" s="63" t="s">
        <v>188</v>
      </c>
      <c r="M54" s="63"/>
      <c r="N54" s="63" t="s">
        <v>189</v>
      </c>
      <c r="O54" s="63"/>
      <c r="P54" s="702" t="s">
        <v>206</v>
      </c>
      <c r="Q54" s="703"/>
    </row>
    <row r="55" spans="1:17" x14ac:dyDescent="0.45">
      <c r="A55" s="706" t="s">
        <v>183</v>
      </c>
      <c r="B55" s="707"/>
      <c r="C55" s="66"/>
      <c r="D55" s="67"/>
      <c r="E55" s="67"/>
      <c r="F55" s="67" t="s">
        <v>190</v>
      </c>
      <c r="G55" s="67" t="s">
        <v>191</v>
      </c>
      <c r="H55" s="62" t="s">
        <v>148</v>
      </c>
      <c r="I55" s="62">
        <v>40</v>
      </c>
      <c r="J55" s="62" t="s">
        <v>182</v>
      </c>
      <c r="K55" s="62" t="s">
        <v>192</v>
      </c>
      <c r="L55" s="68" t="s">
        <v>193</v>
      </c>
      <c r="M55" s="68" t="s">
        <v>194</v>
      </c>
      <c r="N55" s="62" t="s">
        <v>195</v>
      </c>
      <c r="O55" s="62" t="s">
        <v>196</v>
      </c>
      <c r="P55" s="62" t="s">
        <v>195</v>
      </c>
      <c r="Q55" s="62" t="s">
        <v>196</v>
      </c>
    </row>
    <row r="56" spans="1:17" x14ac:dyDescent="0.45">
      <c r="A56" s="69"/>
      <c r="B56" s="70"/>
      <c r="C56" s="71"/>
      <c r="D56" s="72"/>
      <c r="E56" s="72"/>
      <c r="F56" s="72"/>
      <c r="G56" s="72"/>
      <c r="H56" s="72"/>
      <c r="I56" s="72" t="s">
        <v>197</v>
      </c>
      <c r="J56" s="72" t="s">
        <v>198</v>
      </c>
      <c r="K56" s="72" t="s">
        <v>199</v>
      </c>
      <c r="L56" s="73" t="s">
        <v>200</v>
      </c>
      <c r="M56" s="67" t="s">
        <v>200</v>
      </c>
      <c r="N56" s="72"/>
      <c r="O56" s="72" t="s">
        <v>201</v>
      </c>
      <c r="P56" s="72"/>
      <c r="Q56" s="72" t="s">
        <v>201</v>
      </c>
    </row>
    <row r="57" spans="1:17" x14ac:dyDescent="0.45">
      <c r="A57" s="74" t="s">
        <v>202</v>
      </c>
      <c r="B57" s="75"/>
      <c r="C57" s="76"/>
      <c r="D57" s="77"/>
      <c r="E57" s="77"/>
      <c r="F57" s="77"/>
      <c r="G57" s="77"/>
      <c r="H57" s="78"/>
      <c r="I57" s="78"/>
      <c r="J57" s="78"/>
      <c r="K57" s="79"/>
      <c r="L57" s="80"/>
      <c r="M57" s="80"/>
      <c r="N57" s="79"/>
      <c r="O57" s="81"/>
      <c r="P57" s="87"/>
      <c r="Q57" s="108"/>
    </row>
    <row r="58" spans="1:17" x14ac:dyDescent="0.45">
      <c r="A58" s="82">
        <v>438069</v>
      </c>
      <c r="B58" s="83"/>
      <c r="C58" s="84" t="s">
        <v>469</v>
      </c>
      <c r="D58" s="85" t="s">
        <v>470</v>
      </c>
      <c r="E58" s="85" t="s">
        <v>461</v>
      </c>
      <c r="F58" s="85" t="s">
        <v>471</v>
      </c>
      <c r="G58" s="85">
        <v>40</v>
      </c>
      <c r="H58" s="86" t="s">
        <v>222</v>
      </c>
      <c r="I58" s="86">
        <v>4200</v>
      </c>
      <c r="J58" s="86">
        <v>1650</v>
      </c>
      <c r="K58" s="87">
        <v>4.125</v>
      </c>
      <c r="L58" s="88" t="s">
        <v>222</v>
      </c>
      <c r="M58" s="88">
        <v>8.5038095238095242</v>
      </c>
      <c r="N58" s="87">
        <v>4.3788095238095242</v>
      </c>
      <c r="O58" s="89">
        <v>0.51492328368238327</v>
      </c>
      <c r="P58" s="113">
        <v>3.28</v>
      </c>
      <c r="Q58" s="114">
        <v>0.38570948594467463</v>
      </c>
    </row>
    <row r="59" spans="1:17" x14ac:dyDescent="0.45">
      <c r="A59" s="82">
        <v>438070</v>
      </c>
      <c r="B59" s="83"/>
      <c r="C59" s="84" t="s">
        <v>472</v>
      </c>
      <c r="D59" s="85" t="s">
        <v>473</v>
      </c>
      <c r="E59" s="85" t="s">
        <v>461</v>
      </c>
      <c r="F59" s="85" t="s">
        <v>474</v>
      </c>
      <c r="G59" s="85">
        <v>40</v>
      </c>
      <c r="H59" s="86" t="s">
        <v>222</v>
      </c>
      <c r="I59" s="86">
        <v>4200</v>
      </c>
      <c r="J59" s="86">
        <v>1650</v>
      </c>
      <c r="K59" s="87">
        <v>4.125</v>
      </c>
      <c r="L59" s="88" t="s">
        <v>222</v>
      </c>
      <c r="M59" s="88">
        <v>8.5038095238095242</v>
      </c>
      <c r="N59" s="87">
        <v>4.3788095238095242</v>
      </c>
      <c r="O59" s="89">
        <v>0.51492328368238327</v>
      </c>
      <c r="P59" s="113">
        <v>3.28</v>
      </c>
      <c r="Q59" s="114">
        <v>0.38570948594467463</v>
      </c>
    </row>
    <row r="60" spans="1:17" x14ac:dyDescent="0.45">
      <c r="A60" s="90"/>
      <c r="B60" s="91"/>
      <c r="C60" s="92" t="s">
        <v>222</v>
      </c>
      <c r="D60" s="93" t="s">
        <v>222</v>
      </c>
      <c r="E60" s="93" t="s">
        <v>222</v>
      </c>
      <c r="F60" s="93" t="s">
        <v>222</v>
      </c>
      <c r="G60" s="93" t="s">
        <v>222</v>
      </c>
      <c r="H60" s="94" t="s">
        <v>222</v>
      </c>
      <c r="I60" s="94" t="s">
        <v>222</v>
      </c>
      <c r="J60" s="94" t="s">
        <v>222</v>
      </c>
      <c r="K60" s="95" t="s">
        <v>222</v>
      </c>
      <c r="L60" s="96" t="s">
        <v>222</v>
      </c>
      <c r="M60" s="96" t="s">
        <v>222</v>
      </c>
      <c r="N60" s="95" t="s">
        <v>222</v>
      </c>
      <c r="O60" s="97" t="s">
        <v>222</v>
      </c>
      <c r="P60" s="120"/>
      <c r="Q60" s="121" t="s">
        <v>222</v>
      </c>
    </row>
    <row r="61" spans="1:17" x14ac:dyDescent="0.4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</row>
    <row r="62" spans="1:17" x14ac:dyDescent="0.45">
      <c r="A62" s="693" t="s">
        <v>215</v>
      </c>
      <c r="B62" s="694"/>
      <c r="C62" s="694"/>
      <c r="D62" s="693" t="s">
        <v>216</v>
      </c>
      <c r="E62" s="694"/>
      <c r="F62" s="694"/>
      <c r="G62" s="694"/>
      <c r="H62" s="694"/>
      <c r="I62" s="695"/>
      <c r="J62" s="693" t="s">
        <v>217</v>
      </c>
      <c r="K62" s="694"/>
      <c r="L62" s="694"/>
      <c r="M62" s="694"/>
      <c r="N62" s="694"/>
      <c r="O62" s="694"/>
      <c r="P62" s="694"/>
      <c r="Q62" s="695"/>
    </row>
    <row r="63" spans="1:17" x14ac:dyDescent="0.45">
      <c r="A63" s="125"/>
      <c r="B63" s="55"/>
      <c r="C63" s="55"/>
      <c r="D63" s="125"/>
      <c r="E63" s="55"/>
      <c r="F63" s="55"/>
      <c r="G63" s="55"/>
      <c r="H63" s="55"/>
      <c r="I63" s="126"/>
      <c r="J63" s="125"/>
      <c r="K63" s="55"/>
      <c r="L63" s="55"/>
      <c r="M63" s="55"/>
      <c r="N63" s="55"/>
      <c r="O63" s="55"/>
      <c r="P63" s="55"/>
      <c r="Q63" s="126"/>
    </row>
    <row r="64" spans="1:17" x14ac:dyDescent="0.45">
      <c r="A64" s="125"/>
      <c r="B64" s="55"/>
      <c r="C64" s="55"/>
      <c r="D64" s="125"/>
      <c r="E64" s="55"/>
      <c r="F64" s="55"/>
      <c r="G64" s="55"/>
      <c r="H64" s="55"/>
      <c r="I64" s="126"/>
      <c r="J64" s="125"/>
      <c r="K64" s="55"/>
      <c r="L64" s="55"/>
      <c r="M64" s="55"/>
      <c r="N64" s="55"/>
      <c r="O64" s="55"/>
      <c r="P64" s="55"/>
      <c r="Q64" s="126"/>
    </row>
    <row r="65" spans="1:17" x14ac:dyDescent="0.45">
      <c r="A65" s="125"/>
      <c r="B65" s="55"/>
      <c r="C65" s="55"/>
      <c r="D65" s="125"/>
      <c r="E65" s="55"/>
      <c r="F65" s="55"/>
      <c r="G65" s="55"/>
      <c r="H65" s="55"/>
      <c r="I65" s="126"/>
      <c r="J65" s="125"/>
      <c r="K65" s="55"/>
      <c r="L65" s="55"/>
      <c r="M65" s="55"/>
      <c r="N65" s="55"/>
      <c r="O65" s="55"/>
      <c r="P65" s="55"/>
      <c r="Q65" s="126"/>
    </row>
    <row r="66" spans="1:17" x14ac:dyDescent="0.45">
      <c r="A66" s="125"/>
      <c r="B66" s="55"/>
      <c r="C66" s="55"/>
      <c r="D66" s="125"/>
      <c r="E66" s="55"/>
      <c r="F66" s="55"/>
      <c r="G66" s="55"/>
      <c r="H66" s="55"/>
      <c r="I66" s="126"/>
      <c r="J66" s="125"/>
      <c r="K66" s="55"/>
      <c r="L66" s="55"/>
      <c r="M66" s="55"/>
      <c r="N66" s="55"/>
      <c r="O66" s="55"/>
      <c r="P66" s="55"/>
      <c r="Q66" s="126"/>
    </row>
    <row r="67" spans="1:17" x14ac:dyDescent="0.45">
      <c r="A67" s="125"/>
      <c r="B67" s="55"/>
      <c r="C67" s="55"/>
      <c r="D67" s="125"/>
      <c r="E67" s="55"/>
      <c r="F67" s="55"/>
      <c r="G67" s="55"/>
      <c r="H67" s="55"/>
      <c r="I67" s="126"/>
      <c r="J67" s="125"/>
      <c r="K67" s="55"/>
      <c r="L67" s="55"/>
      <c r="M67" s="55"/>
      <c r="N67" s="55"/>
      <c r="O67" s="55"/>
      <c r="P67" s="55"/>
      <c r="Q67" s="126"/>
    </row>
    <row r="68" spans="1:17" x14ac:dyDescent="0.45">
      <c r="A68" s="696" t="s">
        <v>121</v>
      </c>
      <c r="B68" s="697"/>
      <c r="C68" s="697"/>
      <c r="D68" s="696" t="s">
        <v>218</v>
      </c>
      <c r="E68" s="697"/>
      <c r="F68" s="129"/>
      <c r="G68" s="697" t="s">
        <v>219</v>
      </c>
      <c r="H68" s="697"/>
      <c r="I68" s="698"/>
      <c r="J68" s="696" t="s">
        <v>220</v>
      </c>
      <c r="K68" s="697"/>
      <c r="L68" s="697"/>
      <c r="M68" s="697"/>
      <c r="N68" s="697"/>
      <c r="O68" s="697"/>
      <c r="P68" s="697"/>
      <c r="Q68" s="698"/>
    </row>
    <row r="74" spans="1:17" x14ac:dyDescent="0.45">
      <c r="A74" t="s">
        <v>505</v>
      </c>
    </row>
    <row r="75" spans="1:17" x14ac:dyDescent="0.45">
      <c r="A75" s="53" t="s">
        <v>177</v>
      </c>
      <c r="B75" s="53" t="s">
        <v>178</v>
      </c>
      <c r="C75" s="54">
        <v>1781</v>
      </c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spans="1:17" x14ac:dyDescent="0.45">
      <c r="A76" s="53" t="s">
        <v>109</v>
      </c>
      <c r="B76" s="53" t="s">
        <v>178</v>
      </c>
      <c r="C76" s="55" t="s">
        <v>495</v>
      </c>
      <c r="D76" s="56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spans="1:17" x14ac:dyDescent="0.45">
      <c r="A77" s="53" t="s">
        <v>7</v>
      </c>
      <c r="B77" s="53" t="s">
        <v>178</v>
      </c>
      <c r="C77" s="55" t="s">
        <v>11</v>
      </c>
      <c r="D77" s="56"/>
      <c r="E77" s="56"/>
      <c r="F77" s="55"/>
      <c r="G77" s="55"/>
      <c r="H77" s="55"/>
      <c r="I77" s="55"/>
      <c r="J77" s="55"/>
      <c r="K77" s="55"/>
      <c r="L77" s="55"/>
      <c r="M77" s="55"/>
      <c r="N77" s="55"/>
    </row>
    <row r="78" spans="1:17" x14ac:dyDescent="0.45">
      <c r="A78" s="53" t="s">
        <v>140</v>
      </c>
      <c r="B78" s="53" t="s">
        <v>178</v>
      </c>
      <c r="C78" s="55" t="s">
        <v>496</v>
      </c>
      <c r="D78" s="56"/>
      <c r="E78" s="56"/>
      <c r="F78" s="55"/>
      <c r="G78" s="55"/>
      <c r="H78" s="55"/>
      <c r="I78" s="55"/>
      <c r="J78" s="55"/>
      <c r="K78" s="55"/>
      <c r="L78" s="55"/>
      <c r="M78" s="55"/>
      <c r="N78" s="55"/>
    </row>
    <row r="79" spans="1:17" x14ac:dyDescent="0.45">
      <c r="A79" s="53" t="s">
        <v>141</v>
      </c>
      <c r="B79" s="53" t="s">
        <v>178</v>
      </c>
      <c r="C79" s="55" t="s">
        <v>497</v>
      </c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spans="1:17" x14ac:dyDescent="0.45">
      <c r="A80" s="53" t="s">
        <v>179</v>
      </c>
      <c r="B80" s="53" t="s">
        <v>178</v>
      </c>
      <c r="C80" s="57">
        <v>45709</v>
      </c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 spans="1:15" x14ac:dyDescent="0.4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</row>
    <row r="82" spans="1:15" x14ac:dyDescent="0.45">
      <c r="A82" s="58" t="s">
        <v>475</v>
      </c>
      <c r="B82" s="58"/>
      <c r="C82" s="58"/>
      <c r="D82" s="59"/>
      <c r="E82" s="59"/>
      <c r="F82" s="59"/>
      <c r="G82" s="59"/>
      <c r="H82" s="59"/>
      <c r="I82" s="59"/>
      <c r="J82" s="55"/>
      <c r="K82" s="60" t="s">
        <v>476</v>
      </c>
      <c r="L82" s="61">
        <v>1</v>
      </c>
      <c r="M82" s="58" t="s">
        <v>477</v>
      </c>
      <c r="N82" s="55"/>
    </row>
    <row r="83" spans="1:15" x14ac:dyDescent="0.45">
      <c r="A83" s="704" t="s">
        <v>142</v>
      </c>
      <c r="B83" s="705"/>
      <c r="C83" s="62" t="s">
        <v>153</v>
      </c>
      <c r="D83" s="62" t="s">
        <v>183</v>
      </c>
      <c r="E83" s="62" t="s">
        <v>122</v>
      </c>
      <c r="F83" s="62" t="s">
        <v>184</v>
      </c>
      <c r="G83" s="62" t="s">
        <v>185</v>
      </c>
      <c r="H83" s="63" t="s">
        <v>186</v>
      </c>
      <c r="I83" s="63"/>
      <c r="J83" s="63" t="s">
        <v>187</v>
      </c>
      <c r="K83" s="63"/>
      <c r="L83" s="721" t="s">
        <v>478</v>
      </c>
      <c r="M83" s="63" t="s">
        <v>189</v>
      </c>
      <c r="N83" s="63"/>
    </row>
    <row r="84" spans="1:15" x14ac:dyDescent="0.45">
      <c r="A84" s="706" t="s">
        <v>183</v>
      </c>
      <c r="B84" s="707"/>
      <c r="C84" s="66"/>
      <c r="D84" s="67"/>
      <c r="E84" s="67"/>
      <c r="F84" s="67" t="s">
        <v>190</v>
      </c>
      <c r="G84" s="67" t="s">
        <v>191</v>
      </c>
      <c r="H84" s="62" t="s">
        <v>148</v>
      </c>
      <c r="I84" s="62">
        <v>40</v>
      </c>
      <c r="J84" s="62" t="s">
        <v>477</v>
      </c>
      <c r="K84" s="62" t="s">
        <v>477</v>
      </c>
      <c r="L84" s="722"/>
      <c r="M84" s="62" t="s">
        <v>479</v>
      </c>
      <c r="N84" s="62" t="s">
        <v>196</v>
      </c>
    </row>
    <row r="85" spans="1:15" x14ac:dyDescent="0.45">
      <c r="A85" s="69"/>
      <c r="B85" s="70"/>
      <c r="C85" s="71"/>
      <c r="D85" s="72"/>
      <c r="E85" s="72"/>
      <c r="F85" s="72"/>
      <c r="G85" s="72"/>
      <c r="H85" s="72"/>
      <c r="I85" s="72" t="s">
        <v>197</v>
      </c>
      <c r="J85" s="72" t="s">
        <v>198</v>
      </c>
      <c r="K85" s="72" t="s">
        <v>199</v>
      </c>
      <c r="L85" s="723"/>
      <c r="M85" s="72"/>
      <c r="N85" s="72" t="s">
        <v>201</v>
      </c>
    </row>
    <row r="86" spans="1:15" x14ac:dyDescent="0.45">
      <c r="A86" s="74" t="s">
        <v>202</v>
      </c>
      <c r="B86" s="75"/>
      <c r="C86" s="76"/>
      <c r="D86" s="77"/>
      <c r="E86" s="77"/>
      <c r="F86" s="77"/>
      <c r="G86" s="77"/>
      <c r="H86" s="78"/>
      <c r="I86" s="78"/>
      <c r="J86" s="78"/>
      <c r="K86" s="79"/>
      <c r="L86" s="560"/>
      <c r="M86" s="79"/>
      <c r="N86" s="81"/>
    </row>
    <row r="87" spans="1:15" x14ac:dyDescent="0.45">
      <c r="A87" s="561">
        <v>438401</v>
      </c>
      <c r="B87" s="83"/>
      <c r="C87" s="84" t="s">
        <v>498</v>
      </c>
      <c r="D87" s="85" t="s">
        <v>499</v>
      </c>
      <c r="E87" s="85" t="s">
        <v>461</v>
      </c>
      <c r="F87" s="85" t="s">
        <v>474</v>
      </c>
      <c r="G87" s="85">
        <v>40</v>
      </c>
      <c r="H87" s="86" t="s">
        <v>222</v>
      </c>
      <c r="I87" s="86">
        <v>4032</v>
      </c>
      <c r="J87" s="562">
        <v>0.1145</v>
      </c>
      <c r="K87" s="563">
        <v>4.58</v>
      </c>
      <c r="L87" s="564">
        <v>4.9050534325396828</v>
      </c>
      <c r="M87" s="87">
        <v>0.32505343253968277</v>
      </c>
      <c r="N87" s="89">
        <v>6.6269091052771734E-2</v>
      </c>
    </row>
    <row r="88" spans="1:15" x14ac:dyDescent="0.45">
      <c r="A88" s="561">
        <v>438399</v>
      </c>
      <c r="B88" s="83"/>
      <c r="C88" s="84" t="s">
        <v>500</v>
      </c>
      <c r="D88" s="85" t="s">
        <v>501</v>
      </c>
      <c r="E88" s="85" t="s">
        <v>461</v>
      </c>
      <c r="F88" s="85" t="s">
        <v>462</v>
      </c>
      <c r="G88" s="85">
        <v>40</v>
      </c>
      <c r="H88" s="86" t="s">
        <v>222</v>
      </c>
      <c r="I88" s="86">
        <v>4032</v>
      </c>
      <c r="J88" s="562">
        <v>9.6000000000000002E-2</v>
      </c>
      <c r="K88" s="563">
        <v>3.84</v>
      </c>
      <c r="L88" s="564">
        <v>4.0054359325396831</v>
      </c>
      <c r="M88" s="87">
        <v>0.16543593253968325</v>
      </c>
      <c r="N88" s="89">
        <v>4.1302853253924618E-2</v>
      </c>
    </row>
    <row r="89" spans="1:15" x14ac:dyDescent="0.45">
      <c r="A89" s="561">
        <v>438397</v>
      </c>
      <c r="B89" s="83"/>
      <c r="C89" s="84" t="s">
        <v>502</v>
      </c>
      <c r="D89" s="85" t="s">
        <v>503</v>
      </c>
      <c r="E89" s="85" t="s">
        <v>461</v>
      </c>
      <c r="F89" s="85" t="s">
        <v>462</v>
      </c>
      <c r="G89" s="85">
        <v>40</v>
      </c>
      <c r="H89" s="86" t="s">
        <v>222</v>
      </c>
      <c r="I89" s="86">
        <v>4032</v>
      </c>
      <c r="J89" s="562">
        <v>0.10149999999999999</v>
      </c>
      <c r="K89" s="563">
        <v>4.0599999999999996</v>
      </c>
      <c r="L89" s="564">
        <v>4.4054359325396826</v>
      </c>
      <c r="M89" s="87">
        <v>0.34543593253968297</v>
      </c>
      <c r="N89" s="89">
        <v>7.8411294098775633E-2</v>
      </c>
    </row>
    <row r="90" spans="1:15" x14ac:dyDescent="0.45">
      <c r="A90" s="90"/>
      <c r="B90" s="91"/>
      <c r="C90" s="92" t="s">
        <v>222</v>
      </c>
      <c r="D90" s="93" t="s">
        <v>222</v>
      </c>
      <c r="E90" s="93" t="s">
        <v>222</v>
      </c>
      <c r="F90" s="93" t="s">
        <v>222</v>
      </c>
      <c r="G90" s="93" t="s">
        <v>222</v>
      </c>
      <c r="H90" s="94" t="s">
        <v>222</v>
      </c>
      <c r="I90" s="94" t="s">
        <v>222</v>
      </c>
      <c r="J90" s="94" t="s">
        <v>222</v>
      </c>
      <c r="K90" s="95" t="s">
        <v>222</v>
      </c>
      <c r="L90" s="565"/>
      <c r="M90" s="95" t="s">
        <v>222</v>
      </c>
      <c r="N90" s="97" t="s">
        <v>222</v>
      </c>
    </row>
    <row r="91" spans="1:15" x14ac:dyDescent="0.45">
      <c r="A91" s="98"/>
      <c r="B91" s="55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</row>
    <row r="92" spans="1:15" x14ac:dyDescent="0.45">
      <c r="A92" s="58" t="s">
        <v>480</v>
      </c>
      <c r="B92" s="58"/>
      <c r="C92" s="58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</row>
    <row r="93" spans="1:15" ht="22.5" customHeight="1" x14ac:dyDescent="0.45">
      <c r="A93" s="724" t="s">
        <v>142</v>
      </c>
      <c r="B93" s="725"/>
      <c r="C93" s="566" t="s">
        <v>153</v>
      </c>
      <c r="D93" s="566" t="s">
        <v>183</v>
      </c>
      <c r="E93" s="566" t="s">
        <v>122</v>
      </c>
      <c r="F93" s="566" t="s">
        <v>184</v>
      </c>
      <c r="G93" s="726" t="s">
        <v>147</v>
      </c>
      <c r="H93" s="727"/>
      <c r="I93" s="728" t="s">
        <v>481</v>
      </c>
      <c r="J93" s="729"/>
      <c r="K93" s="733" t="s">
        <v>482</v>
      </c>
      <c r="L93" s="736" t="s">
        <v>483</v>
      </c>
      <c r="M93" s="708" t="s">
        <v>484</v>
      </c>
      <c r="N93" s="711" t="s">
        <v>485</v>
      </c>
      <c r="O93" s="712"/>
    </row>
    <row r="94" spans="1:15" x14ac:dyDescent="0.45">
      <c r="A94" s="713" t="s">
        <v>183</v>
      </c>
      <c r="B94" s="714"/>
      <c r="C94" s="567"/>
      <c r="D94" s="567"/>
      <c r="E94" s="567"/>
      <c r="F94" s="567" t="s">
        <v>190</v>
      </c>
      <c r="G94" s="567" t="s">
        <v>486</v>
      </c>
      <c r="H94" s="567" t="s">
        <v>486</v>
      </c>
      <c r="I94" s="730"/>
      <c r="J94" s="722"/>
      <c r="K94" s="734"/>
      <c r="L94" s="737"/>
      <c r="M94" s="709"/>
      <c r="N94" s="715" t="s">
        <v>487</v>
      </c>
      <c r="O94" s="717" t="s">
        <v>196</v>
      </c>
    </row>
    <row r="95" spans="1:15" x14ac:dyDescent="0.45">
      <c r="A95" s="568"/>
      <c r="B95" s="569"/>
      <c r="C95" s="570"/>
      <c r="D95" s="570"/>
      <c r="E95" s="570"/>
      <c r="F95" s="570"/>
      <c r="G95" s="570" t="s">
        <v>211</v>
      </c>
      <c r="H95" s="570" t="s">
        <v>212</v>
      </c>
      <c r="I95" s="731"/>
      <c r="J95" s="732"/>
      <c r="K95" s="735"/>
      <c r="L95" s="738"/>
      <c r="M95" s="710"/>
      <c r="N95" s="716"/>
      <c r="O95" s="718"/>
    </row>
    <row r="96" spans="1:15" x14ac:dyDescent="0.45">
      <c r="A96" s="571" t="s">
        <v>202</v>
      </c>
      <c r="B96" s="106"/>
      <c r="C96" s="107"/>
      <c r="D96" s="85"/>
      <c r="E96" s="85"/>
      <c r="F96" s="85"/>
      <c r="G96" s="85"/>
      <c r="H96" s="86"/>
      <c r="I96" s="719"/>
      <c r="J96" s="720"/>
      <c r="K96" s="572"/>
      <c r="L96" s="573" t="s">
        <v>488</v>
      </c>
      <c r="M96" s="574" t="s">
        <v>488</v>
      </c>
      <c r="N96" s="574" t="s">
        <v>488</v>
      </c>
      <c r="O96" s="575" t="s">
        <v>488</v>
      </c>
    </row>
    <row r="97" spans="1:15" x14ac:dyDescent="0.45">
      <c r="A97" s="576">
        <v>438401</v>
      </c>
      <c r="B97" s="83"/>
      <c r="C97" s="84" t="s">
        <v>498</v>
      </c>
      <c r="D97" s="85" t="s">
        <v>499</v>
      </c>
      <c r="E97" s="85" t="s">
        <v>461</v>
      </c>
      <c r="F97" s="109" t="s">
        <v>474</v>
      </c>
      <c r="G97" s="86">
        <v>3800</v>
      </c>
      <c r="H97" s="110">
        <v>0.94246031746031744</v>
      </c>
      <c r="I97" s="751">
        <v>2.486249999999357E-3</v>
      </c>
      <c r="J97" s="752"/>
      <c r="K97" s="577">
        <v>5.85</v>
      </c>
      <c r="L97" s="578">
        <v>0</v>
      </c>
      <c r="M97" s="577">
        <v>5.85</v>
      </c>
      <c r="N97" s="577">
        <v>0.32505343253968277</v>
      </c>
      <c r="O97" s="579">
        <v>6.6269091052771734E-2</v>
      </c>
    </row>
    <row r="98" spans="1:15" x14ac:dyDescent="0.45">
      <c r="A98" s="576">
        <v>438399</v>
      </c>
      <c r="B98" s="83"/>
      <c r="C98" s="84" t="s">
        <v>500</v>
      </c>
      <c r="D98" s="85" t="s">
        <v>501</v>
      </c>
      <c r="E98" s="85" t="s">
        <v>461</v>
      </c>
      <c r="F98" s="109" t="s">
        <v>462</v>
      </c>
      <c r="G98" s="86">
        <v>3800</v>
      </c>
      <c r="H98" s="110">
        <v>0.94246031746031744</v>
      </c>
      <c r="I98" s="751">
        <v>2.1037499999996268E-3</v>
      </c>
      <c r="J98" s="752"/>
      <c r="K98" s="580">
        <v>4.95</v>
      </c>
      <c r="L98" s="578">
        <v>0</v>
      </c>
      <c r="M98" s="577">
        <v>4.95</v>
      </c>
      <c r="N98" s="577">
        <v>0.16543593253968325</v>
      </c>
      <c r="O98" s="579">
        <v>4.1302853253924618E-2</v>
      </c>
    </row>
    <row r="99" spans="1:15" x14ac:dyDescent="0.45">
      <c r="A99" s="576">
        <v>438397</v>
      </c>
      <c r="B99" s="83"/>
      <c r="C99" s="84" t="s">
        <v>502</v>
      </c>
      <c r="D99" s="85" t="s">
        <v>503</v>
      </c>
      <c r="E99" s="85" t="s">
        <v>461</v>
      </c>
      <c r="F99" s="109" t="s">
        <v>462</v>
      </c>
      <c r="G99" s="86">
        <v>3800</v>
      </c>
      <c r="H99" s="110">
        <v>0.94246031746031744</v>
      </c>
      <c r="I99" s="751">
        <v>2.1037499999996268E-3</v>
      </c>
      <c r="J99" s="752"/>
      <c r="K99" s="580">
        <v>5.35</v>
      </c>
      <c r="L99" s="578">
        <v>0</v>
      </c>
      <c r="M99" s="577">
        <v>5.35</v>
      </c>
      <c r="N99" s="577">
        <v>0.34543593253968297</v>
      </c>
      <c r="O99" s="579">
        <v>7.8411294098775633E-2</v>
      </c>
    </row>
    <row r="100" spans="1:15" x14ac:dyDescent="0.45">
      <c r="A100" s="581"/>
      <c r="B100" s="582"/>
      <c r="C100" s="583" t="s">
        <v>222</v>
      </c>
      <c r="D100" s="584" t="s">
        <v>222</v>
      </c>
      <c r="E100" s="584" t="s">
        <v>222</v>
      </c>
      <c r="F100" s="585" t="s">
        <v>222</v>
      </c>
      <c r="G100" s="586" t="s">
        <v>222</v>
      </c>
      <c r="H100" s="587" t="s">
        <v>222</v>
      </c>
      <c r="I100" s="739"/>
      <c r="J100" s="740"/>
      <c r="K100" s="588" t="s">
        <v>222</v>
      </c>
      <c r="L100" s="589" t="s">
        <v>488</v>
      </c>
      <c r="M100" s="590" t="s">
        <v>488</v>
      </c>
      <c r="N100" s="590" t="s">
        <v>488</v>
      </c>
      <c r="O100" s="591" t="s">
        <v>488</v>
      </c>
    </row>
    <row r="101" spans="1:15" x14ac:dyDescent="0.4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</row>
    <row r="102" spans="1:15" x14ac:dyDescent="0.45">
      <c r="A102" s="592" t="s">
        <v>489</v>
      </c>
      <c r="B102" s="592"/>
      <c r="C102" s="592"/>
      <c r="D102" s="593" t="s">
        <v>488</v>
      </c>
      <c r="E102" s="593" t="s">
        <v>488</v>
      </c>
      <c r="F102" s="593" t="s">
        <v>488</v>
      </c>
      <c r="G102" s="593" t="s">
        <v>488</v>
      </c>
      <c r="H102" s="593" t="s">
        <v>488</v>
      </c>
      <c r="I102" s="593" t="s">
        <v>488</v>
      </c>
      <c r="J102" s="594"/>
      <c r="K102" s="592" t="s">
        <v>488</v>
      </c>
      <c r="L102" s="592" t="s">
        <v>488</v>
      </c>
      <c r="M102" s="55"/>
      <c r="N102" s="55"/>
    </row>
    <row r="103" spans="1:15" x14ac:dyDescent="0.45">
      <c r="A103" s="741" t="s">
        <v>142</v>
      </c>
      <c r="B103" s="742"/>
      <c r="C103" s="595" t="s">
        <v>153</v>
      </c>
      <c r="D103" s="595" t="s">
        <v>183</v>
      </c>
      <c r="E103" s="595" t="s">
        <v>122</v>
      </c>
      <c r="F103" s="595" t="s">
        <v>184</v>
      </c>
      <c r="G103" s="595" t="s">
        <v>185</v>
      </c>
      <c r="H103" s="743" t="s">
        <v>490</v>
      </c>
      <c r="I103" s="745" t="s">
        <v>491</v>
      </c>
      <c r="J103" s="743" t="s">
        <v>492</v>
      </c>
      <c r="K103" s="747" t="s">
        <v>493</v>
      </c>
      <c r="L103" s="748"/>
      <c r="M103" s="55"/>
    </row>
    <row r="104" spans="1:15" ht="31.5" customHeight="1" x14ac:dyDescent="0.45">
      <c r="A104" s="749" t="s">
        <v>183</v>
      </c>
      <c r="B104" s="750"/>
      <c r="C104" s="596" t="s">
        <v>488</v>
      </c>
      <c r="D104" s="597" t="s">
        <v>488</v>
      </c>
      <c r="E104" s="597" t="s">
        <v>488</v>
      </c>
      <c r="F104" s="597" t="s">
        <v>190</v>
      </c>
      <c r="G104" s="597" t="s">
        <v>191</v>
      </c>
      <c r="H104" s="744"/>
      <c r="I104" s="746"/>
      <c r="J104" s="744"/>
      <c r="K104" s="599" t="s">
        <v>479</v>
      </c>
      <c r="L104" s="600" t="s">
        <v>196</v>
      </c>
      <c r="M104" s="55"/>
    </row>
    <row r="105" spans="1:15" x14ac:dyDescent="0.45">
      <c r="A105" s="601" t="s">
        <v>202</v>
      </c>
      <c r="B105" s="602" t="s">
        <v>488</v>
      </c>
      <c r="C105" s="602" t="s">
        <v>488</v>
      </c>
      <c r="D105" s="574" t="s">
        <v>488</v>
      </c>
      <c r="E105" s="574" t="s">
        <v>488</v>
      </c>
      <c r="F105" s="574" t="s">
        <v>488</v>
      </c>
      <c r="G105" s="574" t="s">
        <v>488</v>
      </c>
      <c r="H105" s="574" t="s">
        <v>488</v>
      </c>
      <c r="I105" s="574" t="s">
        <v>488</v>
      </c>
      <c r="J105" s="574" t="s">
        <v>488</v>
      </c>
      <c r="K105" s="574" t="s">
        <v>488</v>
      </c>
      <c r="L105" s="575" t="s">
        <v>488</v>
      </c>
      <c r="M105" s="55"/>
    </row>
    <row r="106" spans="1:15" x14ac:dyDescent="0.45">
      <c r="A106" s="603">
        <v>438401</v>
      </c>
      <c r="B106" s="574"/>
      <c r="C106" s="574" t="s">
        <v>498</v>
      </c>
      <c r="D106" s="604" t="s">
        <v>499</v>
      </c>
      <c r="E106" s="604" t="s">
        <v>461</v>
      </c>
      <c r="F106" s="605" t="s">
        <v>474</v>
      </c>
      <c r="G106" s="606">
        <v>40</v>
      </c>
      <c r="H106" s="607">
        <v>7.7</v>
      </c>
      <c r="I106" s="607">
        <v>0</v>
      </c>
      <c r="J106" s="564">
        <v>7.7</v>
      </c>
      <c r="K106" s="608">
        <v>2.0034252201587304</v>
      </c>
      <c r="L106" s="609">
        <v>0.26018509352710784</v>
      </c>
      <c r="M106" s="610"/>
      <c r="N106" s="611"/>
    </row>
    <row r="107" spans="1:15" x14ac:dyDescent="0.45">
      <c r="A107" s="603">
        <v>438399</v>
      </c>
      <c r="B107" s="574"/>
      <c r="C107" s="574" t="s">
        <v>500</v>
      </c>
      <c r="D107" s="604" t="s">
        <v>501</v>
      </c>
      <c r="E107" s="604" t="s">
        <v>461</v>
      </c>
      <c r="F107" s="605" t="s">
        <v>462</v>
      </c>
      <c r="G107" s="606">
        <v>40</v>
      </c>
      <c r="H107" s="607">
        <v>7.7</v>
      </c>
      <c r="I107" s="607">
        <v>0</v>
      </c>
      <c r="J107" s="564">
        <v>7.7</v>
      </c>
      <c r="K107" s="608">
        <v>2.8280857601587304</v>
      </c>
      <c r="L107" s="609">
        <v>0.36728386495567927</v>
      </c>
      <c r="M107" s="55"/>
    </row>
    <row r="108" spans="1:15" x14ac:dyDescent="0.45">
      <c r="A108" s="603">
        <v>438397</v>
      </c>
      <c r="B108" s="574"/>
      <c r="C108" s="574" t="s">
        <v>502</v>
      </c>
      <c r="D108" s="604" t="s">
        <v>503</v>
      </c>
      <c r="E108" s="604" t="s">
        <v>461</v>
      </c>
      <c r="F108" s="605" t="s">
        <v>462</v>
      </c>
      <c r="G108" s="606">
        <v>40</v>
      </c>
      <c r="H108" s="607">
        <v>7.7</v>
      </c>
      <c r="I108" s="607">
        <v>0</v>
      </c>
      <c r="J108" s="564">
        <v>7.7</v>
      </c>
      <c r="K108" s="608">
        <v>2.5130457601587306</v>
      </c>
      <c r="L108" s="609">
        <v>0.32636957924139359</v>
      </c>
      <c r="M108" s="55"/>
    </row>
    <row r="109" spans="1:15" x14ac:dyDescent="0.45">
      <c r="A109" s="612" t="s">
        <v>488</v>
      </c>
      <c r="B109" s="613" t="s">
        <v>488</v>
      </c>
      <c r="C109" s="613" t="s">
        <v>488</v>
      </c>
      <c r="D109" s="613" t="s">
        <v>488</v>
      </c>
      <c r="E109" s="613" t="s">
        <v>488</v>
      </c>
      <c r="F109" s="613" t="s">
        <v>488</v>
      </c>
      <c r="G109" s="613" t="s">
        <v>488</v>
      </c>
      <c r="H109" s="613" t="s">
        <v>488</v>
      </c>
      <c r="I109" s="613" t="s">
        <v>488</v>
      </c>
      <c r="J109" s="613" t="s">
        <v>488</v>
      </c>
      <c r="K109" s="613" t="s">
        <v>488</v>
      </c>
      <c r="L109" s="614" t="s">
        <v>488</v>
      </c>
      <c r="M109" s="55"/>
    </row>
    <row r="110" spans="1:15" x14ac:dyDescent="0.4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</row>
    <row r="111" spans="1:15" x14ac:dyDescent="0.45">
      <c r="A111" s="693" t="s">
        <v>215</v>
      </c>
      <c r="B111" s="694"/>
      <c r="C111" s="695"/>
      <c r="D111" s="693" t="s">
        <v>216</v>
      </c>
      <c r="E111" s="694"/>
      <c r="F111" s="694"/>
      <c r="G111" s="694"/>
      <c r="H111" s="695"/>
      <c r="I111" s="693" t="s">
        <v>217</v>
      </c>
      <c r="J111" s="694"/>
      <c r="K111" s="694"/>
      <c r="L111" s="694"/>
      <c r="M111" s="694"/>
      <c r="N111" s="695"/>
    </row>
    <row r="112" spans="1:15" x14ac:dyDescent="0.45">
      <c r="A112" s="125"/>
      <c r="B112" s="55"/>
      <c r="C112" s="126"/>
      <c r="D112" s="125"/>
      <c r="E112" s="55"/>
      <c r="F112" s="55"/>
      <c r="G112" s="55"/>
      <c r="H112" s="126"/>
      <c r="I112" s="125"/>
      <c r="J112" s="55"/>
      <c r="K112" s="55"/>
      <c r="L112" s="55"/>
      <c r="M112" s="55"/>
      <c r="N112" s="126"/>
    </row>
    <row r="113" spans="1:14" x14ac:dyDescent="0.45">
      <c r="A113" s="125"/>
      <c r="B113" s="55"/>
      <c r="C113" s="126"/>
      <c r="D113" s="125"/>
      <c r="E113" s="55"/>
      <c r="F113" s="55"/>
      <c r="G113" s="55"/>
      <c r="H113" s="126"/>
      <c r="I113" s="125"/>
      <c r="J113" s="55"/>
      <c r="K113" s="55"/>
      <c r="L113" s="55"/>
      <c r="M113" s="55"/>
      <c r="N113" s="126"/>
    </row>
    <row r="114" spans="1:14" x14ac:dyDescent="0.45">
      <c r="A114" s="125"/>
      <c r="B114" s="55"/>
      <c r="C114" s="126"/>
      <c r="D114" s="125"/>
      <c r="E114" s="55"/>
      <c r="F114" s="55"/>
      <c r="G114" s="55"/>
      <c r="H114" s="126"/>
      <c r="I114" s="125"/>
      <c r="J114" s="55"/>
      <c r="K114" s="55"/>
      <c r="L114" s="55"/>
      <c r="M114" s="55"/>
      <c r="N114" s="126"/>
    </row>
    <row r="115" spans="1:14" x14ac:dyDescent="0.45">
      <c r="A115" s="125"/>
      <c r="B115" s="55"/>
      <c r="C115" s="126"/>
      <c r="D115" s="125"/>
      <c r="E115" s="55"/>
      <c r="F115" s="55"/>
      <c r="G115" s="55"/>
      <c r="H115" s="126"/>
      <c r="I115" s="125"/>
      <c r="J115" s="55"/>
      <c r="K115" s="55"/>
      <c r="L115" s="55"/>
      <c r="M115" s="55"/>
      <c r="N115" s="126"/>
    </row>
    <row r="116" spans="1:14" x14ac:dyDescent="0.45">
      <c r="A116" s="125"/>
      <c r="B116" s="55"/>
      <c r="C116" s="126"/>
      <c r="D116" s="125"/>
      <c r="E116" s="55"/>
      <c r="F116" s="55"/>
      <c r="G116" s="55"/>
      <c r="H116" s="126"/>
      <c r="I116" s="125"/>
      <c r="J116" s="55"/>
      <c r="K116" s="55"/>
      <c r="L116" s="55"/>
      <c r="M116" s="55"/>
      <c r="N116" s="126"/>
    </row>
    <row r="117" spans="1:14" x14ac:dyDescent="0.45">
      <c r="A117" s="696" t="s">
        <v>466</v>
      </c>
      <c r="B117" s="697"/>
      <c r="C117" s="698"/>
      <c r="D117" s="696" t="s">
        <v>218</v>
      </c>
      <c r="E117" s="697"/>
      <c r="F117" s="697" t="s">
        <v>219</v>
      </c>
      <c r="G117" s="697"/>
      <c r="H117" s="698"/>
      <c r="I117" s="696" t="s">
        <v>494</v>
      </c>
      <c r="J117" s="697"/>
      <c r="K117" s="697"/>
      <c r="L117" s="697"/>
      <c r="M117" s="697"/>
      <c r="N117" s="698"/>
    </row>
    <row r="124" spans="1:14" x14ac:dyDescent="0.45">
      <c r="A124" s="53" t="s">
        <v>177</v>
      </c>
      <c r="B124" s="53" t="s">
        <v>178</v>
      </c>
      <c r="C124" s="54">
        <v>1768</v>
      </c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</row>
    <row r="125" spans="1:14" x14ac:dyDescent="0.45">
      <c r="A125" s="53" t="s">
        <v>109</v>
      </c>
      <c r="B125" s="53" t="s">
        <v>178</v>
      </c>
      <c r="C125" s="55" t="s">
        <v>110</v>
      </c>
      <c r="D125" s="56"/>
      <c r="E125" s="55"/>
      <c r="F125" s="55"/>
      <c r="G125" s="55"/>
      <c r="H125" s="55"/>
      <c r="I125" s="55"/>
      <c r="J125" s="55"/>
      <c r="K125" s="55"/>
      <c r="L125" s="55"/>
      <c r="M125" s="55"/>
      <c r="N125" s="55"/>
    </row>
    <row r="126" spans="1:14" x14ac:dyDescent="0.45">
      <c r="A126" s="53" t="s">
        <v>7</v>
      </c>
      <c r="B126" s="53" t="s">
        <v>178</v>
      </c>
      <c r="C126" s="55" t="s">
        <v>61</v>
      </c>
      <c r="D126" s="56"/>
      <c r="E126" s="56"/>
      <c r="F126" s="55"/>
      <c r="G126" s="55"/>
      <c r="H126" s="55"/>
      <c r="I126" s="55"/>
      <c r="J126" s="55"/>
      <c r="K126" s="55"/>
      <c r="L126" s="55"/>
      <c r="M126" s="55"/>
      <c r="N126" s="55"/>
    </row>
    <row r="127" spans="1:14" x14ac:dyDescent="0.45">
      <c r="A127" s="53" t="s">
        <v>140</v>
      </c>
      <c r="B127" s="53" t="s">
        <v>178</v>
      </c>
      <c r="C127" s="55" t="s">
        <v>516</v>
      </c>
      <c r="D127" s="56"/>
      <c r="E127" s="56"/>
      <c r="F127" s="55"/>
      <c r="G127" s="55"/>
      <c r="H127" s="55"/>
      <c r="I127" s="55"/>
      <c r="J127" s="55"/>
      <c r="K127" s="55"/>
      <c r="L127" s="55"/>
      <c r="M127" s="55"/>
      <c r="N127" s="55"/>
    </row>
    <row r="128" spans="1:14" x14ac:dyDescent="0.45">
      <c r="A128" s="53" t="s">
        <v>141</v>
      </c>
      <c r="B128" s="53" t="s">
        <v>178</v>
      </c>
      <c r="C128" s="55" t="s">
        <v>517</v>
      </c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</row>
    <row r="129" spans="1:15" x14ac:dyDescent="0.45">
      <c r="A129" s="53" t="s">
        <v>179</v>
      </c>
      <c r="B129" s="53" t="s">
        <v>178</v>
      </c>
      <c r="C129" s="57">
        <v>45681</v>
      </c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</row>
    <row r="130" spans="1:15" x14ac:dyDescent="0.4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</row>
    <row r="131" spans="1:15" x14ac:dyDescent="0.45">
      <c r="A131" s="58" t="s">
        <v>506</v>
      </c>
      <c r="B131" s="58"/>
      <c r="C131" s="58"/>
      <c r="D131" s="59"/>
      <c r="E131" s="59"/>
      <c r="F131" s="59"/>
      <c r="G131" s="59"/>
      <c r="H131" s="59"/>
      <c r="I131" s="59"/>
      <c r="J131" s="55"/>
      <c r="K131" s="60" t="s">
        <v>181</v>
      </c>
      <c r="L131" s="615">
        <v>1</v>
      </c>
      <c r="M131" s="58" t="s">
        <v>192</v>
      </c>
      <c r="N131" s="55"/>
    </row>
    <row r="132" spans="1:15" x14ac:dyDescent="0.45">
      <c r="A132" s="704" t="s">
        <v>142</v>
      </c>
      <c r="B132" s="705"/>
      <c r="C132" s="62" t="s">
        <v>153</v>
      </c>
      <c r="D132" s="62" t="s">
        <v>183</v>
      </c>
      <c r="E132" s="62" t="s">
        <v>122</v>
      </c>
      <c r="F132" s="62" t="s">
        <v>184</v>
      </c>
      <c r="G132" s="62" t="s">
        <v>185</v>
      </c>
      <c r="H132" s="63" t="s">
        <v>186</v>
      </c>
      <c r="I132" s="63"/>
      <c r="J132" s="63" t="s">
        <v>187</v>
      </c>
      <c r="K132" s="63"/>
      <c r="L132" s="721" t="s">
        <v>507</v>
      </c>
      <c r="M132" s="63" t="s">
        <v>189</v>
      </c>
      <c r="N132" s="63"/>
    </row>
    <row r="133" spans="1:15" x14ac:dyDescent="0.45">
      <c r="A133" s="706" t="s">
        <v>183</v>
      </c>
      <c r="B133" s="707"/>
      <c r="C133" s="66"/>
      <c r="D133" s="67"/>
      <c r="E133" s="67"/>
      <c r="F133" s="67" t="s">
        <v>190</v>
      </c>
      <c r="G133" s="67" t="s">
        <v>191</v>
      </c>
      <c r="H133" s="62" t="s">
        <v>148</v>
      </c>
      <c r="I133" s="62">
        <v>40</v>
      </c>
      <c r="J133" s="62" t="s">
        <v>192</v>
      </c>
      <c r="K133" s="62" t="s">
        <v>192</v>
      </c>
      <c r="L133" s="722"/>
      <c r="M133" s="62" t="s">
        <v>195</v>
      </c>
      <c r="N133" s="62" t="s">
        <v>196</v>
      </c>
    </row>
    <row r="134" spans="1:15" x14ac:dyDescent="0.45">
      <c r="A134" s="69"/>
      <c r="B134" s="70"/>
      <c r="C134" s="71"/>
      <c r="D134" s="72"/>
      <c r="E134" s="72"/>
      <c r="F134" s="72"/>
      <c r="G134" s="72"/>
      <c r="H134" s="72"/>
      <c r="I134" s="72" t="s">
        <v>197</v>
      </c>
      <c r="J134" s="72" t="s">
        <v>198</v>
      </c>
      <c r="K134" s="72" t="s">
        <v>199</v>
      </c>
      <c r="L134" s="723"/>
      <c r="M134" s="72"/>
      <c r="N134" s="72" t="s">
        <v>201</v>
      </c>
    </row>
    <row r="135" spans="1:15" x14ac:dyDescent="0.45">
      <c r="A135" s="74" t="s">
        <v>202</v>
      </c>
      <c r="B135" s="75"/>
      <c r="C135" s="76"/>
      <c r="D135" s="77"/>
      <c r="E135" s="77"/>
      <c r="F135" s="77"/>
      <c r="G135" s="77"/>
      <c r="H135" s="78"/>
      <c r="I135" s="78"/>
      <c r="J135" s="78"/>
      <c r="K135" s="79"/>
      <c r="L135" s="560"/>
      <c r="M135" s="79"/>
      <c r="N135" s="81"/>
    </row>
    <row r="136" spans="1:15" x14ac:dyDescent="0.45">
      <c r="A136" s="82">
        <v>433370</v>
      </c>
      <c r="B136" s="83"/>
      <c r="C136" s="84" t="s">
        <v>518</v>
      </c>
      <c r="D136" s="85" t="s">
        <v>519</v>
      </c>
      <c r="E136" s="85" t="s">
        <v>520</v>
      </c>
      <c r="F136" s="85" t="s">
        <v>462</v>
      </c>
      <c r="G136" s="85">
        <v>40</v>
      </c>
      <c r="H136" s="86" t="s">
        <v>222</v>
      </c>
      <c r="I136" s="86">
        <v>4200</v>
      </c>
      <c r="J136" s="562">
        <v>8.8601757897519992E-2</v>
      </c>
      <c r="K136" s="563">
        <v>3.5440703159007998</v>
      </c>
      <c r="L136" s="564">
        <v>4.4000000000000004</v>
      </c>
      <c r="M136" s="87">
        <v>0.85592968409920056</v>
      </c>
      <c r="N136" s="89">
        <v>0.19452947365890921</v>
      </c>
    </row>
    <row r="137" spans="1:15" x14ac:dyDescent="0.45">
      <c r="A137" s="82">
        <v>433371</v>
      </c>
      <c r="B137" s="83"/>
      <c r="C137" s="84" t="s">
        <v>521</v>
      </c>
      <c r="D137" s="85" t="s">
        <v>522</v>
      </c>
      <c r="E137" s="85" t="s">
        <v>520</v>
      </c>
      <c r="F137" s="85" t="s">
        <v>462</v>
      </c>
      <c r="G137" s="85">
        <v>40</v>
      </c>
      <c r="H137" s="86" t="s">
        <v>222</v>
      </c>
      <c r="I137" s="86">
        <v>4200</v>
      </c>
      <c r="J137" s="562">
        <v>8.8161307383922E-2</v>
      </c>
      <c r="K137" s="563">
        <v>3.5264522953568802</v>
      </c>
      <c r="L137" s="564">
        <v>4.4000000000000004</v>
      </c>
      <c r="M137" s="87">
        <v>0.87354770464312015</v>
      </c>
      <c r="N137" s="89">
        <v>0.19853356923707274</v>
      </c>
    </row>
    <row r="138" spans="1:15" x14ac:dyDescent="0.45">
      <c r="A138" s="82">
        <v>433372</v>
      </c>
      <c r="B138" s="83"/>
      <c r="C138" s="84" t="s">
        <v>523</v>
      </c>
      <c r="D138" s="85" t="s">
        <v>524</v>
      </c>
      <c r="E138" s="85" t="s">
        <v>520</v>
      </c>
      <c r="F138" s="85" t="s">
        <v>462</v>
      </c>
      <c r="G138" s="85">
        <v>40</v>
      </c>
      <c r="H138" s="86" t="s">
        <v>222</v>
      </c>
      <c r="I138" s="86">
        <v>4200</v>
      </c>
      <c r="J138" s="562">
        <v>9.9338908528609743E-2</v>
      </c>
      <c r="K138" s="563">
        <v>3.9735563411443899</v>
      </c>
      <c r="L138" s="564">
        <v>4.8</v>
      </c>
      <c r="M138" s="87">
        <v>0.82644365885560989</v>
      </c>
      <c r="N138" s="89">
        <v>0.1721757622615854</v>
      </c>
    </row>
    <row r="139" spans="1:15" x14ac:dyDescent="0.45">
      <c r="A139" s="82">
        <v>435422</v>
      </c>
      <c r="B139" s="83"/>
      <c r="C139" s="84" t="s">
        <v>525</v>
      </c>
      <c r="D139" s="85" t="s">
        <v>526</v>
      </c>
      <c r="E139" s="85" t="s">
        <v>520</v>
      </c>
      <c r="F139" s="85" t="s">
        <v>462</v>
      </c>
      <c r="G139" s="85">
        <v>40</v>
      </c>
      <c r="H139" s="86" t="s">
        <v>222</v>
      </c>
      <c r="I139" s="86">
        <v>4200</v>
      </c>
      <c r="J139" s="562">
        <v>9.9635426428402257E-2</v>
      </c>
      <c r="K139" s="563">
        <v>3.9854170571360901</v>
      </c>
      <c r="L139" s="564">
        <v>4.8</v>
      </c>
      <c r="M139" s="87">
        <v>0.81458294286390975</v>
      </c>
      <c r="N139" s="89">
        <v>0.16970477976331455</v>
      </c>
    </row>
    <row r="140" spans="1:15" x14ac:dyDescent="0.45">
      <c r="A140" s="82">
        <v>435421</v>
      </c>
      <c r="B140" s="83"/>
      <c r="C140" s="84" t="s">
        <v>527</v>
      </c>
      <c r="D140" s="85" t="s">
        <v>528</v>
      </c>
      <c r="E140" s="85" t="s">
        <v>520</v>
      </c>
      <c r="F140" s="85" t="s">
        <v>462</v>
      </c>
      <c r="G140" s="85">
        <v>40</v>
      </c>
      <c r="H140" s="86" t="s">
        <v>222</v>
      </c>
      <c r="I140" s="86">
        <v>4200</v>
      </c>
      <c r="J140" s="562">
        <v>9.6846241869136998E-2</v>
      </c>
      <c r="K140" s="563">
        <v>3.8738496747654798</v>
      </c>
      <c r="L140" s="564">
        <v>4.8</v>
      </c>
      <c r="M140" s="87">
        <v>0.92615032523452001</v>
      </c>
      <c r="N140" s="89">
        <v>0.19294798442385835</v>
      </c>
    </row>
    <row r="141" spans="1:15" x14ac:dyDescent="0.45">
      <c r="A141" s="90"/>
      <c r="B141" s="91"/>
      <c r="C141" s="92" t="str">
        <f>IFERROR(VLOOKUP($B141,[1]!SKUData[#Data],2,FALSE),"")</f>
        <v/>
      </c>
      <c r="D141" s="93" t="str">
        <f>IFERROR(VLOOKUP($B141,[1]!SKUData[#Data],12,FALSE),"")</f>
        <v/>
      </c>
      <c r="E141" s="93" t="str">
        <f>IFERROR(VLOOKUP($B141,[1]!SKUData[#Data],16,FALSE),"")</f>
        <v/>
      </c>
      <c r="F141" s="93" t="str">
        <f>IFERROR(VLOOKUP($B141,[1]!SKUData[#Data],17,FALSE),"")</f>
        <v/>
      </c>
      <c r="G141" s="93" t="str">
        <f>IFERROR(VLOOKUP($B141,[1]!SKUData[#Data],15,FALSE),"")</f>
        <v/>
      </c>
      <c r="H141" s="94" t="e">
        <f>IF(SUMIFS([1]!Table2[20''],[1]!Table2[No],#REF!,[1]!Table2[Material],#REF!)=0,"",SUMIFS([1]!Table2[20''],[1]!Table2[No],#REF!,[1]!Table2[Material],A141))</f>
        <v>#REF!</v>
      </c>
      <c r="I141" s="94" t="e">
        <f>IF(SUMIFS([1]!Table2[40'' HQ],[1]!Table2[No],#REF!,[1]!Table2[Material],#REF!)=0,"",SUMIFS([1]!Table2[40'' HQ],[1]!Table2[No],#REF!,[1]!Table2[Material],A141))</f>
        <v>#REF!</v>
      </c>
      <c r="J141" s="94" t="e">
        <f>IF(SUMIFS([1]!Table2[COGS],[1]!Table2[No],#REF!,[1]!Table2[Material],#REF!)=0,"",SUMIFS([1]!Table2[COGS],[1]!Table2[No],#REF!,[1]!Table2[Material],A141))</f>
        <v>#REF!</v>
      </c>
      <c r="K141" s="95" t="e">
        <f>IF(SUMIFS([1]!Table2[COGS (USD)],[1]!Table2[No],#REF!,[1]!Table2[Material],#REF!)=0,"",SUMIFS([1]!Table2[COGS (USD)],[1]!Table2[No],#REF!,[1]!Table2[Material],A141))</f>
        <v>#REF!</v>
      </c>
      <c r="L141" s="565"/>
      <c r="M141" s="95" t="str">
        <f>IF(L141="","",L141-K141)</f>
        <v/>
      </c>
      <c r="N141" s="97" t="str">
        <f>IFERROR(M141/L141,"")</f>
        <v/>
      </c>
    </row>
    <row r="142" spans="1:15" x14ac:dyDescent="0.45">
      <c r="A142" s="98"/>
      <c r="B142" s="55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</row>
    <row r="143" spans="1:15" x14ac:dyDescent="0.45">
      <c r="A143" s="58" t="s">
        <v>508</v>
      </c>
      <c r="B143" s="58"/>
      <c r="C143" s="58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</row>
    <row r="144" spans="1:15" ht="31.9" customHeight="1" x14ac:dyDescent="0.45">
      <c r="A144" s="724" t="s">
        <v>142</v>
      </c>
      <c r="B144" s="725"/>
      <c r="C144" s="566" t="s">
        <v>153</v>
      </c>
      <c r="D144" s="566" t="s">
        <v>183</v>
      </c>
      <c r="E144" s="566" t="s">
        <v>122</v>
      </c>
      <c r="F144" s="566" t="s">
        <v>184</v>
      </c>
      <c r="G144" s="726" t="s">
        <v>147</v>
      </c>
      <c r="H144" s="727"/>
      <c r="I144" s="728" t="s">
        <v>509</v>
      </c>
      <c r="J144" s="729"/>
      <c r="K144" s="733" t="s">
        <v>510</v>
      </c>
      <c r="L144" s="736" t="s">
        <v>483</v>
      </c>
      <c r="M144" s="708" t="s">
        <v>511</v>
      </c>
      <c r="N144" s="711" t="s">
        <v>512</v>
      </c>
      <c r="O144" s="712"/>
    </row>
    <row r="145" spans="1:15" x14ac:dyDescent="0.45">
      <c r="A145" s="713" t="s">
        <v>183</v>
      </c>
      <c r="B145" s="714"/>
      <c r="C145" s="567"/>
      <c r="D145" s="567"/>
      <c r="E145" s="567"/>
      <c r="F145" s="567" t="s">
        <v>190</v>
      </c>
      <c r="G145" s="567" t="s">
        <v>207</v>
      </c>
      <c r="H145" s="567" t="s">
        <v>207</v>
      </c>
      <c r="I145" s="730"/>
      <c r="J145" s="722"/>
      <c r="K145" s="734"/>
      <c r="L145" s="737"/>
      <c r="M145" s="709"/>
      <c r="N145" s="715" t="s">
        <v>513</v>
      </c>
      <c r="O145" s="717" t="s">
        <v>196</v>
      </c>
    </row>
    <row r="146" spans="1:15" x14ac:dyDescent="0.45">
      <c r="A146" s="568"/>
      <c r="B146" s="569"/>
      <c r="C146" s="570"/>
      <c r="D146" s="570"/>
      <c r="E146" s="570"/>
      <c r="F146" s="570"/>
      <c r="G146" s="570" t="s">
        <v>211</v>
      </c>
      <c r="H146" s="570" t="s">
        <v>212</v>
      </c>
      <c r="I146" s="731"/>
      <c r="J146" s="732"/>
      <c r="K146" s="735"/>
      <c r="L146" s="738"/>
      <c r="M146" s="710"/>
      <c r="N146" s="716"/>
      <c r="O146" s="718"/>
    </row>
    <row r="147" spans="1:15" x14ac:dyDescent="0.45">
      <c r="A147" s="571" t="s">
        <v>202</v>
      </c>
      <c r="B147" s="106"/>
      <c r="C147" s="107"/>
      <c r="D147" s="85"/>
      <c r="E147" s="85"/>
      <c r="F147" s="85"/>
      <c r="G147" s="85"/>
      <c r="H147" s="86"/>
      <c r="I147" s="719"/>
      <c r="J147" s="720"/>
      <c r="K147" s="572"/>
      <c r="L147" s="573" t="s">
        <v>488</v>
      </c>
      <c r="M147" s="574" t="s">
        <v>488</v>
      </c>
      <c r="N147" s="574" t="s">
        <v>488</v>
      </c>
      <c r="O147" s="575" t="s">
        <v>488</v>
      </c>
    </row>
    <row r="148" spans="1:15" x14ac:dyDescent="0.45">
      <c r="A148" s="576">
        <v>433370</v>
      </c>
      <c r="B148" s="83"/>
      <c r="C148" s="84" t="s">
        <v>518</v>
      </c>
      <c r="D148" s="85" t="s">
        <v>519</v>
      </c>
      <c r="E148" s="85" t="s">
        <v>520</v>
      </c>
      <c r="F148" s="109" t="s">
        <v>462</v>
      </c>
      <c r="G148" s="86">
        <v>3000</v>
      </c>
      <c r="H148" s="110">
        <v>0.7142857142857143</v>
      </c>
      <c r="I148" s="751">
        <v>-0.7142857142857143</v>
      </c>
      <c r="J148" s="752"/>
      <c r="K148" s="577">
        <v>4.4000000000000004</v>
      </c>
      <c r="L148" s="578">
        <v>0</v>
      </c>
      <c r="M148" s="577">
        <v>4.4000000000000004</v>
      </c>
      <c r="N148" s="577">
        <v>0.85592968409920056</v>
      </c>
      <c r="O148" s="579">
        <v>0.19452947365890921</v>
      </c>
    </row>
    <row r="149" spans="1:15" x14ac:dyDescent="0.45">
      <c r="A149" s="576">
        <v>433371</v>
      </c>
      <c r="B149" s="83"/>
      <c r="C149" s="84" t="s">
        <v>521</v>
      </c>
      <c r="D149" s="85" t="s">
        <v>522</v>
      </c>
      <c r="E149" s="85" t="s">
        <v>520</v>
      </c>
      <c r="F149" s="109" t="s">
        <v>462</v>
      </c>
      <c r="G149" s="86">
        <v>3000</v>
      </c>
      <c r="H149" s="110">
        <v>0.7142857142857143</v>
      </c>
      <c r="I149" s="751">
        <v>-0.7142857142857143</v>
      </c>
      <c r="J149" s="752"/>
      <c r="K149" s="580">
        <v>4.4000000000000004</v>
      </c>
      <c r="L149" s="578">
        <v>0</v>
      </c>
      <c r="M149" s="577">
        <v>4.4000000000000004</v>
      </c>
      <c r="N149" s="577">
        <v>0.87354770464312015</v>
      </c>
      <c r="O149" s="579">
        <v>0.19853356923707274</v>
      </c>
    </row>
    <row r="150" spans="1:15" x14ac:dyDescent="0.45">
      <c r="A150" s="576">
        <v>433372</v>
      </c>
      <c r="B150" s="83"/>
      <c r="C150" s="84" t="s">
        <v>523</v>
      </c>
      <c r="D150" s="85" t="s">
        <v>524</v>
      </c>
      <c r="E150" s="85" t="s">
        <v>520</v>
      </c>
      <c r="F150" s="109" t="s">
        <v>462</v>
      </c>
      <c r="G150" s="86">
        <v>3000</v>
      </c>
      <c r="H150" s="110">
        <v>0.7142857142857143</v>
      </c>
      <c r="I150" s="751">
        <v>-0.7142857142857143</v>
      </c>
      <c r="J150" s="752"/>
      <c r="K150" s="580">
        <v>4.8</v>
      </c>
      <c r="L150" s="578">
        <v>0</v>
      </c>
      <c r="M150" s="577">
        <v>4.8</v>
      </c>
      <c r="N150" s="577">
        <v>0.82644365885560989</v>
      </c>
      <c r="O150" s="579">
        <v>0.1721757622615854</v>
      </c>
    </row>
    <row r="151" spans="1:15" x14ac:dyDescent="0.45">
      <c r="A151" s="576">
        <v>435422</v>
      </c>
      <c r="B151" s="83"/>
      <c r="C151" s="84" t="s">
        <v>525</v>
      </c>
      <c r="D151" s="85" t="s">
        <v>526</v>
      </c>
      <c r="E151" s="85" t="s">
        <v>520</v>
      </c>
      <c r="F151" s="109" t="s">
        <v>462</v>
      </c>
      <c r="G151" s="86">
        <v>3000</v>
      </c>
      <c r="H151" s="110">
        <v>0.7142857142857143</v>
      </c>
      <c r="I151" s="751">
        <v>-0.7142857142857143</v>
      </c>
      <c r="J151" s="752"/>
      <c r="K151" s="580">
        <v>4.8</v>
      </c>
      <c r="L151" s="578">
        <v>0</v>
      </c>
      <c r="M151" s="577">
        <v>4.8</v>
      </c>
      <c r="N151" s="577">
        <v>0.81458294286390975</v>
      </c>
      <c r="O151" s="579">
        <v>0.16970477976331455</v>
      </c>
    </row>
    <row r="152" spans="1:15" x14ac:dyDescent="0.45">
      <c r="A152" s="576">
        <v>435421</v>
      </c>
      <c r="B152" s="83"/>
      <c r="C152" s="84" t="s">
        <v>527</v>
      </c>
      <c r="D152" s="85" t="s">
        <v>528</v>
      </c>
      <c r="E152" s="85" t="s">
        <v>520</v>
      </c>
      <c r="F152" s="109" t="s">
        <v>462</v>
      </c>
      <c r="G152" s="86">
        <v>3000</v>
      </c>
      <c r="H152" s="110">
        <v>0.7142857142857143</v>
      </c>
      <c r="I152" s="751">
        <v>-0.7142857142857143</v>
      </c>
      <c r="J152" s="752"/>
      <c r="K152" s="580">
        <v>4.8</v>
      </c>
      <c r="L152" s="578">
        <v>0</v>
      </c>
      <c r="M152" s="577">
        <v>4.8</v>
      </c>
      <c r="N152" s="577">
        <v>0.21186461094880571</v>
      </c>
      <c r="O152" s="579">
        <v>4.4138460614334525E-2</v>
      </c>
    </row>
    <row r="153" spans="1:15" x14ac:dyDescent="0.45">
      <c r="A153" s="581"/>
      <c r="B153" s="582"/>
      <c r="C153" s="583" t="str">
        <f>IFERROR(VLOOKUP(A153,[1]!SKUData[#Data],2,FALSE),"")</f>
        <v/>
      </c>
      <c r="D153" s="584" t="str">
        <f>IFERROR(VLOOKUP($B153,[1]!SKUData[#Data],12,FALSE),"")</f>
        <v/>
      </c>
      <c r="E153" s="584" t="str">
        <f>IFERROR(VLOOKUP($B153,[1]!SKUData[#Data],16,FALSE),"")</f>
        <v/>
      </c>
      <c r="F153" s="585" t="str">
        <f>IFERROR(VLOOKUP($B153,[1]!SKUData[#Data],17,FALSE),"")</f>
        <v/>
      </c>
      <c r="G153" s="586" t="e">
        <f>IF(SUMIFS([1]!Table2[Freight Cost],[1]!Table2[No],#REF!,[1]!Table2[Material],#REF!)=0,"",SUMIFS([1]!Table2[Freight Cost],[1]!Table2[No],#REF!,[1]!Table2[Material],A153))</f>
        <v>#REF!</v>
      </c>
      <c r="H153" s="587" t="str">
        <f t="shared" ref="H153" si="0">IFERROR(IF($H$25="40 HQ",G153/VLOOKUP(A153,$B$13:$O$20,9,FALSE),G153/VLOOKUP(A153,$B$13:$O$20,8,FALSE)),"")</f>
        <v/>
      </c>
      <c r="I153" s="739"/>
      <c r="J153" s="740"/>
      <c r="K153" s="588" t="e">
        <f>IF(SUMIFS([1]!Table2[New CIF],[1]!Table2[No],#REF!,[1]!Table2[Material],#REF!)=0,"",SUMIFS([1]!Table2[New CIF],[1]!Table2[No],#REF!,[1]!Table2[Material],A153))</f>
        <v>#REF!</v>
      </c>
      <c r="L153" s="589" t="s">
        <v>488</v>
      </c>
      <c r="M153" s="590" t="s">
        <v>488</v>
      </c>
      <c r="N153" s="590" t="s">
        <v>488</v>
      </c>
      <c r="O153" s="591" t="s">
        <v>488</v>
      </c>
    </row>
    <row r="154" spans="1:15" x14ac:dyDescent="0.4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</row>
    <row r="155" spans="1:15" x14ac:dyDescent="0.45">
      <c r="A155" s="592" t="s">
        <v>514</v>
      </c>
      <c r="B155" s="592"/>
      <c r="C155" s="592"/>
      <c r="D155" s="593" t="s">
        <v>488</v>
      </c>
      <c r="E155" s="593" t="s">
        <v>488</v>
      </c>
      <c r="F155" s="593" t="s">
        <v>488</v>
      </c>
      <c r="G155" s="593" t="s">
        <v>488</v>
      </c>
      <c r="H155" s="593" t="s">
        <v>488</v>
      </c>
      <c r="I155" s="593" t="s">
        <v>488</v>
      </c>
      <c r="J155" s="594"/>
      <c r="K155" s="592" t="s">
        <v>488</v>
      </c>
      <c r="L155" s="592" t="s">
        <v>488</v>
      </c>
      <c r="M155" s="55"/>
      <c r="N155" s="55"/>
    </row>
    <row r="156" spans="1:15" x14ac:dyDescent="0.45">
      <c r="A156" s="741" t="s">
        <v>142</v>
      </c>
      <c r="B156" s="742"/>
      <c r="C156" s="595" t="s">
        <v>153</v>
      </c>
      <c r="D156" s="595" t="s">
        <v>183</v>
      </c>
      <c r="E156" s="595" t="s">
        <v>122</v>
      </c>
      <c r="F156" s="595" t="s">
        <v>184</v>
      </c>
      <c r="G156" s="595" t="s">
        <v>185</v>
      </c>
      <c r="H156" s="743" t="s">
        <v>490</v>
      </c>
      <c r="I156" s="745" t="s">
        <v>491</v>
      </c>
      <c r="J156" s="743" t="s">
        <v>492</v>
      </c>
      <c r="K156" s="747" t="s">
        <v>515</v>
      </c>
      <c r="L156" s="748"/>
      <c r="M156" s="55"/>
    </row>
    <row r="157" spans="1:15" ht="26.25" customHeight="1" x14ac:dyDescent="0.45">
      <c r="A157" s="749" t="s">
        <v>183</v>
      </c>
      <c r="B157" s="750"/>
      <c r="C157" s="596" t="s">
        <v>488</v>
      </c>
      <c r="D157" s="597" t="s">
        <v>488</v>
      </c>
      <c r="E157" s="597" t="s">
        <v>488</v>
      </c>
      <c r="F157" s="597" t="s">
        <v>190</v>
      </c>
      <c r="G157" s="597" t="s">
        <v>191</v>
      </c>
      <c r="H157" s="744"/>
      <c r="I157" s="746"/>
      <c r="J157" s="744"/>
      <c r="K157" s="599" t="s">
        <v>195</v>
      </c>
      <c r="L157" s="600" t="s">
        <v>196</v>
      </c>
      <c r="M157" s="55"/>
    </row>
    <row r="158" spans="1:15" x14ac:dyDescent="0.45">
      <c r="A158" s="601" t="s">
        <v>202</v>
      </c>
      <c r="B158" s="602" t="s">
        <v>488</v>
      </c>
      <c r="C158" s="602" t="s">
        <v>488</v>
      </c>
      <c r="D158" s="574" t="s">
        <v>488</v>
      </c>
      <c r="E158" s="574" t="s">
        <v>488</v>
      </c>
      <c r="F158" s="574" t="s">
        <v>488</v>
      </c>
      <c r="G158" s="574" t="s">
        <v>488</v>
      </c>
      <c r="H158" s="574" t="s">
        <v>488</v>
      </c>
      <c r="I158" s="574" t="s">
        <v>488</v>
      </c>
      <c r="J158" s="574" t="s">
        <v>488</v>
      </c>
      <c r="K158" s="574" t="s">
        <v>488</v>
      </c>
      <c r="L158" s="575" t="s">
        <v>488</v>
      </c>
      <c r="M158" s="55"/>
    </row>
    <row r="159" spans="1:15" x14ac:dyDescent="0.45">
      <c r="A159" s="603">
        <v>433370</v>
      </c>
      <c r="B159" s="574"/>
      <c r="C159" s="574" t="s">
        <v>518</v>
      </c>
      <c r="D159" s="604" t="s">
        <v>519</v>
      </c>
      <c r="E159" s="604" t="s">
        <v>520</v>
      </c>
      <c r="F159" s="605" t="s">
        <v>462</v>
      </c>
      <c r="G159" s="606">
        <v>40</v>
      </c>
      <c r="H159" s="607">
        <v>5</v>
      </c>
      <c r="I159" s="607">
        <v>0</v>
      </c>
      <c r="J159" s="564">
        <v>5</v>
      </c>
      <c r="K159" s="608">
        <v>1.4559296840992002</v>
      </c>
      <c r="L159" s="609">
        <v>0.29118593681984006</v>
      </c>
      <c r="M159" s="610"/>
      <c r="N159" s="611"/>
    </row>
    <row r="160" spans="1:15" x14ac:dyDescent="0.45">
      <c r="A160" s="603">
        <v>433371</v>
      </c>
      <c r="B160" s="574"/>
      <c r="C160" s="574" t="s">
        <v>521</v>
      </c>
      <c r="D160" s="604" t="s">
        <v>522</v>
      </c>
      <c r="E160" s="604" t="s">
        <v>520</v>
      </c>
      <c r="F160" s="605" t="s">
        <v>462</v>
      </c>
      <c r="G160" s="606">
        <v>40</v>
      </c>
      <c r="H160" s="607">
        <v>5</v>
      </c>
      <c r="I160" s="607">
        <v>0</v>
      </c>
      <c r="J160" s="564">
        <v>5</v>
      </c>
      <c r="K160" s="608">
        <v>1.4735477046431198</v>
      </c>
      <c r="L160" s="609">
        <v>0.29470954092862395</v>
      </c>
      <c r="M160" s="55"/>
    </row>
    <row r="161" spans="1:14" x14ac:dyDescent="0.45">
      <c r="A161" s="603">
        <v>433372</v>
      </c>
      <c r="B161" s="574"/>
      <c r="C161" s="574" t="s">
        <v>523</v>
      </c>
      <c r="D161" s="604" t="s">
        <v>524</v>
      </c>
      <c r="E161" s="604" t="s">
        <v>520</v>
      </c>
      <c r="F161" s="605" t="s">
        <v>462</v>
      </c>
      <c r="G161" s="606">
        <v>40</v>
      </c>
      <c r="H161" s="607">
        <v>5</v>
      </c>
      <c r="I161" s="607">
        <v>0</v>
      </c>
      <c r="J161" s="564">
        <v>5</v>
      </c>
      <c r="K161" s="608">
        <v>1.0264436588556101</v>
      </c>
      <c r="L161" s="609">
        <v>0.205288731771122</v>
      </c>
      <c r="M161" s="55"/>
    </row>
    <row r="162" spans="1:14" x14ac:dyDescent="0.45">
      <c r="A162" s="603">
        <v>435422</v>
      </c>
      <c r="B162" s="574"/>
      <c r="C162" s="574" t="s">
        <v>525</v>
      </c>
      <c r="D162" s="604" t="s">
        <v>526</v>
      </c>
      <c r="E162" s="604" t="s">
        <v>520</v>
      </c>
      <c r="F162" s="605" t="s">
        <v>462</v>
      </c>
      <c r="G162" s="606">
        <v>40</v>
      </c>
      <c r="H162" s="607">
        <v>5</v>
      </c>
      <c r="I162" s="607">
        <v>0</v>
      </c>
      <c r="J162" s="564">
        <v>5</v>
      </c>
      <c r="K162" s="608">
        <v>1.0145829428639099</v>
      </c>
      <c r="L162" s="609">
        <v>0.202916588572782</v>
      </c>
      <c r="M162" s="55"/>
    </row>
    <row r="163" spans="1:14" x14ac:dyDescent="0.45">
      <c r="A163" s="603">
        <v>435421</v>
      </c>
      <c r="B163" s="574"/>
      <c r="C163" s="574" t="s">
        <v>527</v>
      </c>
      <c r="D163" s="604" t="s">
        <v>528</v>
      </c>
      <c r="E163" s="604" t="s">
        <v>520</v>
      </c>
      <c r="F163" s="605" t="s">
        <v>462</v>
      </c>
      <c r="G163" s="606">
        <v>40</v>
      </c>
      <c r="H163" s="607">
        <v>5</v>
      </c>
      <c r="I163" s="607">
        <v>0</v>
      </c>
      <c r="J163" s="564">
        <v>5</v>
      </c>
      <c r="K163" s="608">
        <v>1.1261503252345202</v>
      </c>
      <c r="L163" s="609">
        <v>0.22523006504690404</v>
      </c>
      <c r="M163" s="55"/>
    </row>
    <row r="164" spans="1:14" x14ac:dyDescent="0.45">
      <c r="A164" s="612" t="s">
        <v>488</v>
      </c>
      <c r="B164" s="613" t="s">
        <v>488</v>
      </c>
      <c r="C164" s="613" t="s">
        <v>488</v>
      </c>
      <c r="D164" s="613" t="s">
        <v>488</v>
      </c>
      <c r="E164" s="613" t="s">
        <v>488</v>
      </c>
      <c r="F164" s="613" t="s">
        <v>488</v>
      </c>
      <c r="G164" s="613" t="s">
        <v>488</v>
      </c>
      <c r="H164" s="613" t="s">
        <v>488</v>
      </c>
      <c r="I164" s="613" t="s">
        <v>488</v>
      </c>
      <c r="J164" s="613" t="s">
        <v>488</v>
      </c>
      <c r="K164" s="613" t="s">
        <v>488</v>
      </c>
      <c r="L164" s="614" t="s">
        <v>488</v>
      </c>
      <c r="M164" s="55"/>
    </row>
    <row r="165" spans="1:14" x14ac:dyDescent="0.4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</row>
    <row r="166" spans="1:14" x14ac:dyDescent="0.45">
      <c r="A166" s="693" t="s">
        <v>215</v>
      </c>
      <c r="B166" s="694"/>
      <c r="C166" s="695"/>
      <c r="D166" s="693" t="s">
        <v>216</v>
      </c>
      <c r="E166" s="694"/>
      <c r="F166" s="694"/>
      <c r="G166" s="694"/>
      <c r="H166" s="695"/>
      <c r="I166" s="693" t="s">
        <v>217</v>
      </c>
      <c r="J166" s="694"/>
      <c r="K166" s="694"/>
      <c r="L166" s="694"/>
      <c r="M166" s="694"/>
      <c r="N166" s="695"/>
    </row>
    <row r="167" spans="1:14" x14ac:dyDescent="0.45">
      <c r="A167" s="125"/>
      <c r="B167" s="55"/>
      <c r="C167" s="126"/>
      <c r="D167" s="125"/>
      <c r="E167" s="55"/>
      <c r="F167" s="55"/>
      <c r="G167" s="55"/>
      <c r="H167" s="126"/>
      <c r="I167" s="125"/>
      <c r="J167" s="55"/>
      <c r="K167" s="55"/>
      <c r="L167" s="55"/>
      <c r="M167" s="55"/>
      <c r="N167" s="126"/>
    </row>
    <row r="168" spans="1:14" x14ac:dyDescent="0.45">
      <c r="A168" s="125"/>
      <c r="B168" s="55"/>
      <c r="C168" s="126"/>
      <c r="D168" s="125"/>
      <c r="E168" s="55"/>
      <c r="F168" s="55"/>
      <c r="G168" s="55"/>
      <c r="H168" s="126"/>
      <c r="I168" s="125"/>
      <c r="J168" s="55"/>
      <c r="K168" s="55"/>
      <c r="L168" s="55"/>
      <c r="M168" s="55"/>
      <c r="N168" s="126"/>
    </row>
    <row r="169" spans="1:14" x14ac:dyDescent="0.45">
      <c r="A169" s="125"/>
      <c r="B169" s="55"/>
      <c r="C169" s="126"/>
      <c r="D169" s="125"/>
      <c r="E169" s="55"/>
      <c r="F169" s="55"/>
      <c r="G169" s="55"/>
      <c r="H169" s="126"/>
      <c r="I169" s="125"/>
      <c r="J169" s="55"/>
      <c r="K169" s="55"/>
      <c r="L169" s="55"/>
      <c r="M169" s="55"/>
      <c r="N169" s="126"/>
    </row>
    <row r="170" spans="1:14" x14ac:dyDescent="0.45">
      <c r="A170" s="125"/>
      <c r="B170" s="55"/>
      <c r="C170" s="126"/>
      <c r="D170" s="125"/>
      <c r="E170" s="55"/>
      <c r="F170" s="55"/>
      <c r="G170" s="55"/>
      <c r="H170" s="126"/>
      <c r="I170" s="125"/>
      <c r="J170" s="55"/>
      <c r="K170" s="55"/>
      <c r="L170" s="55"/>
      <c r="M170" s="55"/>
      <c r="N170" s="126"/>
    </row>
    <row r="171" spans="1:14" x14ac:dyDescent="0.45">
      <c r="A171" s="125"/>
      <c r="B171" s="55"/>
      <c r="C171" s="126"/>
      <c r="D171" s="125"/>
      <c r="E171" s="55"/>
      <c r="F171" s="55"/>
      <c r="G171" s="55"/>
      <c r="H171" s="126"/>
      <c r="I171" s="125"/>
      <c r="J171" s="55"/>
      <c r="K171" s="55"/>
      <c r="L171" s="55"/>
      <c r="M171" s="55"/>
      <c r="N171" s="126"/>
    </row>
    <row r="172" spans="1:14" x14ac:dyDescent="0.45">
      <c r="A172" s="696" t="s">
        <v>466</v>
      </c>
      <c r="B172" s="697"/>
      <c r="C172" s="698"/>
      <c r="D172" s="696" t="s">
        <v>218</v>
      </c>
      <c r="E172" s="697"/>
      <c r="F172" s="697" t="s">
        <v>219</v>
      </c>
      <c r="G172" s="697"/>
      <c r="H172" s="698"/>
      <c r="I172" s="696" t="s">
        <v>494</v>
      </c>
      <c r="J172" s="697"/>
      <c r="K172" s="697"/>
      <c r="L172" s="697"/>
      <c r="M172" s="697"/>
      <c r="N172" s="698"/>
    </row>
    <row r="179" spans="1:21" x14ac:dyDescent="0.45">
      <c r="A179" s="53" t="s">
        <v>177</v>
      </c>
      <c r="B179" s="53" t="s">
        <v>178</v>
      </c>
      <c r="C179" s="54">
        <v>1749</v>
      </c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spans="1:21" x14ac:dyDescent="0.45">
      <c r="A180" s="53" t="s">
        <v>109</v>
      </c>
      <c r="B180" s="53" t="s">
        <v>178</v>
      </c>
      <c r="C180" s="55" t="s">
        <v>113</v>
      </c>
      <c r="D180" s="56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spans="1:21" x14ac:dyDescent="0.45">
      <c r="A181" s="53" t="s">
        <v>7</v>
      </c>
      <c r="B181" s="53" t="s">
        <v>178</v>
      </c>
      <c r="C181" s="55" t="s">
        <v>19</v>
      </c>
      <c r="D181" s="56"/>
      <c r="E181" s="56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spans="1:21" x14ac:dyDescent="0.45">
      <c r="A182" s="53" t="s">
        <v>140</v>
      </c>
      <c r="B182" s="53" t="s">
        <v>178</v>
      </c>
      <c r="C182" s="55" t="s">
        <v>542</v>
      </c>
      <c r="D182" s="56"/>
      <c r="E182" s="56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spans="1:21" x14ac:dyDescent="0.45">
      <c r="A183" s="53" t="s">
        <v>141</v>
      </c>
      <c r="B183" s="53" t="s">
        <v>178</v>
      </c>
      <c r="C183" s="55" t="s">
        <v>543</v>
      </c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spans="1:21" x14ac:dyDescent="0.45">
      <c r="A184" s="53" t="s">
        <v>179</v>
      </c>
      <c r="B184" s="53" t="s">
        <v>178</v>
      </c>
      <c r="C184" s="57">
        <v>45653</v>
      </c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spans="1:21" x14ac:dyDescent="0.4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spans="1:21" x14ac:dyDescent="0.45">
      <c r="A186" s="58" t="s">
        <v>180</v>
      </c>
      <c r="B186" s="58"/>
      <c r="C186" s="58"/>
      <c r="D186" s="59"/>
      <c r="E186" s="59"/>
      <c r="F186" s="59"/>
      <c r="G186" s="59"/>
      <c r="H186" s="59"/>
      <c r="I186" s="59"/>
      <c r="J186" s="55"/>
      <c r="K186" s="55"/>
      <c r="L186" s="60"/>
      <c r="M186" s="616"/>
      <c r="N186" s="617"/>
      <c r="O186" s="618" t="s">
        <v>529</v>
      </c>
    </row>
    <row r="187" spans="1:21" x14ac:dyDescent="0.45">
      <c r="A187" s="704" t="s">
        <v>142</v>
      </c>
      <c r="B187" s="705"/>
      <c r="C187" s="62" t="s">
        <v>153</v>
      </c>
      <c r="D187" s="62" t="s">
        <v>183</v>
      </c>
      <c r="E187" s="62" t="s">
        <v>122</v>
      </c>
      <c r="F187" s="62" t="s">
        <v>184</v>
      </c>
      <c r="G187" s="62" t="s">
        <v>185</v>
      </c>
      <c r="H187" s="702" t="s">
        <v>186</v>
      </c>
      <c r="I187" s="703"/>
      <c r="J187" s="63" t="s">
        <v>187</v>
      </c>
      <c r="K187" s="63"/>
      <c r="L187" s="702" t="s">
        <v>530</v>
      </c>
      <c r="M187" s="703"/>
      <c r="N187" s="702" t="s">
        <v>531</v>
      </c>
      <c r="O187" s="703"/>
    </row>
    <row r="188" spans="1:21" x14ac:dyDescent="0.45">
      <c r="A188" s="706" t="s">
        <v>183</v>
      </c>
      <c r="B188" s="707"/>
      <c r="C188" s="66"/>
      <c r="D188" s="67"/>
      <c r="E188" s="67"/>
      <c r="F188" s="67" t="s">
        <v>190</v>
      </c>
      <c r="G188" s="67" t="s">
        <v>191</v>
      </c>
      <c r="H188" s="62" t="s">
        <v>148</v>
      </c>
      <c r="I188" s="62">
        <v>40</v>
      </c>
      <c r="J188" s="62" t="s">
        <v>182</v>
      </c>
      <c r="K188" s="62" t="s">
        <v>182</v>
      </c>
      <c r="L188" s="68" t="s">
        <v>193</v>
      </c>
      <c r="M188" s="68" t="s">
        <v>194</v>
      </c>
      <c r="N188" s="62" t="s">
        <v>532</v>
      </c>
      <c r="O188" s="62" t="s">
        <v>196</v>
      </c>
    </row>
    <row r="189" spans="1:21" x14ac:dyDescent="0.45">
      <c r="A189" s="69"/>
      <c r="B189" s="70"/>
      <c r="C189" s="71"/>
      <c r="D189" s="72"/>
      <c r="E189" s="72"/>
      <c r="F189" s="72"/>
      <c r="G189" s="72"/>
      <c r="H189" s="72"/>
      <c r="I189" s="72" t="s">
        <v>197</v>
      </c>
      <c r="J189" s="72" t="s">
        <v>198</v>
      </c>
      <c r="K189" s="72" t="s">
        <v>199</v>
      </c>
      <c r="L189" s="73" t="s">
        <v>200</v>
      </c>
      <c r="M189" s="67" t="s">
        <v>200</v>
      </c>
      <c r="N189" s="72"/>
      <c r="O189" s="72" t="s">
        <v>201</v>
      </c>
    </row>
    <row r="190" spans="1:21" x14ac:dyDescent="0.45">
      <c r="A190" s="74" t="s">
        <v>533</v>
      </c>
      <c r="B190" s="75"/>
      <c r="C190" s="76"/>
      <c r="D190" s="77"/>
      <c r="E190" s="77"/>
      <c r="F190" s="77"/>
      <c r="G190" s="77"/>
      <c r="H190" s="78"/>
      <c r="I190" s="78"/>
      <c r="J190" s="78"/>
      <c r="K190" s="79"/>
      <c r="L190" s="80"/>
      <c r="M190" s="80"/>
      <c r="N190" s="79"/>
      <c r="O190" s="81"/>
    </row>
    <row r="191" spans="1:21" x14ac:dyDescent="0.45">
      <c r="A191" s="82">
        <v>437906</v>
      </c>
      <c r="B191" s="83"/>
      <c r="C191" s="84" t="s">
        <v>544</v>
      </c>
      <c r="D191" s="85" t="s">
        <v>545</v>
      </c>
      <c r="E191" s="85" t="s">
        <v>546</v>
      </c>
      <c r="F191" s="85" t="s">
        <v>547</v>
      </c>
      <c r="G191" s="85">
        <v>40</v>
      </c>
      <c r="H191" s="86" t="s">
        <v>222</v>
      </c>
      <c r="I191" s="86">
        <v>2325</v>
      </c>
      <c r="J191" s="619">
        <v>3084</v>
      </c>
      <c r="K191" s="619">
        <v>123360</v>
      </c>
      <c r="L191" s="619" t="s">
        <v>222</v>
      </c>
      <c r="M191" s="620">
        <v>180000</v>
      </c>
      <c r="N191" s="619">
        <v>56640</v>
      </c>
      <c r="O191" s="89">
        <v>0.31466666666666665</v>
      </c>
      <c r="U191" s="621"/>
    </row>
    <row r="192" spans="1:21" x14ac:dyDescent="0.45">
      <c r="A192" s="82">
        <v>437907</v>
      </c>
      <c r="B192" s="83"/>
      <c r="C192" s="84" t="s">
        <v>548</v>
      </c>
      <c r="D192" s="85" t="s">
        <v>549</v>
      </c>
      <c r="E192" s="85" t="s">
        <v>546</v>
      </c>
      <c r="F192" s="85" t="s">
        <v>550</v>
      </c>
      <c r="G192" s="85">
        <v>40</v>
      </c>
      <c r="H192" s="86" t="s">
        <v>222</v>
      </c>
      <c r="I192" s="86">
        <v>2325</v>
      </c>
      <c r="J192" s="619">
        <v>3650</v>
      </c>
      <c r="K192" s="619">
        <v>146000</v>
      </c>
      <c r="L192" s="619" t="s">
        <v>222</v>
      </c>
      <c r="M192" s="620">
        <v>212000</v>
      </c>
      <c r="N192" s="619">
        <v>66000</v>
      </c>
      <c r="O192" s="89">
        <v>0.31132075471698112</v>
      </c>
    </row>
    <row r="193" spans="1:21" x14ac:dyDescent="0.45">
      <c r="A193" s="90"/>
      <c r="B193" s="91"/>
      <c r="C193" s="92" t="str">
        <f>IFERROR(VLOOKUP($B193,[1]!SKUData[#Data],2,FALSE),"")</f>
        <v/>
      </c>
      <c r="D193" s="93" t="str">
        <f>IFERROR(VLOOKUP($B193,[1]!SKUData[#Data],12,FALSE),"")</f>
        <v/>
      </c>
      <c r="E193" s="93" t="str">
        <f>IFERROR(VLOOKUP($B193,[1]!SKUData[#Data],16,FALSE),"")</f>
        <v/>
      </c>
      <c r="F193" s="93" t="str">
        <f>IFERROR(VLOOKUP($B193,[1]!SKUData[#Data],17,FALSE),"")</f>
        <v/>
      </c>
      <c r="G193" s="93" t="str">
        <f>IFERROR(VLOOKUP($B193,[1]!SKUData[#Data],15,FALSE),"")</f>
        <v/>
      </c>
      <c r="H193" s="94" t="e">
        <f>IF(SUMIFS([1]!Table2[20''],[1]!Table2[No],#REF!,[1]!Table2[Material],#REF!)=0,"",SUMIFS([1]!Table2[20''],[1]!Table2[No],#REF!,[1]!Table2[Material],A193))</f>
        <v>#REF!</v>
      </c>
      <c r="I193" s="94" t="e">
        <f>IF(SUMIFS([1]!Table2[40'' HQ],[1]!Table2[No],#REF!,[1]!Table2[Material],#REF!)=0,"",SUMIFS([1]!Table2[40'' HQ],[1]!Table2[No],#REF!,[1]!Table2[Material],A193))</f>
        <v>#REF!</v>
      </c>
      <c r="J193" s="94" t="e">
        <f>IF(SUMIFS([1]!Table2[COGS],[1]!Table2[No],#REF!,[1]!Table2[Material],#REF!)=0,"",SUMIFS([1]!Table2[COGS],[1]!Table2[No],#REF!,[1]!Table2[Material],A193))</f>
        <v>#REF!</v>
      </c>
      <c r="K193" s="95" t="e">
        <f>IF(SUMIFS([1]!Table2[COGS (USD)],[1]!Table2[No],#REF!,[1]!Table2[Material],#REF!)=0,"",SUMIFS([1]!Table2[COGS (USD)],[1]!Table2[No],#REF!,[1]!Table2[Material],A193))</f>
        <v>#REF!</v>
      </c>
      <c r="L193" s="96" t="e">
        <f>IF(SUMIFS([1]!Table2[Old FOB],[1]!Table2[No],#REF!,[1]!Table2[Material],#REF!)=0,"",SUMIFS([1]!Table2[Old FOB],[1]!Table2[No],#REF!,[1]!Table2[Material],A193))</f>
        <v>#REF!</v>
      </c>
      <c r="M193" s="96" t="e">
        <f>IF(SUMIFS([1]!Table2[New FOB],[1]!Table2[No],#REF!,[1]!Table2[Material],#REF!)=0,"",SUMIFS([1]!Table2[New FOB],[1]!Table2[No],#REF!,[1]!Table2[Material],A193))</f>
        <v>#REF!</v>
      </c>
      <c r="N193" s="95" t="e">
        <f t="shared" ref="N193" si="1">IF(M193="","",M193-K193)</f>
        <v>#REF!</v>
      </c>
      <c r="O193" s="97" t="str">
        <f t="shared" ref="O193" si="2">IFERROR(N193/M193,"")</f>
        <v/>
      </c>
    </row>
    <row r="194" spans="1:21" x14ac:dyDescent="0.45">
      <c r="A194" s="98"/>
      <c r="B194" s="55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1:21" x14ac:dyDescent="0.45">
      <c r="A195" s="99" t="str">
        <f>CONCATENATE("CIF ",C183)</f>
        <v>CIF Port Klang</v>
      </c>
      <c r="B195" s="58"/>
      <c r="C195" s="58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1:21" ht="26.65" customHeight="1" x14ac:dyDescent="0.45">
      <c r="A196" s="753" t="s">
        <v>142</v>
      </c>
      <c r="B196" s="754"/>
      <c r="C196" s="622" t="s">
        <v>153</v>
      </c>
      <c r="D196" s="622" t="s">
        <v>183</v>
      </c>
      <c r="E196" s="622" t="s">
        <v>122</v>
      </c>
      <c r="F196" s="622" t="s">
        <v>184</v>
      </c>
      <c r="G196" s="623" t="s">
        <v>147</v>
      </c>
      <c r="H196" s="624"/>
      <c r="I196" s="625" t="s">
        <v>203</v>
      </c>
      <c r="J196" s="626"/>
      <c r="K196" s="755" t="s">
        <v>534</v>
      </c>
      <c r="L196" s="758" t="s">
        <v>535</v>
      </c>
      <c r="M196" s="759"/>
      <c r="N196" s="758" t="s">
        <v>189</v>
      </c>
      <c r="O196" s="759"/>
      <c r="P196" s="628" t="s">
        <v>536</v>
      </c>
      <c r="Q196" s="760" t="s">
        <v>537</v>
      </c>
      <c r="R196" s="761"/>
      <c r="S196" s="762" t="s">
        <v>538</v>
      </c>
      <c r="T196" s="763"/>
      <c r="U196" s="629" t="s">
        <v>488</v>
      </c>
    </row>
    <row r="197" spans="1:21" x14ac:dyDescent="0.45">
      <c r="A197" s="706" t="s">
        <v>183</v>
      </c>
      <c r="B197" s="707"/>
      <c r="C197" s="66"/>
      <c r="D197" s="67"/>
      <c r="E197" s="67"/>
      <c r="F197" s="67" t="s">
        <v>190</v>
      </c>
      <c r="G197" s="67" t="s">
        <v>539</v>
      </c>
      <c r="H197" s="67" t="s">
        <v>539</v>
      </c>
      <c r="I197" s="62" t="s">
        <v>196</v>
      </c>
      <c r="J197" s="62" t="s">
        <v>208</v>
      </c>
      <c r="K197" s="756"/>
      <c r="L197" s="101" t="s">
        <v>193</v>
      </c>
      <c r="M197" s="101" t="s">
        <v>210</v>
      </c>
      <c r="N197" s="62" t="s">
        <v>532</v>
      </c>
      <c r="O197" s="62" t="s">
        <v>196</v>
      </c>
      <c r="P197" s="67" t="s">
        <v>540</v>
      </c>
      <c r="Q197" s="755" t="s">
        <v>532</v>
      </c>
      <c r="R197" s="62" t="s">
        <v>196</v>
      </c>
      <c r="S197" s="630" t="s">
        <v>532</v>
      </c>
      <c r="T197" s="631" t="s">
        <v>196</v>
      </c>
      <c r="U197" s="632" t="s">
        <v>541</v>
      </c>
    </row>
    <row r="198" spans="1:21" x14ac:dyDescent="0.45">
      <c r="A198" s="102"/>
      <c r="B198" s="103"/>
      <c r="C198" s="71"/>
      <c r="D198" s="72"/>
      <c r="E198" s="72"/>
      <c r="F198" s="72"/>
      <c r="G198" s="72" t="s">
        <v>211</v>
      </c>
      <c r="H198" s="72" t="s">
        <v>212</v>
      </c>
      <c r="I198" s="72" t="s">
        <v>213</v>
      </c>
      <c r="J198" s="72" t="s">
        <v>182</v>
      </c>
      <c r="K198" s="757"/>
      <c r="L198" s="104" t="s">
        <v>200</v>
      </c>
      <c r="M198" s="104" t="s">
        <v>200</v>
      </c>
      <c r="N198" s="72"/>
      <c r="O198" s="72" t="s">
        <v>201</v>
      </c>
      <c r="P198" s="72"/>
      <c r="Q198" s="757"/>
      <c r="R198" s="72" t="s">
        <v>201</v>
      </c>
      <c r="S198" s="634" t="s">
        <v>488</v>
      </c>
      <c r="T198" s="635" t="s">
        <v>541</v>
      </c>
      <c r="U198" s="636" t="s">
        <v>488</v>
      </c>
    </row>
    <row r="199" spans="1:21" x14ac:dyDescent="0.45">
      <c r="A199" s="105" t="s">
        <v>533</v>
      </c>
      <c r="B199" s="106"/>
      <c r="C199" s="107"/>
      <c r="D199" s="85"/>
      <c r="E199" s="85"/>
      <c r="F199" s="85"/>
      <c r="G199" s="85"/>
      <c r="H199" s="86"/>
      <c r="I199" s="86"/>
      <c r="J199" s="86"/>
      <c r="K199" s="87"/>
      <c r="L199" s="88"/>
      <c r="M199" s="88"/>
      <c r="N199" s="87"/>
      <c r="O199" s="108"/>
      <c r="P199" s="87"/>
      <c r="Q199" s="87"/>
      <c r="R199" s="108"/>
      <c r="S199" s="637" t="s">
        <v>488</v>
      </c>
      <c r="T199" s="574" t="s">
        <v>488</v>
      </c>
      <c r="U199" s="575" t="s">
        <v>488</v>
      </c>
    </row>
    <row r="200" spans="1:21" x14ac:dyDescent="0.45">
      <c r="A200" s="82">
        <v>437906</v>
      </c>
      <c r="B200" s="83"/>
      <c r="C200" s="84" t="s">
        <v>544</v>
      </c>
      <c r="D200" s="85" t="s">
        <v>545</v>
      </c>
      <c r="E200" s="85" t="s">
        <v>546</v>
      </c>
      <c r="F200" s="109" t="s">
        <v>547</v>
      </c>
      <c r="G200" s="86">
        <v>4800000</v>
      </c>
      <c r="H200" s="638">
        <v>2064.516129032258</v>
      </c>
      <c r="I200" s="111">
        <v>4.2500000000000003E-4</v>
      </c>
      <c r="J200" s="112">
        <v>57.800000000000004</v>
      </c>
      <c r="K200" s="86">
        <v>125482.31612903226</v>
      </c>
      <c r="L200" s="619" t="s">
        <v>222</v>
      </c>
      <c r="M200" s="620">
        <v>184000</v>
      </c>
      <c r="N200" s="639">
        <v>58517.683870967739</v>
      </c>
      <c r="O200" s="114">
        <v>0.32509824372759855</v>
      </c>
      <c r="P200" s="87">
        <v>0</v>
      </c>
      <c r="Q200" s="640">
        <v>5659.6239999999998</v>
      </c>
      <c r="R200" s="114">
        <v>3.1442355555555551E-2</v>
      </c>
      <c r="S200" s="641">
        <v>46706.68</v>
      </c>
      <c r="T200" s="642">
        <v>0.22841686228482003</v>
      </c>
      <c r="U200" s="643">
        <v>204480</v>
      </c>
    </row>
    <row r="201" spans="1:21" x14ac:dyDescent="0.45">
      <c r="A201" s="82">
        <v>437907</v>
      </c>
      <c r="B201" s="83"/>
      <c r="C201" s="84" t="s">
        <v>548</v>
      </c>
      <c r="D201" s="85" t="s">
        <v>549</v>
      </c>
      <c r="E201" s="85" t="s">
        <v>546</v>
      </c>
      <c r="F201" s="109" t="s">
        <v>550</v>
      </c>
      <c r="G201" s="86">
        <v>4800000</v>
      </c>
      <c r="H201" s="638">
        <v>2064.516129032258</v>
      </c>
      <c r="I201" s="111">
        <v>4.2500000000000003E-4</v>
      </c>
      <c r="J201" s="112">
        <v>68.680000000000007</v>
      </c>
      <c r="K201" s="86">
        <v>148133.19612903227</v>
      </c>
      <c r="L201" s="619" t="s">
        <v>222</v>
      </c>
      <c r="M201" s="620">
        <v>216000</v>
      </c>
      <c r="N201" s="639">
        <v>67866.803870967735</v>
      </c>
      <c r="O201" s="114">
        <v>0.3201264333536214</v>
      </c>
      <c r="P201" s="87">
        <v>0</v>
      </c>
      <c r="Q201" s="640">
        <v>8619.6239999999998</v>
      </c>
      <c r="R201" s="114">
        <v>4.0658603773584906E-2</v>
      </c>
      <c r="S201" s="641">
        <v>24066.68</v>
      </c>
      <c r="T201" s="642">
        <v>0.11769698748043819</v>
      </c>
      <c r="U201" s="643">
        <v>204480</v>
      </c>
    </row>
    <row r="202" spans="1:21" x14ac:dyDescent="0.45">
      <c r="A202" s="90"/>
      <c r="B202" s="91"/>
      <c r="C202" s="92" t="str">
        <f>IFERROR(VLOOKUP(A202,[1]!SKUData[#Data],2,FALSE),"")</f>
        <v/>
      </c>
      <c r="D202" s="93" t="str">
        <f>IFERROR(VLOOKUP($B202,[1]!SKUData[#Data],12,FALSE),"")</f>
        <v/>
      </c>
      <c r="E202" s="93" t="str">
        <f>IFERROR(VLOOKUP($B202,[1]!SKUData[#Data],16,FALSE),"")</f>
        <v/>
      </c>
      <c r="F202" s="115" t="str">
        <f>IFERROR(VLOOKUP($B202,[1]!SKUData[#Data],17,FALSE),"")</f>
        <v/>
      </c>
      <c r="G202" s="116" t="e">
        <f>IF(SUMIFS([1]!Table2[Freight Cost],[1]!Table2[No],#REF!,[1]!Table2[Material],#REF!)=0,"",SUMIFS([1]!Table2[Freight Cost],[1]!Table2[No],#REF!,[1]!Table2[Material],A202))</f>
        <v>#REF!</v>
      </c>
      <c r="H202" s="117" t="str">
        <f t="shared" ref="H202" si="3">IFERROR(IF($H$32="40 HQ",G202/VLOOKUP(A202,$B$13:$P$27,9,FALSE),G202/VLOOKUP(A202,$B$13:$P$27,8,FALSE)),"")</f>
        <v/>
      </c>
      <c r="I202" s="118"/>
      <c r="J202" s="119" t="str">
        <f>IF(I202="","",I202*M202)</f>
        <v/>
      </c>
      <c r="K202" s="95" t="str">
        <f t="shared" ref="K202" si="4">IF(I202="","",H202+J202+VLOOKUP(A202,$B$13:$P$27,11,FALSE))</f>
        <v/>
      </c>
      <c r="L202" s="96" t="e">
        <f>IF(SUMIFS([1]!Table2[Old CIF],[1]!Table2[No],#REF!,[1]!Table2[Material],#REF!)=0,"",SUMIFS([1]!Table2[Old CIF],[1]!Table2[No],#REF!,[1]!Table2[Material],A202))</f>
        <v>#REF!</v>
      </c>
      <c r="M202" s="96" t="e">
        <f>IF(SUMIFS([1]!Table2[New CIF],[1]!Table2[No],#REF!,[1]!Table2[Material],#REF!)=0,"",SUMIFS([1]!Table2[New CIF],[1]!Table2[No],#REF!,[1]!Table2[Material],A202))</f>
        <v>#REF!</v>
      </c>
      <c r="N202" s="120" t="e">
        <f t="shared" ref="N202" si="5">IF(M202="","",M202-K202)</f>
        <v>#REF!</v>
      </c>
      <c r="O202" s="121" t="str">
        <f>IFERROR(N202/SUMIFS([1]!Table2[New FOB],[1]!Table2[No],#REF!,[1]!Table2[Material],#REF!),"")</f>
        <v/>
      </c>
      <c r="P202" s="95" t="e">
        <f>IF(N202="","",M202+O202+VLOOKUP(F202,$B$13:$P$27,11,FALSE))</f>
        <v>#REF!</v>
      </c>
      <c r="Q202" s="120" t="str">
        <f>IF(O202="","",O202-M202)</f>
        <v/>
      </c>
      <c r="R202" s="121" t="str">
        <f>IFERROR(Q202/SUMIFS([1]!Table2[New FOB],[1]!Table2[No],#REF!,[1]!Table2[Material],#REF!),"")</f>
        <v/>
      </c>
      <c r="S202" s="644"/>
      <c r="T202" s="644"/>
      <c r="U202" s="645"/>
    </row>
    <row r="203" spans="1:21" x14ac:dyDescent="0.4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spans="1:21" x14ac:dyDescent="0.45">
      <c r="A204" s="693" t="s">
        <v>215</v>
      </c>
      <c r="B204" s="694"/>
      <c r="C204" s="694"/>
      <c r="D204" s="693" t="s">
        <v>216</v>
      </c>
      <c r="E204" s="694"/>
      <c r="F204" s="694"/>
      <c r="G204" s="694"/>
      <c r="H204" s="694"/>
      <c r="I204" s="695"/>
      <c r="J204" s="693" t="s">
        <v>217</v>
      </c>
      <c r="K204" s="694"/>
      <c r="L204" s="694"/>
      <c r="M204" s="694"/>
      <c r="N204" s="694"/>
      <c r="O204" s="694"/>
      <c r="P204" s="694"/>
      <c r="Q204" s="695"/>
    </row>
    <row r="205" spans="1:21" x14ac:dyDescent="0.45">
      <c r="A205" s="125"/>
      <c r="B205" s="55"/>
      <c r="C205" s="55"/>
      <c r="D205" s="125"/>
      <c r="E205" s="55"/>
      <c r="F205" s="55"/>
      <c r="G205" s="55"/>
      <c r="H205" s="55"/>
      <c r="I205" s="126"/>
      <c r="J205" s="125"/>
      <c r="K205" s="55"/>
      <c r="L205" s="55"/>
      <c r="M205" s="55"/>
      <c r="N205" s="55"/>
      <c r="O205" s="55"/>
      <c r="P205" s="55"/>
      <c r="Q205" s="126"/>
    </row>
    <row r="206" spans="1:21" x14ac:dyDescent="0.45">
      <c r="A206" s="125"/>
      <c r="B206" s="55"/>
      <c r="C206" s="55"/>
      <c r="D206" s="125"/>
      <c r="E206" s="55"/>
      <c r="F206" s="55"/>
      <c r="G206" s="55"/>
      <c r="H206" s="55"/>
      <c r="I206" s="126"/>
      <c r="J206" s="125"/>
      <c r="K206" s="55"/>
      <c r="L206" s="55"/>
      <c r="M206" s="55"/>
      <c r="N206" s="55"/>
      <c r="O206" s="55"/>
      <c r="P206" s="55"/>
      <c r="Q206" s="126"/>
    </row>
    <row r="207" spans="1:21" x14ac:dyDescent="0.45">
      <c r="A207" s="125"/>
      <c r="B207" s="55"/>
      <c r="C207" s="55"/>
      <c r="D207" s="125"/>
      <c r="E207" s="55"/>
      <c r="F207" s="55"/>
      <c r="G207" s="55"/>
      <c r="H207" s="55"/>
      <c r="I207" s="126"/>
      <c r="J207" s="125"/>
      <c r="K207" s="55"/>
      <c r="L207" s="55"/>
      <c r="M207" s="55"/>
      <c r="N207" s="55"/>
      <c r="O207" s="55"/>
      <c r="P207" s="55"/>
      <c r="Q207" s="126"/>
      <c r="S207" s="646"/>
    </row>
    <row r="208" spans="1:21" x14ac:dyDescent="0.45">
      <c r="A208" s="125"/>
      <c r="B208" s="55"/>
      <c r="C208" s="55"/>
      <c r="D208" s="125"/>
      <c r="E208" s="55"/>
      <c r="F208" s="55"/>
      <c r="G208" s="55"/>
      <c r="H208" s="55"/>
      <c r="I208" s="126"/>
      <c r="J208" s="125"/>
      <c r="K208" s="55"/>
      <c r="L208" s="55"/>
      <c r="M208" s="55"/>
      <c r="N208" s="55"/>
      <c r="O208" s="55"/>
      <c r="P208" s="55"/>
      <c r="Q208" s="126"/>
      <c r="T208" s="647"/>
    </row>
    <row r="209" spans="1:20" x14ac:dyDescent="0.45">
      <c r="A209" s="125"/>
      <c r="B209" s="55"/>
      <c r="C209" s="55"/>
      <c r="D209" s="125"/>
      <c r="E209" s="55"/>
      <c r="F209" s="55"/>
      <c r="G209" s="55"/>
      <c r="H209" s="55"/>
      <c r="I209" s="126"/>
      <c r="J209" s="125"/>
      <c r="K209" s="55"/>
      <c r="L209" s="55"/>
      <c r="M209" s="55"/>
      <c r="N209" s="55"/>
      <c r="O209" s="55"/>
      <c r="P209" s="55"/>
      <c r="Q209" s="126"/>
      <c r="T209" s="647"/>
    </row>
    <row r="210" spans="1:20" x14ac:dyDescent="0.45">
      <c r="A210" s="696" t="s">
        <v>121</v>
      </c>
      <c r="B210" s="697"/>
      <c r="C210" s="697"/>
      <c r="D210" s="696" t="s">
        <v>219</v>
      </c>
      <c r="E210" s="697"/>
      <c r="F210" s="129"/>
      <c r="G210" s="697" t="s">
        <v>218</v>
      </c>
      <c r="H210" s="697"/>
      <c r="I210" s="698"/>
      <c r="J210" s="696" t="s">
        <v>220</v>
      </c>
      <c r="K210" s="697"/>
      <c r="L210" s="697"/>
      <c r="M210" s="697"/>
      <c r="N210" s="697"/>
      <c r="O210" s="697"/>
      <c r="P210" s="697"/>
      <c r="Q210" s="698"/>
    </row>
    <row r="214" spans="1:20" x14ac:dyDescent="0.45">
      <c r="A214" s="53" t="s">
        <v>177</v>
      </c>
      <c r="B214" s="53" t="s">
        <v>178</v>
      </c>
      <c r="C214" s="54">
        <v>1796</v>
      </c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</row>
    <row r="215" spans="1:20" x14ac:dyDescent="0.45">
      <c r="A215" s="53" t="s">
        <v>109</v>
      </c>
      <c r="B215" s="53" t="s">
        <v>178</v>
      </c>
      <c r="C215" s="55" t="s">
        <v>564</v>
      </c>
      <c r="D215" s="56"/>
      <c r="E215" s="55"/>
      <c r="F215" s="55"/>
      <c r="G215" s="55"/>
      <c r="H215" s="55"/>
      <c r="I215" s="55"/>
      <c r="J215" s="55"/>
      <c r="K215" s="55"/>
      <c r="L215" s="55"/>
      <c r="M215" s="55"/>
      <c r="N215" s="55"/>
    </row>
    <row r="216" spans="1:20" x14ac:dyDescent="0.45">
      <c r="A216" s="53" t="s">
        <v>7</v>
      </c>
      <c r="B216" s="53" t="s">
        <v>178</v>
      </c>
      <c r="C216" s="55" t="s">
        <v>18</v>
      </c>
      <c r="D216" s="56"/>
      <c r="E216" s="56"/>
      <c r="F216" s="55"/>
      <c r="G216" s="55"/>
      <c r="H216" s="55"/>
      <c r="I216" s="55"/>
      <c r="J216" s="55"/>
      <c r="K216" s="55"/>
      <c r="L216" s="55"/>
      <c r="M216" s="55"/>
      <c r="N216" s="55"/>
    </row>
    <row r="217" spans="1:20" x14ac:dyDescent="0.45">
      <c r="A217" s="53" t="s">
        <v>140</v>
      </c>
      <c r="B217" s="53" t="s">
        <v>178</v>
      </c>
      <c r="C217" s="55" t="s">
        <v>565</v>
      </c>
      <c r="D217" s="56"/>
      <c r="E217" s="56"/>
      <c r="F217" s="55"/>
      <c r="G217" s="55"/>
      <c r="H217" s="55"/>
      <c r="I217" s="55"/>
      <c r="J217" s="55"/>
      <c r="K217" s="55"/>
      <c r="L217" s="55"/>
      <c r="M217" s="55"/>
      <c r="N217" s="55"/>
    </row>
    <row r="218" spans="1:20" x14ac:dyDescent="0.45">
      <c r="A218" s="53" t="s">
        <v>141</v>
      </c>
      <c r="B218" s="53" t="s">
        <v>178</v>
      </c>
      <c r="C218" s="55" t="s">
        <v>566</v>
      </c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</row>
    <row r="219" spans="1:20" x14ac:dyDescent="0.45">
      <c r="A219" s="53" t="s">
        <v>179</v>
      </c>
      <c r="B219" s="53" t="s">
        <v>178</v>
      </c>
      <c r="C219" s="57">
        <v>45735</v>
      </c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</row>
    <row r="220" spans="1:20" x14ac:dyDescent="0.4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</row>
    <row r="221" spans="1:20" x14ac:dyDescent="0.45">
      <c r="A221" s="58" t="s">
        <v>551</v>
      </c>
      <c r="B221" s="58"/>
      <c r="C221" s="58"/>
      <c r="D221" s="59"/>
      <c r="E221" s="59"/>
      <c r="F221" s="59"/>
      <c r="G221" s="59"/>
      <c r="H221" s="59"/>
      <c r="I221" s="59"/>
      <c r="J221" s="55"/>
      <c r="K221" s="60" t="s">
        <v>181</v>
      </c>
      <c r="L221" s="648">
        <v>4.3899999999999997</v>
      </c>
      <c r="M221" s="58" t="s">
        <v>552</v>
      </c>
      <c r="N221" s="55"/>
    </row>
    <row r="222" spans="1:20" x14ac:dyDescent="0.45">
      <c r="A222" s="704" t="s">
        <v>142</v>
      </c>
      <c r="B222" s="705"/>
      <c r="C222" s="62" t="s">
        <v>153</v>
      </c>
      <c r="D222" s="62" t="s">
        <v>183</v>
      </c>
      <c r="E222" s="62" t="s">
        <v>122</v>
      </c>
      <c r="F222" s="62" t="s">
        <v>184</v>
      </c>
      <c r="G222" s="62" t="s">
        <v>185</v>
      </c>
      <c r="H222" s="63" t="s">
        <v>186</v>
      </c>
      <c r="I222" s="63"/>
      <c r="J222" s="63" t="s">
        <v>187</v>
      </c>
      <c r="K222" s="63"/>
      <c r="L222" s="721" t="s">
        <v>553</v>
      </c>
      <c r="M222" s="63" t="s">
        <v>189</v>
      </c>
      <c r="N222" s="63"/>
    </row>
    <row r="223" spans="1:20" x14ac:dyDescent="0.45">
      <c r="A223" s="706" t="s">
        <v>183</v>
      </c>
      <c r="B223" s="707"/>
      <c r="C223" s="66"/>
      <c r="D223" s="67"/>
      <c r="E223" s="67"/>
      <c r="F223" s="67" t="s">
        <v>190</v>
      </c>
      <c r="G223" s="67" t="s">
        <v>191</v>
      </c>
      <c r="H223" s="62" t="s">
        <v>148</v>
      </c>
      <c r="I223" s="62">
        <v>40</v>
      </c>
      <c r="J223" s="62" t="s">
        <v>552</v>
      </c>
      <c r="K223" s="62" t="s">
        <v>192</v>
      </c>
      <c r="L223" s="722"/>
      <c r="M223" s="62" t="s">
        <v>195</v>
      </c>
      <c r="N223" s="62" t="s">
        <v>196</v>
      </c>
    </row>
    <row r="224" spans="1:20" x14ac:dyDescent="0.45">
      <c r="A224" s="69"/>
      <c r="B224" s="70"/>
      <c r="C224" s="71"/>
      <c r="D224" s="72"/>
      <c r="E224" s="72"/>
      <c r="F224" s="72"/>
      <c r="G224" s="72"/>
      <c r="H224" s="72"/>
      <c r="I224" s="72" t="s">
        <v>197</v>
      </c>
      <c r="J224" s="72" t="s">
        <v>198</v>
      </c>
      <c r="K224" s="72" t="s">
        <v>199</v>
      </c>
      <c r="L224" s="723"/>
      <c r="M224" s="72"/>
      <c r="N224" s="72" t="s">
        <v>201</v>
      </c>
    </row>
    <row r="225" spans="1:17" x14ac:dyDescent="0.45">
      <c r="A225" s="74" t="s">
        <v>202</v>
      </c>
      <c r="B225" s="75"/>
      <c r="C225" s="76"/>
      <c r="D225" s="77"/>
      <c r="E225" s="77"/>
      <c r="F225" s="77"/>
      <c r="G225" s="77"/>
      <c r="H225" s="78"/>
      <c r="I225" s="78"/>
      <c r="J225" s="78"/>
      <c r="K225" s="79"/>
      <c r="L225" s="560"/>
      <c r="M225" s="79"/>
      <c r="N225" s="81"/>
    </row>
    <row r="226" spans="1:17" x14ac:dyDescent="0.45">
      <c r="A226" s="649">
        <v>437908</v>
      </c>
      <c r="B226" s="650"/>
      <c r="C226" s="651" t="s">
        <v>567</v>
      </c>
      <c r="D226" s="652" t="s">
        <v>568</v>
      </c>
      <c r="E226" s="652" t="s">
        <v>461</v>
      </c>
      <c r="F226" s="652" t="s">
        <v>569</v>
      </c>
      <c r="G226" s="652">
        <v>30</v>
      </c>
      <c r="H226" s="653" t="s">
        <v>222</v>
      </c>
      <c r="I226" s="653">
        <v>4788</v>
      </c>
      <c r="J226" s="654">
        <v>0.56000000000000072</v>
      </c>
      <c r="K226" s="563">
        <v>3.8268792710706201</v>
      </c>
      <c r="L226" s="564">
        <v>7.5</v>
      </c>
      <c r="M226" s="563">
        <v>3.6731207289293799</v>
      </c>
      <c r="N226" s="655">
        <v>0.48974943052391734</v>
      </c>
    </row>
    <row r="227" spans="1:17" x14ac:dyDescent="0.45">
      <c r="A227" s="649">
        <v>437909</v>
      </c>
      <c r="B227" s="650"/>
      <c r="C227" s="651" t="s">
        <v>570</v>
      </c>
      <c r="D227" s="652" t="s">
        <v>571</v>
      </c>
      <c r="E227" s="652" t="s">
        <v>461</v>
      </c>
      <c r="F227" s="652" t="s">
        <v>569</v>
      </c>
      <c r="G227" s="652">
        <v>30</v>
      </c>
      <c r="H227" s="653" t="s">
        <v>222</v>
      </c>
      <c r="I227" s="653">
        <v>4788</v>
      </c>
      <c r="J227" s="654">
        <v>0.52000000000000024</v>
      </c>
      <c r="K227" s="563">
        <v>3.55353075170843</v>
      </c>
      <c r="L227" s="564">
        <v>7.5</v>
      </c>
      <c r="M227" s="563">
        <v>3.94646924829157</v>
      </c>
      <c r="N227" s="655">
        <v>0.52619589977220937</v>
      </c>
    </row>
    <row r="228" spans="1:17" x14ac:dyDescent="0.45">
      <c r="A228" s="90"/>
      <c r="B228" s="91"/>
      <c r="C228" s="92" t="str">
        <f>IFERROR(VLOOKUP($B228,[1]!SKUData[#Data],2,FALSE),"")</f>
        <v/>
      </c>
      <c r="D228" s="93" t="str">
        <f>IFERROR(VLOOKUP($B228,[1]!SKUData[#Data],12,FALSE),"")</f>
        <v/>
      </c>
      <c r="E228" s="93" t="str">
        <f>IFERROR(VLOOKUP($B228,[1]!SKUData[#Data],16,FALSE),"")</f>
        <v/>
      </c>
      <c r="F228" s="93" t="str">
        <f>IFERROR(VLOOKUP($B228,[1]!SKUData[#Data],17,FALSE),"")</f>
        <v/>
      </c>
      <c r="G228" s="93" t="str">
        <f>IFERROR(VLOOKUP($B228,[1]!SKUData[#Data],15,FALSE),"")</f>
        <v/>
      </c>
      <c r="H228" s="94" t="e">
        <f>IF(SUMIFS([1]!Table2[20''],[1]!Table2[No],#REF!,[1]!Table2[Material],#REF!)=0,"",SUMIFS([1]!Table2[20''],[1]!Table2[No],#REF!,[1]!Table2[Material],A228))</f>
        <v>#REF!</v>
      </c>
      <c r="I228" s="94" t="e">
        <f>IF(SUMIFS([1]!Table2[40'' HQ],[1]!Table2[No],#REF!,[1]!Table2[Material],#REF!)=0,"",SUMIFS([1]!Table2[40'' HQ],[1]!Table2[No],#REF!,[1]!Table2[Material],A228))</f>
        <v>#REF!</v>
      </c>
      <c r="J228" s="94" t="e">
        <f>IF(SUMIFS([1]!Table2[COGS],[1]!Table2[No],#REF!,[1]!Table2[Material],#REF!)=0,"",SUMIFS([1]!Table2[COGS],[1]!Table2[No],#REF!,[1]!Table2[Material],A228))</f>
        <v>#REF!</v>
      </c>
      <c r="K228" s="95" t="e">
        <f>IF(SUMIFS([1]!Table2[COGS (USD)],[1]!Table2[No],#REF!,[1]!Table2[Material],#REF!)=0,"",SUMIFS([1]!Table2[COGS (USD)],[1]!Table2[No],#REF!,[1]!Table2[Material],A228))</f>
        <v>#REF!</v>
      </c>
      <c r="L228" s="565"/>
      <c r="M228" s="95" t="str">
        <f>IF(L228="","",L228-K228)</f>
        <v/>
      </c>
      <c r="N228" s="97" t="str">
        <f>IFERROR(M228/L228,"")</f>
        <v/>
      </c>
    </row>
    <row r="229" spans="1:17" x14ac:dyDescent="0.45">
      <c r="A229" s="98"/>
      <c r="B229" s="55"/>
      <c r="C229" s="59"/>
      <c r="D229" s="59"/>
      <c r="E229" s="59"/>
      <c r="F229" s="59"/>
      <c r="G229" s="59"/>
      <c r="H229" s="59"/>
      <c r="I229" s="59"/>
      <c r="J229" s="59"/>
      <c r="K229" s="656"/>
      <c r="L229" s="59"/>
      <c r="M229" s="59"/>
      <c r="N229" s="59"/>
    </row>
    <row r="230" spans="1:17" x14ac:dyDescent="0.45">
      <c r="A230" s="58" t="s">
        <v>508</v>
      </c>
      <c r="B230" s="58"/>
      <c r="C230" s="58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</row>
    <row r="231" spans="1:17" ht="25.15" customHeight="1" x14ac:dyDescent="0.45">
      <c r="A231" s="724" t="s">
        <v>142</v>
      </c>
      <c r="B231" s="725"/>
      <c r="C231" s="566" t="s">
        <v>153</v>
      </c>
      <c r="D231" s="566" t="s">
        <v>183</v>
      </c>
      <c r="E231" s="566" t="s">
        <v>122</v>
      </c>
      <c r="F231" s="566" t="s">
        <v>184</v>
      </c>
      <c r="G231" s="726" t="s">
        <v>147</v>
      </c>
      <c r="H231" s="727"/>
      <c r="I231" s="728" t="s">
        <v>509</v>
      </c>
      <c r="J231" s="729"/>
      <c r="K231" s="733" t="s">
        <v>510</v>
      </c>
      <c r="L231" s="770" t="s">
        <v>483</v>
      </c>
      <c r="M231" s="771"/>
      <c r="N231" s="772"/>
      <c r="O231" s="708" t="s">
        <v>511</v>
      </c>
      <c r="P231" s="711" t="s">
        <v>554</v>
      </c>
      <c r="Q231" s="712"/>
    </row>
    <row r="232" spans="1:17" x14ac:dyDescent="0.45">
      <c r="A232" s="713" t="s">
        <v>183</v>
      </c>
      <c r="B232" s="714"/>
      <c r="C232" s="567"/>
      <c r="D232" s="567"/>
      <c r="E232" s="567"/>
      <c r="F232" s="567" t="s">
        <v>190</v>
      </c>
      <c r="G232" s="567" t="s">
        <v>207</v>
      </c>
      <c r="H232" s="567" t="s">
        <v>207</v>
      </c>
      <c r="I232" s="730"/>
      <c r="J232" s="722"/>
      <c r="K232" s="768"/>
      <c r="L232" s="657" t="s">
        <v>434</v>
      </c>
      <c r="M232" s="658" t="s">
        <v>555</v>
      </c>
      <c r="N232" s="659" t="s">
        <v>556</v>
      </c>
      <c r="O232" s="773"/>
      <c r="P232" s="715" t="s">
        <v>513</v>
      </c>
      <c r="Q232" s="717" t="s">
        <v>196</v>
      </c>
    </row>
    <row r="233" spans="1:17" x14ac:dyDescent="0.45">
      <c r="A233" s="568"/>
      <c r="B233" s="569"/>
      <c r="C233" s="570"/>
      <c r="D233" s="570"/>
      <c r="E233" s="570"/>
      <c r="F233" s="570"/>
      <c r="G233" s="570" t="s">
        <v>211</v>
      </c>
      <c r="H233" s="570" t="s">
        <v>212</v>
      </c>
      <c r="I233" s="731"/>
      <c r="J233" s="732"/>
      <c r="K233" s="769"/>
      <c r="L233" s="598" t="s">
        <v>557</v>
      </c>
      <c r="M233" s="599" t="s">
        <v>558</v>
      </c>
      <c r="N233" s="660" t="s">
        <v>559</v>
      </c>
      <c r="O233" s="774"/>
      <c r="P233" s="716"/>
      <c r="Q233" s="718"/>
    </row>
    <row r="234" spans="1:17" x14ac:dyDescent="0.45">
      <c r="A234" s="571" t="s">
        <v>202</v>
      </c>
      <c r="B234" s="106"/>
      <c r="C234" s="107"/>
      <c r="D234" s="85"/>
      <c r="E234" s="85"/>
      <c r="F234" s="85"/>
      <c r="G234" s="85"/>
      <c r="H234" s="86"/>
      <c r="I234" s="719"/>
      <c r="J234" s="720"/>
      <c r="K234" s="88"/>
      <c r="L234" s="637" t="s">
        <v>488</v>
      </c>
      <c r="M234" s="574" t="s">
        <v>488</v>
      </c>
      <c r="N234" s="574" t="s">
        <v>488</v>
      </c>
      <c r="O234" s="574" t="s">
        <v>488</v>
      </c>
      <c r="P234" s="574" t="s">
        <v>488</v>
      </c>
      <c r="Q234" s="575" t="s">
        <v>488</v>
      </c>
    </row>
    <row r="235" spans="1:17" x14ac:dyDescent="0.45">
      <c r="A235" s="649">
        <v>437908</v>
      </c>
      <c r="B235" s="650"/>
      <c r="C235" s="651" t="s">
        <v>567</v>
      </c>
      <c r="D235" s="652" t="s">
        <v>568</v>
      </c>
      <c r="E235" s="652" t="s">
        <v>461</v>
      </c>
      <c r="F235" s="661" t="s">
        <v>569</v>
      </c>
      <c r="G235" s="653">
        <v>3000</v>
      </c>
      <c r="H235" s="662">
        <v>0.62656641604010022</v>
      </c>
      <c r="I235" s="764">
        <v>9.3433583959900424E-2</v>
      </c>
      <c r="J235" s="765"/>
      <c r="K235" s="564">
        <v>8.2200000000000006</v>
      </c>
      <c r="L235" s="663">
        <v>0.45</v>
      </c>
      <c r="M235" s="608">
        <v>0.6</v>
      </c>
      <c r="N235" s="577">
        <v>1.1000000000000001</v>
      </c>
      <c r="O235" s="608">
        <v>6.07</v>
      </c>
      <c r="P235" s="577">
        <v>2.2431207289293802</v>
      </c>
      <c r="Q235" s="664">
        <v>0.27288573344639661</v>
      </c>
    </row>
    <row r="236" spans="1:17" x14ac:dyDescent="0.45">
      <c r="A236" s="649">
        <v>437909</v>
      </c>
      <c r="B236" s="650"/>
      <c r="C236" s="651" t="s">
        <v>570</v>
      </c>
      <c r="D236" s="652" t="s">
        <v>571</v>
      </c>
      <c r="E236" s="652" t="s">
        <v>461</v>
      </c>
      <c r="F236" s="661" t="s">
        <v>569</v>
      </c>
      <c r="G236" s="653">
        <v>3000</v>
      </c>
      <c r="H236" s="662">
        <v>0.62656641604010022</v>
      </c>
      <c r="I236" s="764">
        <v>9.3433583959900424E-2</v>
      </c>
      <c r="J236" s="765"/>
      <c r="K236" s="564">
        <v>8.2200000000000006</v>
      </c>
      <c r="L236" s="663">
        <v>0.45</v>
      </c>
      <c r="M236" s="608">
        <v>0.6</v>
      </c>
      <c r="N236" s="577">
        <v>1.1000000000000001</v>
      </c>
      <c r="O236" s="608">
        <v>6.07</v>
      </c>
      <c r="P236" s="577">
        <v>2.5164692482915703</v>
      </c>
      <c r="Q236" s="664">
        <v>0.30613981122768491</v>
      </c>
    </row>
    <row r="237" spans="1:17" x14ac:dyDescent="0.45">
      <c r="A237" s="581"/>
      <c r="B237" s="582"/>
      <c r="C237" s="583" t="str">
        <f>IFERROR(VLOOKUP(A237,[1]!SKUData[#Data],2,FALSE),"")</f>
        <v/>
      </c>
      <c r="D237" s="584" t="str">
        <f>IFERROR(VLOOKUP($B237,[1]!SKUData[#Data],12,FALSE),"")</f>
        <v/>
      </c>
      <c r="E237" s="584" t="str">
        <f>IFERROR(VLOOKUP($B237,[1]!SKUData[#Data],16,FALSE),"")</f>
        <v/>
      </c>
      <c r="F237" s="585" t="str">
        <f>IFERROR(VLOOKUP($B237,[1]!SKUData[#Data],17,FALSE),"")</f>
        <v/>
      </c>
      <c r="G237" s="586" t="e">
        <f>IF(SUMIFS([1]!Table2[Freight Cost],[1]!Table2[No],#REF!,[1]!Table2[Material],#REF!)=0,"",SUMIFS([1]!Table2[Freight Cost],[1]!Table2[No],#REF!,[1]!Table2[Material],A237))</f>
        <v>#REF!</v>
      </c>
      <c r="H237" s="587" t="str">
        <f>IFERROR(IF($H$21="40 HQ",G237/VLOOKUP(A237,$B$13:$O$16,9,FALSE),G237/VLOOKUP(A237,$B$13:$O$16,8,FALSE)),"")</f>
        <v/>
      </c>
      <c r="I237" s="739"/>
      <c r="J237" s="740"/>
      <c r="K237" s="665" t="e">
        <f>IF(SUMIFS([1]!Table2[New CIF],[1]!Table2[No],#REF!,[1]!Table2[Material],#REF!)=0,"",SUMIFS([1]!Table2[New CIF],[1]!Table2[No],#REF!,[1]!Table2[Material],A237))</f>
        <v>#REF!</v>
      </c>
      <c r="L237" s="666" t="s">
        <v>488</v>
      </c>
      <c r="M237" s="613" t="s">
        <v>488</v>
      </c>
      <c r="N237" s="590" t="s">
        <v>488</v>
      </c>
      <c r="O237" s="613" t="s">
        <v>488</v>
      </c>
      <c r="P237" s="590" t="s">
        <v>488</v>
      </c>
      <c r="Q237" s="591"/>
    </row>
    <row r="238" spans="1:17" x14ac:dyDescent="0.4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</row>
    <row r="239" spans="1:17" x14ac:dyDescent="0.45">
      <c r="A239" s="592" t="s">
        <v>560</v>
      </c>
      <c r="B239" s="592"/>
      <c r="C239" s="592"/>
      <c r="D239" s="593" t="s">
        <v>488</v>
      </c>
      <c r="E239" s="593" t="s">
        <v>488</v>
      </c>
      <c r="F239" s="593" t="s">
        <v>488</v>
      </c>
      <c r="G239" s="593" t="s">
        <v>488</v>
      </c>
      <c r="H239" s="593" t="s">
        <v>488</v>
      </c>
      <c r="I239" s="593" t="s">
        <v>488</v>
      </c>
      <c r="J239" s="594"/>
      <c r="K239" s="592" t="s">
        <v>488</v>
      </c>
      <c r="L239" s="592" t="s">
        <v>488</v>
      </c>
      <c r="M239" s="55"/>
      <c r="N239" s="55"/>
    </row>
    <row r="240" spans="1:17" x14ac:dyDescent="0.45">
      <c r="A240" s="741" t="s">
        <v>142</v>
      </c>
      <c r="B240" s="742"/>
      <c r="C240" s="595" t="s">
        <v>153</v>
      </c>
      <c r="D240" s="595" t="s">
        <v>183</v>
      </c>
      <c r="E240" s="595" t="s">
        <v>122</v>
      </c>
      <c r="F240" s="595" t="s">
        <v>184</v>
      </c>
      <c r="G240" s="595" t="s">
        <v>185</v>
      </c>
      <c r="H240" s="743" t="s">
        <v>561</v>
      </c>
      <c r="I240" s="767" t="s">
        <v>491</v>
      </c>
      <c r="J240" s="748"/>
      <c r="K240" s="743" t="s">
        <v>562</v>
      </c>
      <c r="L240" s="747" t="s">
        <v>563</v>
      </c>
      <c r="M240" s="748"/>
      <c r="N240" s="55"/>
    </row>
    <row r="241" spans="1:14" x14ac:dyDescent="0.45">
      <c r="A241" s="775" t="s">
        <v>183</v>
      </c>
      <c r="B241" s="707"/>
      <c r="C241" s="66" t="s">
        <v>488</v>
      </c>
      <c r="D241" s="67" t="s">
        <v>488</v>
      </c>
      <c r="E241" s="67" t="s">
        <v>488</v>
      </c>
      <c r="F241" s="67" t="s">
        <v>190</v>
      </c>
      <c r="G241" s="67" t="s">
        <v>191</v>
      </c>
      <c r="H241" s="766"/>
      <c r="I241" s="658" t="s">
        <v>555</v>
      </c>
      <c r="J241" s="658" t="s">
        <v>556</v>
      </c>
      <c r="K241" s="766"/>
      <c r="L241" s="658" t="s">
        <v>195</v>
      </c>
      <c r="M241" s="667" t="s">
        <v>196</v>
      </c>
      <c r="N241" s="55"/>
    </row>
    <row r="242" spans="1:14" x14ac:dyDescent="0.45">
      <c r="A242" s="668" t="s">
        <v>488</v>
      </c>
      <c r="B242" s="669" t="s">
        <v>488</v>
      </c>
      <c r="C242" s="596" t="s">
        <v>488</v>
      </c>
      <c r="D242" s="597" t="s">
        <v>488</v>
      </c>
      <c r="E242" s="597" t="s">
        <v>488</v>
      </c>
      <c r="F242" s="597" t="s">
        <v>488</v>
      </c>
      <c r="G242" s="597"/>
      <c r="H242" s="744"/>
      <c r="I242" s="599" t="s">
        <v>558</v>
      </c>
      <c r="J242" s="599" t="s">
        <v>559</v>
      </c>
      <c r="K242" s="744"/>
      <c r="L242" s="599" t="s">
        <v>488</v>
      </c>
      <c r="M242" s="600" t="s">
        <v>488</v>
      </c>
      <c r="N242" s="55"/>
    </row>
    <row r="243" spans="1:14" x14ac:dyDescent="0.45">
      <c r="A243" s="571" t="s">
        <v>202</v>
      </c>
      <c r="B243" s="602" t="s">
        <v>488</v>
      </c>
      <c r="C243" s="602" t="s">
        <v>488</v>
      </c>
      <c r="D243" s="574" t="s">
        <v>488</v>
      </c>
      <c r="E243" s="574" t="s">
        <v>488</v>
      </c>
      <c r="F243" s="574" t="s">
        <v>488</v>
      </c>
      <c r="G243" s="574" t="s">
        <v>488</v>
      </c>
      <c r="H243" s="574" t="s">
        <v>488</v>
      </c>
      <c r="I243" s="574" t="s">
        <v>488</v>
      </c>
      <c r="J243" s="574" t="s">
        <v>488</v>
      </c>
      <c r="K243" s="574" t="s">
        <v>488</v>
      </c>
      <c r="L243" s="574" t="s">
        <v>488</v>
      </c>
      <c r="M243" s="575" t="s">
        <v>488</v>
      </c>
      <c r="N243" s="55"/>
    </row>
    <row r="244" spans="1:14" x14ac:dyDescent="0.45">
      <c r="A244" s="649">
        <v>437908</v>
      </c>
      <c r="B244" s="670"/>
      <c r="C244" s="670" t="s">
        <v>567</v>
      </c>
      <c r="D244" s="670" t="s">
        <v>568</v>
      </c>
      <c r="E244" s="671" t="s">
        <v>461</v>
      </c>
      <c r="F244" s="607" t="s">
        <v>569</v>
      </c>
      <c r="G244" s="672">
        <v>30</v>
      </c>
      <c r="H244" s="607">
        <v>8.2200000000000006</v>
      </c>
      <c r="I244" s="608">
        <v>0.6</v>
      </c>
      <c r="J244" s="577">
        <v>1.1000000000000001</v>
      </c>
      <c r="K244" s="564">
        <v>6.5200000000000014</v>
      </c>
      <c r="L244" s="608">
        <v>2.6931207289293813</v>
      </c>
      <c r="M244" s="609">
        <v>0.32763025899384196</v>
      </c>
      <c r="N244" s="55"/>
    </row>
    <row r="245" spans="1:14" x14ac:dyDescent="0.45">
      <c r="A245" s="649">
        <v>437909</v>
      </c>
      <c r="B245" s="670"/>
      <c r="C245" s="670" t="s">
        <v>570</v>
      </c>
      <c r="D245" s="670" t="s">
        <v>571</v>
      </c>
      <c r="E245" s="671" t="s">
        <v>461</v>
      </c>
      <c r="F245" s="607" t="s">
        <v>569</v>
      </c>
      <c r="G245" s="672">
        <v>30</v>
      </c>
      <c r="H245" s="607">
        <v>8.2200000000000006</v>
      </c>
      <c r="I245" s="608">
        <v>0.6</v>
      </c>
      <c r="J245" s="577">
        <v>1.1000000000000001</v>
      </c>
      <c r="K245" s="564">
        <v>6.5200000000000014</v>
      </c>
      <c r="L245" s="608">
        <v>2.9664692482915713</v>
      </c>
      <c r="M245" s="609">
        <v>0.36088433677513032</v>
      </c>
      <c r="N245" s="55"/>
    </row>
    <row r="246" spans="1:14" x14ac:dyDescent="0.45">
      <c r="A246" s="612" t="s">
        <v>488</v>
      </c>
      <c r="B246" s="613" t="s">
        <v>488</v>
      </c>
      <c r="C246" s="613" t="s">
        <v>488</v>
      </c>
      <c r="D246" s="613" t="s">
        <v>488</v>
      </c>
      <c r="E246" s="613" t="s">
        <v>488</v>
      </c>
      <c r="F246" s="613" t="s">
        <v>488</v>
      </c>
      <c r="G246" s="613" t="s">
        <v>488</v>
      </c>
      <c r="H246" s="613" t="s">
        <v>488</v>
      </c>
      <c r="I246" s="613" t="s">
        <v>488</v>
      </c>
      <c r="J246" s="590" t="s">
        <v>488</v>
      </c>
      <c r="K246" s="613" t="s">
        <v>488</v>
      </c>
      <c r="L246" s="613" t="s">
        <v>488</v>
      </c>
      <c r="M246" s="614" t="s">
        <v>488</v>
      </c>
      <c r="N246" s="55"/>
    </row>
    <row r="247" spans="1:14" x14ac:dyDescent="0.4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</row>
    <row r="248" spans="1:14" x14ac:dyDescent="0.4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</row>
    <row r="249" spans="1:14" x14ac:dyDescent="0.4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</row>
    <row r="250" spans="1:14" x14ac:dyDescent="0.45">
      <c r="A250" s="693" t="s">
        <v>215</v>
      </c>
      <c r="B250" s="694"/>
      <c r="C250" s="695"/>
      <c r="D250" s="693" t="s">
        <v>216</v>
      </c>
      <c r="E250" s="694"/>
      <c r="F250" s="694"/>
      <c r="G250" s="694"/>
      <c r="H250" s="695"/>
      <c r="I250" s="693" t="s">
        <v>217</v>
      </c>
      <c r="J250" s="694"/>
      <c r="K250" s="694"/>
      <c r="L250" s="694"/>
      <c r="M250" s="694"/>
      <c r="N250" s="695"/>
    </row>
    <row r="251" spans="1:14" x14ac:dyDescent="0.45">
      <c r="A251" s="125"/>
      <c r="B251" s="55"/>
      <c r="C251" s="126"/>
      <c r="D251" s="125"/>
      <c r="E251" s="55"/>
      <c r="F251" s="55"/>
      <c r="G251" s="55"/>
      <c r="H251" s="126"/>
      <c r="I251" s="125"/>
      <c r="J251" s="55"/>
      <c r="K251" s="55"/>
      <c r="L251" s="55"/>
      <c r="M251" s="55"/>
      <c r="N251" s="126"/>
    </row>
    <row r="252" spans="1:14" x14ac:dyDescent="0.45">
      <c r="A252" s="125"/>
      <c r="B252" s="55"/>
      <c r="C252" s="126"/>
      <c r="D252" s="125"/>
      <c r="E252" s="55"/>
      <c r="F252" s="55"/>
      <c r="G252" s="55"/>
      <c r="H252" s="126"/>
      <c r="I252" s="125"/>
      <c r="J252" s="55"/>
      <c r="K252" s="55"/>
      <c r="L252" s="55"/>
      <c r="M252" s="55"/>
      <c r="N252" s="126"/>
    </row>
    <row r="253" spans="1:14" x14ac:dyDescent="0.45">
      <c r="A253" s="125"/>
      <c r="B253" s="55"/>
      <c r="C253" s="126"/>
      <c r="D253" s="125"/>
      <c r="E253" s="55"/>
      <c r="F253" s="55"/>
      <c r="G253" s="55"/>
      <c r="H253" s="126"/>
      <c r="I253" s="125"/>
      <c r="J253" s="55"/>
      <c r="K253" s="55"/>
      <c r="L253" s="55"/>
      <c r="M253" s="55"/>
      <c r="N253" s="126"/>
    </row>
    <row r="254" spans="1:14" x14ac:dyDescent="0.45">
      <c r="A254" s="125"/>
      <c r="B254" s="55"/>
      <c r="C254" s="126"/>
      <c r="D254" s="125"/>
      <c r="E254" s="55"/>
      <c r="F254" s="55"/>
      <c r="G254" s="55"/>
      <c r="H254" s="126"/>
      <c r="I254" s="125"/>
      <c r="J254" s="55"/>
      <c r="K254" s="55"/>
      <c r="L254" s="55"/>
      <c r="M254" s="55"/>
      <c r="N254" s="126"/>
    </row>
    <row r="255" spans="1:14" x14ac:dyDescent="0.45">
      <c r="A255" s="125"/>
      <c r="B255" s="55"/>
      <c r="C255" s="126"/>
      <c r="D255" s="125"/>
      <c r="E255" s="55"/>
      <c r="F255" s="55"/>
      <c r="G255" s="55"/>
      <c r="H255" s="126"/>
      <c r="I255" s="125"/>
      <c r="J255" s="55"/>
      <c r="K255" s="55"/>
      <c r="L255" s="55"/>
      <c r="M255" s="55"/>
      <c r="N255" s="126"/>
    </row>
    <row r="256" spans="1:14" x14ac:dyDescent="0.45">
      <c r="A256" s="696" t="s">
        <v>107</v>
      </c>
      <c r="B256" s="697"/>
      <c r="C256" s="698"/>
      <c r="D256" s="696" t="s">
        <v>218</v>
      </c>
      <c r="E256" s="697"/>
      <c r="F256" s="697" t="s">
        <v>219</v>
      </c>
      <c r="G256" s="697"/>
      <c r="H256" s="698"/>
      <c r="I256" s="696" t="s">
        <v>494</v>
      </c>
      <c r="J256" s="697"/>
      <c r="K256" s="697"/>
      <c r="L256" s="697"/>
      <c r="M256" s="697"/>
      <c r="N256" s="698"/>
    </row>
  </sheetData>
  <mergeCells count="139">
    <mergeCell ref="A250:C250"/>
    <mergeCell ref="D250:H250"/>
    <mergeCell ref="I250:N250"/>
    <mergeCell ref="A256:C256"/>
    <mergeCell ref="D256:E256"/>
    <mergeCell ref="F256:H256"/>
    <mergeCell ref="I256:N256"/>
    <mergeCell ref="I236:J236"/>
    <mergeCell ref="I237:J237"/>
    <mergeCell ref="A240:B240"/>
    <mergeCell ref="H240:H242"/>
    <mergeCell ref="I240:J240"/>
    <mergeCell ref="K240:K242"/>
    <mergeCell ref="P231:Q231"/>
    <mergeCell ref="A232:B232"/>
    <mergeCell ref="P232:P233"/>
    <mergeCell ref="Q232:Q233"/>
    <mergeCell ref="I234:J234"/>
    <mergeCell ref="I235:J235"/>
    <mergeCell ref="A231:B231"/>
    <mergeCell ref="G231:H231"/>
    <mergeCell ref="I231:J233"/>
    <mergeCell ref="K231:K233"/>
    <mergeCell ref="L231:N231"/>
    <mergeCell ref="O231:O233"/>
    <mergeCell ref="L240:M240"/>
    <mergeCell ref="A241:B241"/>
    <mergeCell ref="A210:C210"/>
    <mergeCell ref="D210:E210"/>
    <mergeCell ref="G210:I210"/>
    <mergeCell ref="J210:Q210"/>
    <mergeCell ref="A222:B222"/>
    <mergeCell ref="L222:L224"/>
    <mergeCell ref="A223:B223"/>
    <mergeCell ref="Q196:R196"/>
    <mergeCell ref="S196:T196"/>
    <mergeCell ref="A197:B197"/>
    <mergeCell ref="Q197:Q198"/>
    <mergeCell ref="A204:C204"/>
    <mergeCell ref="D204:I204"/>
    <mergeCell ref="J204:Q204"/>
    <mergeCell ref="A187:B187"/>
    <mergeCell ref="H187:I187"/>
    <mergeCell ref="L187:M187"/>
    <mergeCell ref="N187:O187"/>
    <mergeCell ref="A188:B188"/>
    <mergeCell ref="A196:B196"/>
    <mergeCell ref="K196:K198"/>
    <mergeCell ref="L196:M196"/>
    <mergeCell ref="N196:O196"/>
    <mergeCell ref="A166:C166"/>
    <mergeCell ref="D166:H166"/>
    <mergeCell ref="I166:N166"/>
    <mergeCell ref="A172:C172"/>
    <mergeCell ref="D172:E172"/>
    <mergeCell ref="F172:H172"/>
    <mergeCell ref="I172:N172"/>
    <mergeCell ref="I153:J153"/>
    <mergeCell ref="A156:B156"/>
    <mergeCell ref="H156:H157"/>
    <mergeCell ref="I156:I157"/>
    <mergeCell ref="J156:J157"/>
    <mergeCell ref="K156:L156"/>
    <mergeCell ref="A157:B157"/>
    <mergeCell ref="I148:J148"/>
    <mergeCell ref="I149:J149"/>
    <mergeCell ref="I150:J150"/>
    <mergeCell ref="I151:J151"/>
    <mergeCell ref="I152:J152"/>
    <mergeCell ref="M144:M146"/>
    <mergeCell ref="N144:O144"/>
    <mergeCell ref="A145:B145"/>
    <mergeCell ref="N145:N146"/>
    <mergeCell ref="O145:O146"/>
    <mergeCell ref="I147:J147"/>
    <mergeCell ref="A132:B132"/>
    <mergeCell ref="L132:L134"/>
    <mergeCell ref="A133:B133"/>
    <mergeCell ref="A144:B144"/>
    <mergeCell ref="G144:H144"/>
    <mergeCell ref="I144:J146"/>
    <mergeCell ref="K144:K146"/>
    <mergeCell ref="L144:L146"/>
    <mergeCell ref="A111:C111"/>
    <mergeCell ref="D111:H111"/>
    <mergeCell ref="I111:N111"/>
    <mergeCell ref="A117:C117"/>
    <mergeCell ref="D117:E117"/>
    <mergeCell ref="F117:H117"/>
    <mergeCell ref="I117:N117"/>
    <mergeCell ref="I100:J100"/>
    <mergeCell ref="A103:B103"/>
    <mergeCell ref="H103:H104"/>
    <mergeCell ref="I103:I104"/>
    <mergeCell ref="J103:J104"/>
    <mergeCell ref="K103:L103"/>
    <mergeCell ref="A104:B104"/>
    <mergeCell ref="I97:J97"/>
    <mergeCell ref="I98:J98"/>
    <mergeCell ref="I99:J99"/>
    <mergeCell ref="M93:M95"/>
    <mergeCell ref="N93:O93"/>
    <mergeCell ref="A94:B94"/>
    <mergeCell ref="N94:N95"/>
    <mergeCell ref="O94:O95"/>
    <mergeCell ref="I96:J96"/>
    <mergeCell ref="A83:B83"/>
    <mergeCell ref="L83:L85"/>
    <mergeCell ref="A84:B84"/>
    <mergeCell ref="A93:B93"/>
    <mergeCell ref="G93:H93"/>
    <mergeCell ref="I93:J95"/>
    <mergeCell ref="K93:K95"/>
    <mergeCell ref="L93:L95"/>
    <mergeCell ref="A40:C40"/>
    <mergeCell ref="D40:E40"/>
    <mergeCell ref="G40:I40"/>
    <mergeCell ref="J40:Q40"/>
    <mergeCell ref="A62:C62"/>
    <mergeCell ref="D62:I62"/>
    <mergeCell ref="J62:Q62"/>
    <mergeCell ref="A68:C68"/>
    <mergeCell ref="D68:E68"/>
    <mergeCell ref="G68:I68"/>
    <mergeCell ref="J68:Q68"/>
    <mergeCell ref="A54:B54"/>
    <mergeCell ref="P54:Q54"/>
    <mergeCell ref="A55:B55"/>
    <mergeCell ref="A17:B17"/>
    <mergeCell ref="L17:M17"/>
    <mergeCell ref="A18:B18"/>
    <mergeCell ref="A26:B26"/>
    <mergeCell ref="L26:M26"/>
    <mergeCell ref="N26:O26"/>
    <mergeCell ref="P26:Q26"/>
    <mergeCell ref="A27:B27"/>
    <mergeCell ref="A34:C34"/>
    <mergeCell ref="D34:I34"/>
    <mergeCell ref="J34:Q34"/>
  </mergeCells>
  <pageMargins left="0.7" right="0.7" top="0.75" bottom="0.75" header="0.3" footer="0.3"/>
  <pageSetup paperSize="8" scale="65" fitToHeight="0" orientation="portrait" verticalDpi="598" r:id="rId1"/>
  <rowBreaks count="2" manualBreakCount="2">
    <brk id="73" max="20" man="1"/>
    <brk id="178" max="20" man="1"/>
  </rowBreaks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6308-FBEF-43EC-A524-ED845DC13481}">
  <sheetPr>
    <pageSetUpPr fitToPage="1"/>
  </sheetPr>
  <dimension ref="A1:U256"/>
  <sheetViews>
    <sheetView topLeftCell="A51" zoomScaleNormal="100" workbookViewId="0">
      <selection activeCell="F216" sqref="A215:F216"/>
    </sheetView>
  </sheetViews>
  <sheetFormatPr defaultRowHeight="14.25" x14ac:dyDescent="0.45"/>
  <cols>
    <col min="2" max="2" width="16.53125" customWidth="1"/>
    <col min="6" max="6" width="14.59765625" bestFit="1" customWidth="1"/>
    <col min="7" max="7" width="8.73046875" bestFit="1" customWidth="1"/>
  </cols>
  <sheetData>
    <row r="1" spans="1:15" x14ac:dyDescent="0.45">
      <c r="C1" t="s">
        <v>450</v>
      </c>
    </row>
    <row r="2" spans="1:15" x14ac:dyDescent="0.45">
      <c r="A2">
        <v>1</v>
      </c>
      <c r="B2" t="s">
        <v>447</v>
      </c>
      <c r="C2" t="s">
        <v>451</v>
      </c>
      <c r="F2" t="s">
        <v>455</v>
      </c>
      <c r="H2" t="s">
        <v>454</v>
      </c>
    </row>
    <row r="3" spans="1:15" x14ac:dyDescent="0.45">
      <c r="A3">
        <v>2</v>
      </c>
      <c r="B3" t="s">
        <v>448</v>
      </c>
      <c r="F3" t="s">
        <v>452</v>
      </c>
    </row>
    <row r="4" spans="1:15" x14ac:dyDescent="0.45">
      <c r="A4">
        <v>3</v>
      </c>
      <c r="B4" t="s">
        <v>449</v>
      </c>
      <c r="E4" t="s">
        <v>456</v>
      </c>
      <c r="F4" t="s">
        <v>201</v>
      </c>
    </row>
    <row r="5" spans="1:15" x14ac:dyDescent="0.45">
      <c r="F5" t="s">
        <v>453</v>
      </c>
    </row>
    <row r="6" spans="1:15" x14ac:dyDescent="0.45">
      <c r="F6" t="s">
        <v>573</v>
      </c>
    </row>
    <row r="8" spans="1:15" x14ac:dyDescent="0.45">
      <c r="A8" t="s">
        <v>465</v>
      </c>
    </row>
    <row r="9" spans="1:15" x14ac:dyDescent="0.45">
      <c r="A9" s="53" t="s">
        <v>177</v>
      </c>
      <c r="B9" s="53" t="s">
        <v>178</v>
      </c>
      <c r="C9" s="54">
        <v>1813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 spans="1:15" x14ac:dyDescent="0.45">
      <c r="A10" s="53" t="s">
        <v>109</v>
      </c>
      <c r="B10" s="53" t="s">
        <v>178</v>
      </c>
      <c r="C10" s="55" t="s">
        <v>110</v>
      </c>
      <c r="D10" s="56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5" x14ac:dyDescent="0.45">
      <c r="A11" s="53" t="s">
        <v>7</v>
      </c>
      <c r="B11" s="53" t="s">
        <v>178</v>
      </c>
      <c r="C11" s="55" t="s">
        <v>74</v>
      </c>
      <c r="D11" s="56"/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1:15" x14ac:dyDescent="0.45">
      <c r="A12" s="53" t="s">
        <v>140</v>
      </c>
      <c r="B12" s="53" t="s">
        <v>178</v>
      </c>
      <c r="C12" s="55" t="s">
        <v>457</v>
      </c>
      <c r="D12" s="56"/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5" x14ac:dyDescent="0.45">
      <c r="A13" s="53" t="s">
        <v>141</v>
      </c>
      <c r="B13" s="53" t="s">
        <v>178</v>
      </c>
      <c r="C13" s="55" t="s">
        <v>458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</row>
    <row r="14" spans="1:15" x14ac:dyDescent="0.45">
      <c r="A14" s="53" t="s">
        <v>179</v>
      </c>
      <c r="B14" s="53" t="s">
        <v>178</v>
      </c>
      <c r="C14" s="57">
        <v>45761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spans="1:15" hidden="1" x14ac:dyDescent="0.4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 spans="1:15" hidden="1" x14ac:dyDescent="0.45">
      <c r="A16" s="58" t="s">
        <v>180</v>
      </c>
      <c r="B16" s="58"/>
      <c r="C16" s="58"/>
      <c r="D16" s="59"/>
      <c r="E16" s="59"/>
      <c r="F16" s="59"/>
      <c r="G16" s="59"/>
      <c r="H16" s="59"/>
      <c r="I16" s="59"/>
      <c r="J16" s="55"/>
      <c r="K16" s="55"/>
      <c r="L16" s="60"/>
      <c r="M16" s="60" t="s">
        <v>181</v>
      </c>
      <c r="N16" s="61">
        <v>16500</v>
      </c>
      <c r="O16" s="58" t="s">
        <v>182</v>
      </c>
    </row>
    <row r="17" spans="1:17" hidden="1" x14ac:dyDescent="0.45">
      <c r="A17" s="704" t="s">
        <v>142</v>
      </c>
      <c r="B17" s="705"/>
      <c r="C17" s="62" t="s">
        <v>153</v>
      </c>
      <c r="D17" s="62" t="s">
        <v>183</v>
      </c>
      <c r="E17" s="62" t="s">
        <v>122</v>
      </c>
      <c r="F17" s="62" t="s">
        <v>184</v>
      </c>
      <c r="G17" s="62" t="s">
        <v>185</v>
      </c>
      <c r="H17" s="63" t="s">
        <v>186</v>
      </c>
      <c r="I17" s="63"/>
      <c r="J17" s="63" t="s">
        <v>187</v>
      </c>
      <c r="K17" s="63"/>
      <c r="L17" s="702" t="s">
        <v>188</v>
      </c>
      <c r="M17" s="703"/>
      <c r="N17" s="63" t="s">
        <v>189</v>
      </c>
      <c r="O17" s="63"/>
    </row>
    <row r="18" spans="1:17" hidden="1" x14ac:dyDescent="0.45">
      <c r="A18" s="706" t="s">
        <v>183</v>
      </c>
      <c r="B18" s="707"/>
      <c r="C18" s="66"/>
      <c r="D18" s="67"/>
      <c r="E18" s="67"/>
      <c r="F18" s="67" t="s">
        <v>190</v>
      </c>
      <c r="G18" s="67" t="s">
        <v>191</v>
      </c>
      <c r="H18" s="62" t="s">
        <v>148</v>
      </c>
      <c r="I18" s="62">
        <v>40</v>
      </c>
      <c r="J18" s="62" t="s">
        <v>182</v>
      </c>
      <c r="K18" s="62" t="s">
        <v>192</v>
      </c>
      <c r="L18" s="68" t="s">
        <v>193</v>
      </c>
      <c r="M18" s="68" t="s">
        <v>194</v>
      </c>
      <c r="N18" s="62" t="s">
        <v>195</v>
      </c>
      <c r="O18" s="62" t="s">
        <v>196</v>
      </c>
    </row>
    <row r="19" spans="1:17" hidden="1" x14ac:dyDescent="0.45">
      <c r="A19" s="69"/>
      <c r="B19" s="70"/>
      <c r="C19" s="71"/>
      <c r="D19" s="72"/>
      <c r="E19" s="72"/>
      <c r="F19" s="72"/>
      <c r="G19" s="72"/>
      <c r="H19" s="72"/>
      <c r="I19" s="72" t="s">
        <v>197</v>
      </c>
      <c r="J19" s="72" t="s">
        <v>198</v>
      </c>
      <c r="K19" s="72" t="s">
        <v>199</v>
      </c>
      <c r="L19" s="73" t="s">
        <v>200</v>
      </c>
      <c r="M19" s="67" t="s">
        <v>200</v>
      </c>
      <c r="N19" s="72"/>
      <c r="O19" s="72" t="s">
        <v>201</v>
      </c>
    </row>
    <row r="20" spans="1:17" hidden="1" x14ac:dyDescent="0.45">
      <c r="A20" s="74" t="s">
        <v>202</v>
      </c>
      <c r="B20" s="75"/>
      <c r="C20" s="76"/>
      <c r="D20" s="77"/>
      <c r="E20" s="77"/>
      <c r="F20" s="77"/>
      <c r="G20" s="77"/>
      <c r="H20" s="78"/>
      <c r="I20" s="78"/>
      <c r="J20" s="78"/>
      <c r="K20" s="79"/>
      <c r="L20" s="80"/>
      <c r="M20" s="80"/>
      <c r="N20" s="79"/>
      <c r="O20" s="81"/>
    </row>
    <row r="21" spans="1:17" hidden="1" x14ac:dyDescent="0.45">
      <c r="A21" s="82">
        <v>438179</v>
      </c>
      <c r="B21" s="83"/>
      <c r="C21" s="84" t="s">
        <v>459</v>
      </c>
      <c r="D21" s="85" t="s">
        <v>460</v>
      </c>
      <c r="E21" s="85" t="s">
        <v>461</v>
      </c>
      <c r="F21" s="85" t="s">
        <v>462</v>
      </c>
      <c r="G21" s="85">
        <v>40</v>
      </c>
      <c r="H21" s="86" t="s">
        <v>222</v>
      </c>
      <c r="I21" s="86">
        <v>4305</v>
      </c>
      <c r="J21" s="86">
        <v>1413</v>
      </c>
      <c r="K21" s="87">
        <v>3.4254545454545453</v>
      </c>
      <c r="L21" s="88" t="s">
        <v>222</v>
      </c>
      <c r="M21" s="88">
        <v>6</v>
      </c>
      <c r="N21" s="87">
        <v>2.5745454545454547</v>
      </c>
      <c r="O21" s="89">
        <v>0.42909090909090913</v>
      </c>
    </row>
    <row r="22" spans="1:17" hidden="1" x14ac:dyDescent="0.45">
      <c r="A22" s="82">
        <v>438178</v>
      </c>
      <c r="B22" s="83"/>
      <c r="C22" s="84" t="s">
        <v>463</v>
      </c>
      <c r="D22" s="85" t="s">
        <v>464</v>
      </c>
      <c r="E22" s="85" t="s">
        <v>461</v>
      </c>
      <c r="F22" s="85" t="s">
        <v>462</v>
      </c>
      <c r="G22" s="85">
        <v>40</v>
      </c>
      <c r="H22" s="86" t="s">
        <v>222</v>
      </c>
      <c r="I22" s="86">
        <v>4305</v>
      </c>
      <c r="J22" s="86">
        <v>1444</v>
      </c>
      <c r="K22" s="87">
        <v>3.5006060606060609</v>
      </c>
      <c r="L22" s="88" t="s">
        <v>222</v>
      </c>
      <c r="M22" s="88">
        <v>6</v>
      </c>
      <c r="N22" s="87">
        <v>2.4993939393939391</v>
      </c>
      <c r="O22" s="89">
        <v>0.41656565656565653</v>
      </c>
    </row>
    <row r="23" spans="1:17" hidden="1" x14ac:dyDescent="0.45">
      <c r="A23" s="90"/>
      <c r="B23" s="91"/>
      <c r="C23" s="92" t="s">
        <v>222</v>
      </c>
      <c r="D23" s="93" t="s">
        <v>222</v>
      </c>
      <c r="E23" s="93" t="s">
        <v>222</v>
      </c>
      <c r="F23" s="93" t="s">
        <v>222</v>
      </c>
      <c r="G23" s="93" t="s">
        <v>222</v>
      </c>
      <c r="H23" s="94" t="s">
        <v>222</v>
      </c>
      <c r="I23" s="94" t="s">
        <v>222</v>
      </c>
      <c r="J23" s="94" t="s">
        <v>222</v>
      </c>
      <c r="K23" s="95" t="s">
        <v>222</v>
      </c>
      <c r="L23" s="96" t="s">
        <v>222</v>
      </c>
      <c r="M23" s="96" t="s">
        <v>222</v>
      </c>
      <c r="N23" s="95" t="s">
        <v>222</v>
      </c>
      <c r="O23" s="97" t="s">
        <v>222</v>
      </c>
    </row>
    <row r="24" spans="1:17" hidden="1" x14ac:dyDescent="0.45">
      <c r="A24" s="98"/>
      <c r="B24" s="55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7" x14ac:dyDescent="0.45">
      <c r="A25" s="99" t="str">
        <f>CONCATENATE("CIF ",C13)</f>
        <v>CIF Monrovia</v>
      </c>
      <c r="B25" s="58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7" x14ac:dyDescent="0.45">
      <c r="A26" s="704" t="s">
        <v>142</v>
      </c>
      <c r="B26" s="705"/>
      <c r="C26" s="62" t="s">
        <v>153</v>
      </c>
      <c r="D26" s="62" t="s">
        <v>183</v>
      </c>
      <c r="E26" s="62" t="s">
        <v>122</v>
      </c>
      <c r="F26" s="62" t="s">
        <v>184</v>
      </c>
      <c r="G26" s="557" t="s">
        <v>147</v>
      </c>
      <c r="H26" s="558"/>
      <c r="I26" s="559" t="s">
        <v>203</v>
      </c>
      <c r="J26" s="100"/>
      <c r="K26" s="63" t="s">
        <v>204</v>
      </c>
      <c r="L26" s="702" t="s">
        <v>205</v>
      </c>
      <c r="M26" s="703"/>
      <c r="N26" s="702" t="s">
        <v>189</v>
      </c>
      <c r="O26" s="703"/>
      <c r="P26" s="702" t="s">
        <v>206</v>
      </c>
      <c r="Q26" s="703"/>
    </row>
    <row r="27" spans="1:17" x14ac:dyDescent="0.45">
      <c r="A27" s="706" t="s">
        <v>183</v>
      </c>
      <c r="B27" s="707"/>
      <c r="C27" s="66"/>
      <c r="D27" s="67"/>
      <c r="E27" s="67"/>
      <c r="F27" s="67" t="s">
        <v>190</v>
      </c>
      <c r="G27" s="67" t="s">
        <v>207</v>
      </c>
      <c r="H27" s="67" t="s">
        <v>207</v>
      </c>
      <c r="I27" s="62" t="s">
        <v>196</v>
      </c>
      <c r="J27" s="62" t="s">
        <v>208</v>
      </c>
      <c r="K27" s="67" t="s">
        <v>209</v>
      </c>
      <c r="L27" s="101" t="s">
        <v>193</v>
      </c>
      <c r="M27" s="101" t="s">
        <v>210</v>
      </c>
      <c r="N27" s="62" t="s">
        <v>195</v>
      </c>
      <c r="O27" s="62" t="s">
        <v>196</v>
      </c>
      <c r="P27" s="62" t="s">
        <v>195</v>
      </c>
      <c r="Q27" s="62" t="s">
        <v>196</v>
      </c>
    </row>
    <row r="28" spans="1:17" x14ac:dyDescent="0.45">
      <c r="A28" s="102"/>
      <c r="B28" s="103"/>
      <c r="C28" s="71"/>
      <c r="D28" s="72"/>
      <c r="E28" s="72"/>
      <c r="F28" s="72"/>
      <c r="G28" s="72" t="s">
        <v>211</v>
      </c>
      <c r="H28" s="72" t="s">
        <v>212</v>
      </c>
      <c r="I28" s="72" t="s">
        <v>213</v>
      </c>
      <c r="J28" s="72" t="s">
        <v>192</v>
      </c>
      <c r="K28" s="72" t="s">
        <v>214</v>
      </c>
      <c r="L28" s="104" t="s">
        <v>200</v>
      </c>
      <c r="M28" s="104" t="s">
        <v>200</v>
      </c>
      <c r="N28" s="72"/>
      <c r="O28" s="72" t="s">
        <v>201</v>
      </c>
      <c r="P28" s="72"/>
      <c r="Q28" s="72" t="s">
        <v>201</v>
      </c>
    </row>
    <row r="29" spans="1:17" x14ac:dyDescent="0.45">
      <c r="A29" s="105" t="s">
        <v>202</v>
      </c>
      <c r="B29" s="106"/>
      <c r="C29" s="107"/>
      <c r="D29" s="85"/>
      <c r="E29" s="85"/>
      <c r="F29" s="85"/>
      <c r="G29" s="85"/>
      <c r="H29" s="86"/>
      <c r="I29" s="86"/>
      <c r="J29" s="86"/>
      <c r="K29" s="87"/>
      <c r="L29" s="88"/>
      <c r="M29" s="88"/>
      <c r="N29" s="87"/>
      <c r="O29" s="108"/>
      <c r="P29" s="87"/>
      <c r="Q29" s="108"/>
    </row>
    <row r="30" spans="1:17" x14ac:dyDescent="0.45">
      <c r="A30" s="82">
        <v>438179</v>
      </c>
      <c r="B30" s="83"/>
      <c r="C30" s="84" t="s">
        <v>459</v>
      </c>
      <c r="D30" s="85" t="s">
        <v>460</v>
      </c>
      <c r="E30" s="85" t="s">
        <v>461</v>
      </c>
      <c r="F30" s="109" t="s">
        <v>462</v>
      </c>
      <c r="G30" s="86">
        <v>5000</v>
      </c>
      <c r="H30" s="110">
        <v>1.1614401858304297</v>
      </c>
      <c r="I30" s="111">
        <v>4.2500000000000003E-4</v>
      </c>
      <c r="J30" s="112">
        <v>3.0387500000000002E-3</v>
      </c>
      <c r="K30" s="87">
        <v>4.5899334812849748</v>
      </c>
      <c r="L30" s="88" t="s">
        <v>222</v>
      </c>
      <c r="M30" s="88">
        <v>7.15</v>
      </c>
      <c r="N30" s="113">
        <v>2.5600665187150256</v>
      </c>
      <c r="O30" s="114">
        <v>0.42667775311917094</v>
      </c>
      <c r="P30" s="113">
        <v>0.145362019014185</v>
      </c>
      <c r="Q30" s="114">
        <v>2.4227003169030831E-2</v>
      </c>
    </row>
    <row r="31" spans="1:17" x14ac:dyDescent="0.45">
      <c r="A31" s="82">
        <v>438178</v>
      </c>
      <c r="B31" s="83"/>
      <c r="C31" s="84" t="s">
        <v>463</v>
      </c>
      <c r="D31" s="85" t="s">
        <v>464</v>
      </c>
      <c r="E31" s="85" t="s">
        <v>461</v>
      </c>
      <c r="F31" s="109" t="s">
        <v>462</v>
      </c>
      <c r="G31" s="86">
        <v>5000</v>
      </c>
      <c r="H31" s="110">
        <v>1.1614401858304297</v>
      </c>
      <c r="I31" s="111">
        <v>4.2500000000000003E-4</v>
      </c>
      <c r="J31" s="112">
        <v>3.0387500000000002E-3</v>
      </c>
      <c r="K31" s="87">
        <v>4.6650849964364909</v>
      </c>
      <c r="L31" s="88" t="s">
        <v>222</v>
      </c>
      <c r="M31" s="88">
        <v>7.15</v>
      </c>
      <c r="N31" s="113">
        <v>2.4849150035635095</v>
      </c>
      <c r="O31" s="114">
        <v>0.41415250059391823</v>
      </c>
      <c r="P31" s="113">
        <v>7.1899871405695495E-2</v>
      </c>
      <c r="Q31" s="114">
        <v>1.1983311900949249E-2</v>
      </c>
    </row>
    <row r="32" spans="1:17" x14ac:dyDescent="0.45">
      <c r="A32" s="90"/>
      <c r="B32" s="91"/>
      <c r="C32" s="92" t="s">
        <v>222</v>
      </c>
      <c r="D32" s="93" t="s">
        <v>222</v>
      </c>
      <c r="E32" s="93" t="s">
        <v>222</v>
      </c>
      <c r="F32" s="115" t="s">
        <v>222</v>
      </c>
      <c r="G32" s="116" t="s">
        <v>222</v>
      </c>
      <c r="H32" s="117" t="s">
        <v>222</v>
      </c>
      <c r="I32" s="118"/>
      <c r="J32" s="119" t="s">
        <v>222</v>
      </c>
      <c r="K32" s="95" t="s">
        <v>222</v>
      </c>
      <c r="L32" s="96" t="s">
        <v>222</v>
      </c>
      <c r="M32" s="96" t="s">
        <v>222</v>
      </c>
      <c r="N32" s="120" t="s">
        <v>222</v>
      </c>
      <c r="O32" s="121" t="s">
        <v>222</v>
      </c>
      <c r="P32" s="120"/>
      <c r="Q32" s="121" t="s">
        <v>222</v>
      </c>
    </row>
    <row r="33" spans="1:17" hidden="1" x14ac:dyDescent="0.45"/>
    <row r="34" spans="1:17" hidden="1" x14ac:dyDescent="0.45">
      <c r="A34" s="693" t="s">
        <v>215</v>
      </c>
      <c r="B34" s="694"/>
      <c r="C34" s="694"/>
      <c r="D34" s="693" t="s">
        <v>216</v>
      </c>
      <c r="E34" s="694"/>
      <c r="F34" s="694"/>
      <c r="G34" s="694"/>
      <c r="H34" s="694"/>
      <c r="I34" s="695"/>
      <c r="J34" s="693" t="s">
        <v>217</v>
      </c>
      <c r="K34" s="694"/>
      <c r="L34" s="694"/>
      <c r="M34" s="694"/>
      <c r="N34" s="694"/>
      <c r="O34" s="694"/>
      <c r="P34" s="694"/>
      <c r="Q34" s="695"/>
    </row>
    <row r="35" spans="1:17" hidden="1" x14ac:dyDescent="0.45">
      <c r="A35" s="125"/>
      <c r="B35" s="55"/>
      <c r="C35" s="55"/>
      <c r="D35" s="125"/>
      <c r="E35" s="55"/>
      <c r="F35" s="55"/>
      <c r="G35" s="55"/>
      <c r="H35" s="55"/>
      <c r="I35" s="126"/>
      <c r="J35" s="125"/>
      <c r="K35" s="55"/>
      <c r="L35" s="55"/>
      <c r="M35" s="55"/>
      <c r="N35" s="55"/>
      <c r="O35" s="55"/>
      <c r="P35" s="55"/>
      <c r="Q35" s="126"/>
    </row>
    <row r="36" spans="1:17" hidden="1" x14ac:dyDescent="0.45">
      <c r="A36" s="125"/>
      <c r="B36" s="55"/>
      <c r="C36" s="55"/>
      <c r="D36" s="125"/>
      <c r="E36" s="55"/>
      <c r="F36" s="55"/>
      <c r="G36" s="55"/>
      <c r="H36" s="55"/>
      <c r="I36" s="126"/>
      <c r="J36" s="125"/>
      <c r="K36" s="55"/>
      <c r="L36" s="55"/>
      <c r="M36" s="55"/>
      <c r="N36" s="55"/>
      <c r="O36" s="55"/>
      <c r="P36" s="55"/>
      <c r="Q36" s="126"/>
    </row>
    <row r="37" spans="1:17" hidden="1" x14ac:dyDescent="0.45">
      <c r="A37" s="125"/>
      <c r="B37" s="55"/>
      <c r="C37" s="55"/>
      <c r="D37" s="125"/>
      <c r="E37" s="55"/>
      <c r="F37" s="55"/>
      <c r="G37" s="55"/>
      <c r="H37" s="55"/>
      <c r="I37" s="126"/>
      <c r="J37" s="125"/>
      <c r="K37" s="55"/>
      <c r="L37" s="55"/>
      <c r="M37" s="55"/>
      <c r="N37" s="55"/>
      <c r="O37" s="55"/>
      <c r="P37" s="55"/>
      <c r="Q37" s="126"/>
    </row>
    <row r="38" spans="1:17" hidden="1" x14ac:dyDescent="0.45">
      <c r="A38" s="125"/>
      <c r="B38" s="55"/>
      <c r="C38" s="55"/>
      <c r="D38" s="125"/>
      <c r="E38" s="55"/>
      <c r="F38" s="55"/>
      <c r="G38" s="55"/>
      <c r="H38" s="55"/>
      <c r="I38" s="126"/>
      <c r="J38" s="125"/>
      <c r="K38" s="55"/>
      <c r="L38" s="55"/>
      <c r="M38" s="55"/>
      <c r="N38" s="55"/>
      <c r="O38" s="55"/>
      <c r="P38" s="55"/>
      <c r="Q38" s="126"/>
    </row>
    <row r="39" spans="1:17" hidden="1" x14ac:dyDescent="0.45">
      <c r="A39" s="125"/>
      <c r="B39" s="55"/>
      <c r="C39" s="55"/>
      <c r="D39" s="125"/>
      <c r="E39" s="55"/>
      <c r="F39" s="55"/>
      <c r="G39" s="55"/>
      <c r="H39" s="55"/>
      <c r="I39" s="126"/>
      <c r="J39" s="125"/>
      <c r="K39" s="55"/>
      <c r="L39" s="55"/>
      <c r="M39" s="55"/>
      <c r="N39" s="55"/>
      <c r="O39" s="55"/>
      <c r="P39" s="55"/>
      <c r="Q39" s="126"/>
    </row>
    <row r="40" spans="1:17" hidden="1" x14ac:dyDescent="0.45">
      <c r="A40" s="696" t="s">
        <v>466</v>
      </c>
      <c r="B40" s="697"/>
      <c r="C40" s="697"/>
      <c r="D40" s="696" t="s">
        <v>218</v>
      </c>
      <c r="E40" s="697"/>
      <c r="F40" s="129"/>
      <c r="G40" s="697" t="s">
        <v>219</v>
      </c>
      <c r="H40" s="697"/>
      <c r="I40" s="698"/>
      <c r="J40" s="696" t="s">
        <v>220</v>
      </c>
      <c r="K40" s="697"/>
      <c r="L40" s="697"/>
      <c r="M40" s="697"/>
      <c r="N40" s="697"/>
      <c r="O40" s="697"/>
      <c r="P40" s="697"/>
      <c r="Q40" s="698"/>
    </row>
    <row r="41" spans="1:17" hidden="1" x14ac:dyDescent="0.45"/>
    <row r="42" spans="1:17" hidden="1" x14ac:dyDescent="0.45"/>
    <row r="43" spans="1:17" hidden="1" x14ac:dyDescent="0.45"/>
    <row r="44" spans="1:17" hidden="1" x14ac:dyDescent="0.45"/>
    <row r="45" spans="1:17" x14ac:dyDescent="0.45">
      <c r="A45" t="s">
        <v>504</v>
      </c>
    </row>
    <row r="46" spans="1:17" x14ac:dyDescent="0.45">
      <c r="A46" s="53" t="s">
        <v>177</v>
      </c>
      <c r="B46" s="53" t="s">
        <v>178</v>
      </c>
      <c r="C46" s="54">
        <v>1784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</row>
    <row r="47" spans="1:17" x14ac:dyDescent="0.45">
      <c r="A47" s="53" t="s">
        <v>109</v>
      </c>
      <c r="B47" s="53" t="s">
        <v>178</v>
      </c>
      <c r="C47" s="55" t="s">
        <v>112</v>
      </c>
      <c r="D47" s="56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</row>
    <row r="48" spans="1:17" x14ac:dyDescent="0.45">
      <c r="A48" s="53" t="s">
        <v>7</v>
      </c>
      <c r="B48" s="53" t="s">
        <v>178</v>
      </c>
      <c r="C48" s="55" t="s">
        <v>10</v>
      </c>
      <c r="D48" s="56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5"/>
    </row>
    <row r="49" spans="1:17" x14ac:dyDescent="0.45">
      <c r="A49" s="53" t="s">
        <v>140</v>
      </c>
      <c r="B49" s="53" t="s">
        <v>178</v>
      </c>
      <c r="C49" s="55" t="s">
        <v>467</v>
      </c>
      <c r="D49" s="56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5"/>
    </row>
    <row r="50" spans="1:17" x14ac:dyDescent="0.45">
      <c r="A50" s="53" t="s">
        <v>141</v>
      </c>
      <c r="B50" s="53" t="s">
        <v>178</v>
      </c>
      <c r="C50" s="55" t="s">
        <v>468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</row>
    <row r="51" spans="1:17" x14ac:dyDescent="0.45">
      <c r="A51" s="53" t="s">
        <v>179</v>
      </c>
      <c r="B51" s="53" t="s">
        <v>178</v>
      </c>
      <c r="C51" s="57">
        <v>45715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</row>
    <row r="52" spans="1:17" x14ac:dyDescent="0.4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</row>
    <row r="53" spans="1:17" x14ac:dyDescent="0.45">
      <c r="A53" s="58" t="s">
        <v>180</v>
      </c>
      <c r="B53" s="58"/>
      <c r="C53" s="58"/>
      <c r="D53" s="59"/>
      <c r="E53" s="59"/>
      <c r="F53" s="59"/>
      <c r="G53" s="59"/>
      <c r="H53" s="59"/>
      <c r="I53" s="59"/>
      <c r="J53" s="55"/>
      <c r="K53" s="55"/>
      <c r="L53" s="60"/>
      <c r="M53" s="60" t="s">
        <v>181</v>
      </c>
      <c r="N53" s="61">
        <v>16000</v>
      </c>
      <c r="O53" s="58" t="s">
        <v>182</v>
      </c>
    </row>
    <row r="54" spans="1:17" x14ac:dyDescent="0.45">
      <c r="A54" s="704" t="s">
        <v>142</v>
      </c>
      <c r="B54" s="705"/>
      <c r="C54" s="62" t="s">
        <v>153</v>
      </c>
      <c r="D54" s="62" t="s">
        <v>183</v>
      </c>
      <c r="E54" s="62" t="s">
        <v>122</v>
      </c>
      <c r="F54" s="62" t="s">
        <v>184</v>
      </c>
      <c r="G54" s="62" t="s">
        <v>185</v>
      </c>
      <c r="H54" s="63" t="s">
        <v>186</v>
      </c>
      <c r="I54" s="63"/>
      <c r="J54" s="63" t="s">
        <v>187</v>
      </c>
      <c r="K54" s="63"/>
      <c r="L54" s="63" t="s">
        <v>188</v>
      </c>
      <c r="M54" s="63"/>
      <c r="N54" s="63" t="s">
        <v>189</v>
      </c>
      <c r="O54" s="63"/>
      <c r="P54" s="702" t="s">
        <v>206</v>
      </c>
      <c r="Q54" s="703"/>
    </row>
    <row r="55" spans="1:17" x14ac:dyDescent="0.45">
      <c r="A55" s="706" t="s">
        <v>183</v>
      </c>
      <c r="B55" s="707"/>
      <c r="C55" s="66"/>
      <c r="D55" s="67"/>
      <c r="E55" s="67"/>
      <c r="F55" s="67" t="s">
        <v>190</v>
      </c>
      <c r="G55" s="67" t="s">
        <v>191</v>
      </c>
      <c r="H55" s="62" t="s">
        <v>148</v>
      </c>
      <c r="I55" s="62">
        <v>40</v>
      </c>
      <c r="J55" s="62" t="s">
        <v>182</v>
      </c>
      <c r="K55" s="62" t="s">
        <v>192</v>
      </c>
      <c r="L55" s="68" t="s">
        <v>193</v>
      </c>
      <c r="M55" s="68" t="s">
        <v>194</v>
      </c>
      <c r="N55" s="62" t="s">
        <v>195</v>
      </c>
      <c r="O55" s="62" t="s">
        <v>196</v>
      </c>
      <c r="P55" s="62" t="s">
        <v>195</v>
      </c>
      <c r="Q55" s="62" t="s">
        <v>196</v>
      </c>
    </row>
    <row r="56" spans="1:17" x14ac:dyDescent="0.45">
      <c r="A56" s="69"/>
      <c r="B56" s="70"/>
      <c r="C56" s="71"/>
      <c r="D56" s="72"/>
      <c r="E56" s="72"/>
      <c r="F56" s="72"/>
      <c r="G56" s="72"/>
      <c r="H56" s="72"/>
      <c r="I56" s="72" t="s">
        <v>197</v>
      </c>
      <c r="J56" s="72" t="s">
        <v>198</v>
      </c>
      <c r="K56" s="72" t="s">
        <v>199</v>
      </c>
      <c r="L56" s="73" t="s">
        <v>200</v>
      </c>
      <c r="M56" s="67" t="s">
        <v>200</v>
      </c>
      <c r="N56" s="72"/>
      <c r="O56" s="72" t="s">
        <v>201</v>
      </c>
      <c r="P56" s="72"/>
      <c r="Q56" s="72" t="s">
        <v>201</v>
      </c>
    </row>
    <row r="57" spans="1:17" x14ac:dyDescent="0.45">
      <c r="A57" s="74" t="s">
        <v>202</v>
      </c>
      <c r="B57" s="75"/>
      <c r="C57" s="76"/>
      <c r="D57" s="77"/>
      <c r="E57" s="77"/>
      <c r="F57" s="77"/>
      <c r="G57" s="77"/>
      <c r="H57" s="78"/>
      <c r="I57" s="78"/>
      <c r="J57" s="78"/>
      <c r="K57" s="79"/>
      <c r="L57" s="80"/>
      <c r="M57" s="80"/>
      <c r="N57" s="79"/>
      <c r="O57" s="81"/>
      <c r="P57" s="87"/>
      <c r="Q57" s="108"/>
    </row>
    <row r="58" spans="1:17" x14ac:dyDescent="0.45">
      <c r="A58" s="82">
        <v>438069</v>
      </c>
      <c r="B58" s="83"/>
      <c r="C58" s="84" t="s">
        <v>469</v>
      </c>
      <c r="D58" s="85" t="s">
        <v>470</v>
      </c>
      <c r="E58" s="85" t="s">
        <v>461</v>
      </c>
      <c r="F58" s="85" t="s">
        <v>471</v>
      </c>
      <c r="G58" s="85">
        <v>40</v>
      </c>
      <c r="H58" s="86" t="s">
        <v>222</v>
      </c>
      <c r="I58" s="86">
        <v>4200</v>
      </c>
      <c r="J58" s="86">
        <v>1650</v>
      </c>
      <c r="K58" s="87">
        <v>4.125</v>
      </c>
      <c r="L58" s="88" t="s">
        <v>222</v>
      </c>
      <c r="M58" s="88">
        <v>8.5038095238095242</v>
      </c>
      <c r="N58" s="87">
        <v>4.3788095238095242</v>
      </c>
      <c r="O58" s="89">
        <v>0.51492328368238327</v>
      </c>
      <c r="P58" s="113">
        <v>3.28</v>
      </c>
      <c r="Q58" s="114">
        <v>0.38570948594467463</v>
      </c>
    </row>
    <row r="59" spans="1:17" x14ac:dyDescent="0.45">
      <c r="A59" s="82">
        <v>438070</v>
      </c>
      <c r="B59" s="83"/>
      <c r="C59" s="84" t="s">
        <v>472</v>
      </c>
      <c r="D59" s="85" t="s">
        <v>473</v>
      </c>
      <c r="E59" s="85" t="s">
        <v>461</v>
      </c>
      <c r="F59" s="85" t="s">
        <v>474</v>
      </c>
      <c r="G59" s="85">
        <v>40</v>
      </c>
      <c r="H59" s="86" t="s">
        <v>222</v>
      </c>
      <c r="I59" s="86">
        <v>4200</v>
      </c>
      <c r="J59" s="86">
        <v>1650</v>
      </c>
      <c r="K59" s="87">
        <v>4.125</v>
      </c>
      <c r="L59" s="88" t="s">
        <v>222</v>
      </c>
      <c r="M59" s="88">
        <v>8.5038095238095242</v>
      </c>
      <c r="N59" s="87">
        <v>4.3788095238095242</v>
      </c>
      <c r="O59" s="89">
        <v>0.51492328368238327</v>
      </c>
      <c r="P59" s="113">
        <v>3.28</v>
      </c>
      <c r="Q59" s="114">
        <v>0.38570948594467463</v>
      </c>
    </row>
    <row r="60" spans="1:17" x14ac:dyDescent="0.45">
      <c r="A60" s="90"/>
      <c r="B60" s="91"/>
      <c r="C60" s="92" t="s">
        <v>222</v>
      </c>
      <c r="D60" s="93" t="s">
        <v>222</v>
      </c>
      <c r="E60" s="93" t="s">
        <v>222</v>
      </c>
      <c r="F60" s="93" t="s">
        <v>222</v>
      </c>
      <c r="G60" s="93" t="s">
        <v>222</v>
      </c>
      <c r="H60" s="94" t="s">
        <v>222</v>
      </c>
      <c r="I60" s="94" t="s">
        <v>222</v>
      </c>
      <c r="J60" s="94" t="s">
        <v>222</v>
      </c>
      <c r="K60" s="95" t="s">
        <v>222</v>
      </c>
      <c r="L60" s="96" t="s">
        <v>222</v>
      </c>
      <c r="M60" s="96" t="s">
        <v>222</v>
      </c>
      <c r="N60" s="95" t="s">
        <v>222</v>
      </c>
      <c r="O60" s="97" t="s">
        <v>222</v>
      </c>
      <c r="P60" s="120"/>
      <c r="Q60" s="121" t="s">
        <v>222</v>
      </c>
    </row>
    <row r="61" spans="1:17" hidden="1" x14ac:dyDescent="0.4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</row>
    <row r="62" spans="1:17" hidden="1" x14ac:dyDescent="0.45">
      <c r="A62" s="693" t="s">
        <v>215</v>
      </c>
      <c r="B62" s="694"/>
      <c r="C62" s="694"/>
      <c r="D62" s="693" t="s">
        <v>216</v>
      </c>
      <c r="E62" s="694"/>
      <c r="F62" s="694"/>
      <c r="G62" s="694"/>
      <c r="H62" s="694"/>
      <c r="I62" s="695"/>
      <c r="J62" s="693" t="s">
        <v>217</v>
      </c>
      <c r="K62" s="694"/>
      <c r="L62" s="694"/>
      <c r="M62" s="694"/>
      <c r="N62" s="694"/>
      <c r="O62" s="694"/>
      <c r="P62" s="694"/>
      <c r="Q62" s="695"/>
    </row>
    <row r="63" spans="1:17" hidden="1" x14ac:dyDescent="0.45">
      <c r="A63" s="125"/>
      <c r="B63" s="55"/>
      <c r="C63" s="55"/>
      <c r="D63" s="125"/>
      <c r="E63" s="55"/>
      <c r="F63" s="55"/>
      <c r="G63" s="55"/>
      <c r="H63" s="55"/>
      <c r="I63" s="126"/>
      <c r="J63" s="125"/>
      <c r="K63" s="55"/>
      <c r="L63" s="55"/>
      <c r="M63" s="55"/>
      <c r="N63" s="55"/>
      <c r="O63" s="55"/>
      <c r="P63" s="55"/>
      <c r="Q63" s="126"/>
    </row>
    <row r="64" spans="1:17" hidden="1" x14ac:dyDescent="0.45">
      <c r="A64" s="125"/>
      <c r="B64" s="55"/>
      <c r="C64" s="55"/>
      <c r="D64" s="125"/>
      <c r="E64" s="55"/>
      <c r="F64" s="55"/>
      <c r="G64" s="55"/>
      <c r="H64" s="55"/>
      <c r="I64" s="126"/>
      <c r="J64" s="125"/>
      <c r="K64" s="55"/>
      <c r="L64" s="55"/>
      <c r="M64" s="55"/>
      <c r="N64" s="55"/>
      <c r="O64" s="55"/>
      <c r="P64" s="55"/>
      <c r="Q64" s="126"/>
    </row>
    <row r="65" spans="1:17" hidden="1" x14ac:dyDescent="0.45">
      <c r="A65" s="125"/>
      <c r="B65" s="55"/>
      <c r="C65" s="55"/>
      <c r="D65" s="125"/>
      <c r="E65" s="55"/>
      <c r="F65" s="55"/>
      <c r="G65" s="55"/>
      <c r="H65" s="55"/>
      <c r="I65" s="126"/>
      <c r="J65" s="125"/>
      <c r="K65" s="55"/>
      <c r="L65" s="55"/>
      <c r="M65" s="55"/>
      <c r="N65" s="55"/>
      <c r="O65" s="55"/>
      <c r="P65" s="55"/>
      <c r="Q65" s="126"/>
    </row>
    <row r="66" spans="1:17" hidden="1" x14ac:dyDescent="0.45">
      <c r="A66" s="125"/>
      <c r="B66" s="55"/>
      <c r="C66" s="55"/>
      <c r="D66" s="125"/>
      <c r="E66" s="55"/>
      <c r="F66" s="55"/>
      <c r="G66" s="55"/>
      <c r="H66" s="55"/>
      <c r="I66" s="126"/>
      <c r="J66" s="125"/>
      <c r="K66" s="55"/>
      <c r="L66" s="55"/>
      <c r="M66" s="55"/>
      <c r="N66" s="55"/>
      <c r="O66" s="55"/>
      <c r="P66" s="55"/>
      <c r="Q66" s="126"/>
    </row>
    <row r="67" spans="1:17" hidden="1" x14ac:dyDescent="0.45">
      <c r="A67" s="125"/>
      <c r="B67" s="55"/>
      <c r="C67" s="55"/>
      <c r="D67" s="125"/>
      <c r="E67" s="55"/>
      <c r="F67" s="55"/>
      <c r="G67" s="55"/>
      <c r="H67" s="55"/>
      <c r="I67" s="126"/>
      <c r="J67" s="125"/>
      <c r="K67" s="55"/>
      <c r="L67" s="55"/>
      <c r="M67" s="55"/>
      <c r="N67" s="55"/>
      <c r="O67" s="55"/>
      <c r="P67" s="55"/>
      <c r="Q67" s="126"/>
    </row>
    <row r="68" spans="1:17" hidden="1" x14ac:dyDescent="0.45">
      <c r="A68" s="696" t="s">
        <v>121</v>
      </c>
      <c r="B68" s="697"/>
      <c r="C68" s="697"/>
      <c r="D68" s="696" t="s">
        <v>218</v>
      </c>
      <c r="E68" s="697"/>
      <c r="F68" s="129"/>
      <c r="G68" s="697" t="s">
        <v>219</v>
      </c>
      <c r="H68" s="697"/>
      <c r="I68" s="698"/>
      <c r="J68" s="696" t="s">
        <v>220</v>
      </c>
      <c r="K68" s="697"/>
      <c r="L68" s="697"/>
      <c r="M68" s="697"/>
      <c r="N68" s="697"/>
      <c r="O68" s="697"/>
      <c r="P68" s="697"/>
      <c r="Q68" s="698"/>
    </row>
    <row r="69" spans="1:17" hidden="1" x14ac:dyDescent="0.45"/>
    <row r="70" spans="1:17" hidden="1" x14ac:dyDescent="0.45"/>
    <row r="71" spans="1:17" hidden="1" x14ac:dyDescent="0.45"/>
    <row r="72" spans="1:17" hidden="1" x14ac:dyDescent="0.45"/>
    <row r="73" spans="1:17" hidden="1" x14ac:dyDescent="0.45"/>
    <row r="74" spans="1:17" x14ac:dyDescent="0.45">
      <c r="A74" t="s">
        <v>505</v>
      </c>
    </row>
    <row r="75" spans="1:17" x14ac:dyDescent="0.45">
      <c r="A75" s="53" t="s">
        <v>177</v>
      </c>
      <c r="B75" s="53" t="s">
        <v>178</v>
      </c>
      <c r="C75" s="54">
        <v>1781</v>
      </c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spans="1:17" x14ac:dyDescent="0.45">
      <c r="A76" s="53" t="s">
        <v>109</v>
      </c>
      <c r="B76" s="53" t="s">
        <v>178</v>
      </c>
      <c r="C76" s="55" t="s">
        <v>495</v>
      </c>
      <c r="D76" s="56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spans="1:17" x14ac:dyDescent="0.45">
      <c r="A77" s="53" t="s">
        <v>7</v>
      </c>
      <c r="B77" s="53" t="s">
        <v>178</v>
      </c>
      <c r="C77" s="55" t="s">
        <v>11</v>
      </c>
      <c r="D77" s="56"/>
      <c r="E77" s="56"/>
      <c r="F77" s="55"/>
      <c r="G77" s="55"/>
      <c r="H77" s="55"/>
      <c r="I77" s="55"/>
      <c r="J77" s="55"/>
      <c r="K77" s="55"/>
      <c r="L77" s="55"/>
      <c r="M77" s="55"/>
      <c r="N77" s="55"/>
    </row>
    <row r="78" spans="1:17" x14ac:dyDescent="0.45">
      <c r="A78" s="53" t="s">
        <v>140</v>
      </c>
      <c r="B78" s="53" t="s">
        <v>178</v>
      </c>
      <c r="C78" s="55" t="s">
        <v>496</v>
      </c>
      <c r="D78" s="56"/>
      <c r="E78" s="56"/>
      <c r="F78" s="55"/>
      <c r="G78" s="55"/>
      <c r="H78" s="55"/>
      <c r="I78" s="55"/>
      <c r="J78" s="55"/>
      <c r="K78" s="55"/>
      <c r="L78" s="55"/>
      <c r="M78" s="55"/>
      <c r="N78" s="55"/>
    </row>
    <row r="79" spans="1:17" x14ac:dyDescent="0.45">
      <c r="A79" s="53" t="s">
        <v>141</v>
      </c>
      <c r="B79" s="53" t="s">
        <v>178</v>
      </c>
      <c r="C79" s="55" t="s">
        <v>497</v>
      </c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spans="1:17" x14ac:dyDescent="0.45">
      <c r="A80" s="53" t="s">
        <v>179</v>
      </c>
      <c r="B80" s="53" t="s">
        <v>178</v>
      </c>
      <c r="C80" s="57">
        <v>45709</v>
      </c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 spans="1:15" hidden="1" x14ac:dyDescent="0.4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</row>
    <row r="82" spans="1:15" hidden="1" x14ac:dyDescent="0.45">
      <c r="A82" s="58" t="s">
        <v>475</v>
      </c>
      <c r="B82" s="58"/>
      <c r="C82" s="58"/>
      <c r="D82" s="59"/>
      <c r="E82" s="59"/>
      <c r="F82" s="59"/>
      <c r="G82" s="59"/>
      <c r="H82" s="59"/>
      <c r="I82" s="59"/>
      <c r="J82" s="55"/>
      <c r="K82" s="60" t="s">
        <v>476</v>
      </c>
      <c r="L82" s="61">
        <v>1</v>
      </c>
      <c r="M82" s="58" t="s">
        <v>477</v>
      </c>
      <c r="N82" s="55"/>
    </row>
    <row r="83" spans="1:15" hidden="1" x14ac:dyDescent="0.45">
      <c r="A83" s="704" t="s">
        <v>142</v>
      </c>
      <c r="B83" s="705"/>
      <c r="C83" s="62" t="s">
        <v>153</v>
      </c>
      <c r="D83" s="62" t="s">
        <v>183</v>
      </c>
      <c r="E83" s="62" t="s">
        <v>122</v>
      </c>
      <c r="F83" s="62" t="s">
        <v>184</v>
      </c>
      <c r="G83" s="62" t="s">
        <v>185</v>
      </c>
      <c r="H83" s="63" t="s">
        <v>186</v>
      </c>
      <c r="I83" s="63"/>
      <c r="J83" s="63" t="s">
        <v>187</v>
      </c>
      <c r="K83" s="63"/>
      <c r="L83" s="721" t="s">
        <v>478</v>
      </c>
      <c r="M83" s="63" t="s">
        <v>189</v>
      </c>
      <c r="N83" s="63"/>
    </row>
    <row r="84" spans="1:15" hidden="1" x14ac:dyDescent="0.45">
      <c r="A84" s="706" t="s">
        <v>183</v>
      </c>
      <c r="B84" s="707"/>
      <c r="C84" s="66"/>
      <c r="D84" s="67"/>
      <c r="E84" s="67"/>
      <c r="F84" s="67" t="s">
        <v>190</v>
      </c>
      <c r="G84" s="67" t="s">
        <v>191</v>
      </c>
      <c r="H84" s="62" t="s">
        <v>148</v>
      </c>
      <c r="I84" s="62">
        <v>40</v>
      </c>
      <c r="J84" s="62" t="s">
        <v>477</v>
      </c>
      <c r="K84" s="62" t="s">
        <v>477</v>
      </c>
      <c r="L84" s="722"/>
      <c r="M84" s="62" t="s">
        <v>479</v>
      </c>
      <c r="N84" s="62" t="s">
        <v>196</v>
      </c>
    </row>
    <row r="85" spans="1:15" hidden="1" x14ac:dyDescent="0.45">
      <c r="A85" s="69"/>
      <c r="B85" s="70"/>
      <c r="C85" s="71"/>
      <c r="D85" s="72"/>
      <c r="E85" s="72"/>
      <c r="F85" s="72"/>
      <c r="G85" s="72"/>
      <c r="H85" s="72"/>
      <c r="I85" s="72" t="s">
        <v>197</v>
      </c>
      <c r="J85" s="72" t="s">
        <v>198</v>
      </c>
      <c r="K85" s="72" t="s">
        <v>199</v>
      </c>
      <c r="L85" s="723"/>
      <c r="M85" s="72"/>
      <c r="N85" s="72" t="s">
        <v>201</v>
      </c>
    </row>
    <row r="86" spans="1:15" hidden="1" x14ac:dyDescent="0.45">
      <c r="A86" s="74" t="s">
        <v>202</v>
      </c>
      <c r="B86" s="75"/>
      <c r="C86" s="76"/>
      <c r="D86" s="77"/>
      <c r="E86" s="77"/>
      <c r="F86" s="77"/>
      <c r="G86" s="77"/>
      <c r="H86" s="78"/>
      <c r="I86" s="78"/>
      <c r="J86" s="78"/>
      <c r="K86" s="79"/>
      <c r="L86" s="560"/>
      <c r="M86" s="79"/>
      <c r="N86" s="81"/>
    </row>
    <row r="87" spans="1:15" hidden="1" x14ac:dyDescent="0.45">
      <c r="A87" s="561">
        <v>438401</v>
      </c>
      <c r="B87" s="83"/>
      <c r="C87" s="84" t="s">
        <v>498</v>
      </c>
      <c r="D87" s="85" t="s">
        <v>499</v>
      </c>
      <c r="E87" s="85" t="s">
        <v>461</v>
      </c>
      <c r="F87" s="85" t="s">
        <v>474</v>
      </c>
      <c r="G87" s="85">
        <v>40</v>
      </c>
      <c r="H87" s="86" t="s">
        <v>222</v>
      </c>
      <c r="I87" s="86">
        <v>4032</v>
      </c>
      <c r="J87" s="562">
        <v>0.1145</v>
      </c>
      <c r="K87" s="563">
        <v>4.58</v>
      </c>
      <c r="L87" s="564">
        <v>4.9050534325396828</v>
      </c>
      <c r="M87" s="87">
        <v>0.32505343253968277</v>
      </c>
      <c r="N87" s="89">
        <v>6.6269091052771734E-2</v>
      </c>
    </row>
    <row r="88" spans="1:15" hidden="1" x14ac:dyDescent="0.45">
      <c r="A88" s="561">
        <v>438399</v>
      </c>
      <c r="B88" s="83"/>
      <c r="C88" s="84" t="s">
        <v>500</v>
      </c>
      <c r="D88" s="85" t="s">
        <v>501</v>
      </c>
      <c r="E88" s="85" t="s">
        <v>461</v>
      </c>
      <c r="F88" s="85" t="s">
        <v>462</v>
      </c>
      <c r="G88" s="85">
        <v>40</v>
      </c>
      <c r="H88" s="86" t="s">
        <v>222</v>
      </c>
      <c r="I88" s="86">
        <v>4032</v>
      </c>
      <c r="J88" s="562">
        <v>9.6000000000000002E-2</v>
      </c>
      <c r="K88" s="563">
        <v>3.84</v>
      </c>
      <c r="L88" s="564">
        <v>4.0054359325396831</v>
      </c>
      <c r="M88" s="87">
        <v>0.16543593253968325</v>
      </c>
      <c r="N88" s="89">
        <v>4.1302853253924618E-2</v>
      </c>
    </row>
    <row r="89" spans="1:15" hidden="1" x14ac:dyDescent="0.45">
      <c r="A89" s="561">
        <v>438397</v>
      </c>
      <c r="B89" s="83"/>
      <c r="C89" s="84" t="s">
        <v>502</v>
      </c>
      <c r="D89" s="85" t="s">
        <v>503</v>
      </c>
      <c r="E89" s="85" t="s">
        <v>461</v>
      </c>
      <c r="F89" s="85" t="s">
        <v>462</v>
      </c>
      <c r="G89" s="85">
        <v>40</v>
      </c>
      <c r="H89" s="86" t="s">
        <v>222</v>
      </c>
      <c r="I89" s="86">
        <v>4032</v>
      </c>
      <c r="J89" s="562">
        <v>0.10149999999999999</v>
      </c>
      <c r="K89" s="563">
        <v>4.0599999999999996</v>
      </c>
      <c r="L89" s="564">
        <v>4.4054359325396826</v>
      </c>
      <c r="M89" s="87">
        <v>0.34543593253968297</v>
      </c>
      <c r="N89" s="89">
        <v>7.8411294098775633E-2</v>
      </c>
    </row>
    <row r="90" spans="1:15" hidden="1" x14ac:dyDescent="0.45">
      <c r="A90" s="90"/>
      <c r="B90" s="91"/>
      <c r="C90" s="92" t="s">
        <v>222</v>
      </c>
      <c r="D90" s="93" t="s">
        <v>222</v>
      </c>
      <c r="E90" s="93" t="s">
        <v>222</v>
      </c>
      <c r="F90" s="93" t="s">
        <v>222</v>
      </c>
      <c r="G90" s="93" t="s">
        <v>222</v>
      </c>
      <c r="H90" s="94" t="s">
        <v>222</v>
      </c>
      <c r="I90" s="94" t="s">
        <v>222</v>
      </c>
      <c r="J90" s="94" t="s">
        <v>222</v>
      </c>
      <c r="K90" s="95" t="s">
        <v>222</v>
      </c>
      <c r="L90" s="565"/>
      <c r="M90" s="95" t="s">
        <v>222</v>
      </c>
      <c r="N90" s="97" t="s">
        <v>222</v>
      </c>
    </row>
    <row r="91" spans="1:15" hidden="1" x14ac:dyDescent="0.45">
      <c r="A91" s="98"/>
      <c r="B91" s="55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</row>
    <row r="92" spans="1:15" x14ac:dyDescent="0.45">
      <c r="A92" s="58" t="s">
        <v>480</v>
      </c>
      <c r="B92" s="58"/>
      <c r="C92" s="58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</row>
    <row r="93" spans="1:15" ht="22.5" customHeight="1" x14ac:dyDescent="0.45">
      <c r="A93" s="724" t="s">
        <v>142</v>
      </c>
      <c r="B93" s="725"/>
      <c r="C93" s="566" t="s">
        <v>153</v>
      </c>
      <c r="D93" s="566" t="s">
        <v>183</v>
      </c>
      <c r="E93" s="566" t="s">
        <v>122</v>
      </c>
      <c r="F93" s="566" t="s">
        <v>184</v>
      </c>
      <c r="G93" s="726" t="s">
        <v>147</v>
      </c>
      <c r="H93" s="727"/>
      <c r="I93" s="728" t="s">
        <v>481</v>
      </c>
      <c r="J93" s="729"/>
      <c r="K93" s="733" t="s">
        <v>482</v>
      </c>
      <c r="L93" s="736" t="s">
        <v>483</v>
      </c>
      <c r="M93" s="708" t="s">
        <v>484</v>
      </c>
      <c r="N93" s="711" t="s">
        <v>485</v>
      </c>
      <c r="O93" s="712"/>
    </row>
    <row r="94" spans="1:15" x14ac:dyDescent="0.45">
      <c r="A94" s="713" t="s">
        <v>183</v>
      </c>
      <c r="B94" s="714"/>
      <c r="C94" s="567"/>
      <c r="D94" s="567"/>
      <c r="E94" s="567"/>
      <c r="F94" s="567" t="s">
        <v>190</v>
      </c>
      <c r="G94" s="567" t="s">
        <v>486</v>
      </c>
      <c r="H94" s="567" t="s">
        <v>486</v>
      </c>
      <c r="I94" s="730"/>
      <c r="J94" s="722"/>
      <c r="K94" s="734"/>
      <c r="L94" s="737"/>
      <c r="M94" s="709"/>
      <c r="N94" s="715" t="s">
        <v>487</v>
      </c>
      <c r="O94" s="717" t="s">
        <v>196</v>
      </c>
    </row>
    <row r="95" spans="1:15" x14ac:dyDescent="0.45">
      <c r="A95" s="568"/>
      <c r="B95" s="569"/>
      <c r="C95" s="570"/>
      <c r="D95" s="570"/>
      <c r="E95" s="570"/>
      <c r="F95" s="570"/>
      <c r="G95" s="570" t="s">
        <v>211</v>
      </c>
      <c r="H95" s="570" t="s">
        <v>212</v>
      </c>
      <c r="I95" s="731"/>
      <c r="J95" s="732"/>
      <c r="K95" s="735"/>
      <c r="L95" s="738"/>
      <c r="M95" s="710"/>
      <c r="N95" s="716"/>
      <c r="O95" s="718"/>
    </row>
    <row r="96" spans="1:15" x14ac:dyDescent="0.45">
      <c r="A96" s="571" t="s">
        <v>202</v>
      </c>
      <c r="B96" s="106"/>
      <c r="C96" s="107"/>
      <c r="D96" s="85"/>
      <c r="E96" s="85"/>
      <c r="F96" s="85"/>
      <c r="G96" s="85"/>
      <c r="H96" s="86"/>
      <c r="I96" s="719"/>
      <c r="J96" s="720"/>
      <c r="K96" s="572"/>
      <c r="L96" s="573" t="s">
        <v>488</v>
      </c>
      <c r="M96" s="574" t="s">
        <v>488</v>
      </c>
      <c r="N96" s="574" t="s">
        <v>488</v>
      </c>
      <c r="O96" s="575" t="s">
        <v>488</v>
      </c>
    </row>
    <row r="97" spans="1:15" x14ac:dyDescent="0.45">
      <c r="A97" s="576">
        <v>438401</v>
      </c>
      <c r="B97" s="83"/>
      <c r="C97" s="84" t="s">
        <v>498</v>
      </c>
      <c r="D97" s="85" t="s">
        <v>499</v>
      </c>
      <c r="E97" s="85" t="s">
        <v>461</v>
      </c>
      <c r="F97" s="109" t="s">
        <v>474</v>
      </c>
      <c r="G97" s="86">
        <v>3800</v>
      </c>
      <c r="H97" s="110">
        <v>0.94246031746031744</v>
      </c>
      <c r="I97" s="751">
        <v>2.486249999999357E-3</v>
      </c>
      <c r="J97" s="752"/>
      <c r="K97" s="577">
        <v>5.85</v>
      </c>
      <c r="L97" s="578">
        <v>0</v>
      </c>
      <c r="M97" s="577">
        <v>5.85</v>
      </c>
      <c r="N97" s="577">
        <v>0.32505343253968277</v>
      </c>
      <c r="O97" s="579">
        <v>6.6269091052771734E-2</v>
      </c>
    </row>
    <row r="98" spans="1:15" x14ac:dyDescent="0.45">
      <c r="A98" s="576">
        <v>438399</v>
      </c>
      <c r="B98" s="83"/>
      <c r="C98" s="84" t="s">
        <v>500</v>
      </c>
      <c r="D98" s="85" t="s">
        <v>501</v>
      </c>
      <c r="E98" s="85" t="s">
        <v>461</v>
      </c>
      <c r="F98" s="109" t="s">
        <v>462</v>
      </c>
      <c r="G98" s="86">
        <v>3800</v>
      </c>
      <c r="H98" s="110">
        <v>0.94246031746031744</v>
      </c>
      <c r="I98" s="751">
        <v>2.1037499999996268E-3</v>
      </c>
      <c r="J98" s="752"/>
      <c r="K98" s="580">
        <v>4.95</v>
      </c>
      <c r="L98" s="578">
        <v>0</v>
      </c>
      <c r="M98" s="577">
        <v>4.95</v>
      </c>
      <c r="N98" s="577">
        <v>0.16543593253968325</v>
      </c>
      <c r="O98" s="579">
        <v>4.1302853253924618E-2</v>
      </c>
    </row>
    <row r="99" spans="1:15" x14ac:dyDescent="0.45">
      <c r="A99" s="576">
        <v>438397</v>
      </c>
      <c r="B99" s="83"/>
      <c r="C99" s="84" t="s">
        <v>502</v>
      </c>
      <c r="D99" s="85" t="s">
        <v>503</v>
      </c>
      <c r="E99" s="85" t="s">
        <v>461</v>
      </c>
      <c r="F99" s="109" t="s">
        <v>462</v>
      </c>
      <c r="G99" s="86">
        <v>3800</v>
      </c>
      <c r="H99" s="110">
        <v>0.94246031746031744</v>
      </c>
      <c r="I99" s="751">
        <v>2.1037499999996268E-3</v>
      </c>
      <c r="J99" s="752"/>
      <c r="K99" s="580">
        <v>5.35</v>
      </c>
      <c r="L99" s="578">
        <v>0</v>
      </c>
      <c r="M99" s="577">
        <v>5.35</v>
      </c>
      <c r="N99" s="577">
        <v>0.34543593253968297</v>
      </c>
      <c r="O99" s="579">
        <v>7.8411294098775633E-2</v>
      </c>
    </row>
    <row r="100" spans="1:15" x14ac:dyDescent="0.45">
      <c r="A100" s="581"/>
      <c r="B100" s="582"/>
      <c r="C100" s="583" t="s">
        <v>222</v>
      </c>
      <c r="D100" s="584" t="s">
        <v>222</v>
      </c>
      <c r="E100" s="584" t="s">
        <v>222</v>
      </c>
      <c r="F100" s="585" t="s">
        <v>222</v>
      </c>
      <c r="G100" s="586" t="s">
        <v>222</v>
      </c>
      <c r="H100" s="587" t="s">
        <v>222</v>
      </c>
      <c r="I100" s="739"/>
      <c r="J100" s="740"/>
      <c r="K100" s="588" t="s">
        <v>222</v>
      </c>
      <c r="L100" s="589" t="s">
        <v>488</v>
      </c>
      <c r="M100" s="590" t="s">
        <v>488</v>
      </c>
      <c r="N100" s="590" t="s">
        <v>488</v>
      </c>
      <c r="O100" s="591" t="s">
        <v>488</v>
      </c>
    </row>
    <row r="101" spans="1:15" hidden="1" x14ac:dyDescent="0.4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</row>
    <row r="102" spans="1:15" hidden="1" x14ac:dyDescent="0.45">
      <c r="A102" s="592" t="s">
        <v>489</v>
      </c>
      <c r="B102" s="592"/>
      <c r="C102" s="592"/>
      <c r="D102" s="593" t="s">
        <v>488</v>
      </c>
      <c r="E102" s="593" t="s">
        <v>488</v>
      </c>
      <c r="F102" s="593" t="s">
        <v>488</v>
      </c>
      <c r="G102" s="593" t="s">
        <v>488</v>
      </c>
      <c r="H102" s="593" t="s">
        <v>488</v>
      </c>
      <c r="I102" s="593" t="s">
        <v>488</v>
      </c>
      <c r="J102" s="594"/>
      <c r="K102" s="592" t="s">
        <v>488</v>
      </c>
      <c r="L102" s="592" t="s">
        <v>488</v>
      </c>
      <c r="M102" s="55"/>
      <c r="N102" s="55"/>
    </row>
    <row r="103" spans="1:15" hidden="1" x14ac:dyDescent="0.45">
      <c r="A103" s="741" t="s">
        <v>142</v>
      </c>
      <c r="B103" s="742"/>
      <c r="C103" s="595" t="s">
        <v>153</v>
      </c>
      <c r="D103" s="595" t="s">
        <v>183</v>
      </c>
      <c r="E103" s="595" t="s">
        <v>122</v>
      </c>
      <c r="F103" s="595" t="s">
        <v>184</v>
      </c>
      <c r="G103" s="595" t="s">
        <v>185</v>
      </c>
      <c r="H103" s="743" t="s">
        <v>490</v>
      </c>
      <c r="I103" s="745" t="s">
        <v>491</v>
      </c>
      <c r="J103" s="743" t="s">
        <v>492</v>
      </c>
      <c r="K103" s="747" t="s">
        <v>493</v>
      </c>
      <c r="L103" s="748"/>
      <c r="M103" s="55"/>
    </row>
    <row r="104" spans="1:15" ht="31.5" hidden="1" customHeight="1" x14ac:dyDescent="0.45">
      <c r="A104" s="749" t="s">
        <v>183</v>
      </c>
      <c r="B104" s="750"/>
      <c r="C104" s="596" t="s">
        <v>488</v>
      </c>
      <c r="D104" s="597" t="s">
        <v>488</v>
      </c>
      <c r="E104" s="597" t="s">
        <v>488</v>
      </c>
      <c r="F104" s="597" t="s">
        <v>190</v>
      </c>
      <c r="G104" s="597" t="s">
        <v>191</v>
      </c>
      <c r="H104" s="744"/>
      <c r="I104" s="746"/>
      <c r="J104" s="744"/>
      <c r="K104" s="599" t="s">
        <v>479</v>
      </c>
      <c r="L104" s="600" t="s">
        <v>196</v>
      </c>
      <c r="M104" s="55"/>
    </row>
    <row r="105" spans="1:15" hidden="1" x14ac:dyDescent="0.45">
      <c r="A105" s="601" t="s">
        <v>202</v>
      </c>
      <c r="B105" s="602" t="s">
        <v>488</v>
      </c>
      <c r="C105" s="602" t="s">
        <v>488</v>
      </c>
      <c r="D105" s="574" t="s">
        <v>488</v>
      </c>
      <c r="E105" s="574" t="s">
        <v>488</v>
      </c>
      <c r="F105" s="574" t="s">
        <v>488</v>
      </c>
      <c r="G105" s="574" t="s">
        <v>488</v>
      </c>
      <c r="H105" s="574" t="s">
        <v>488</v>
      </c>
      <c r="I105" s="574" t="s">
        <v>488</v>
      </c>
      <c r="J105" s="574" t="s">
        <v>488</v>
      </c>
      <c r="K105" s="574" t="s">
        <v>488</v>
      </c>
      <c r="L105" s="575" t="s">
        <v>488</v>
      </c>
      <c r="M105" s="55"/>
    </row>
    <row r="106" spans="1:15" hidden="1" x14ac:dyDescent="0.45">
      <c r="A106" s="603">
        <v>438401</v>
      </c>
      <c r="B106" s="574"/>
      <c r="C106" s="574" t="s">
        <v>498</v>
      </c>
      <c r="D106" s="604" t="s">
        <v>499</v>
      </c>
      <c r="E106" s="604" t="s">
        <v>461</v>
      </c>
      <c r="F106" s="605" t="s">
        <v>474</v>
      </c>
      <c r="G106" s="606">
        <v>40</v>
      </c>
      <c r="H106" s="607">
        <v>7.7</v>
      </c>
      <c r="I106" s="607">
        <v>0</v>
      </c>
      <c r="J106" s="564">
        <v>7.7</v>
      </c>
      <c r="K106" s="608">
        <v>2.0034252201587304</v>
      </c>
      <c r="L106" s="609">
        <v>0.26018509352710784</v>
      </c>
      <c r="M106" s="610"/>
      <c r="N106" s="611"/>
    </row>
    <row r="107" spans="1:15" hidden="1" x14ac:dyDescent="0.45">
      <c r="A107" s="603">
        <v>438399</v>
      </c>
      <c r="B107" s="574"/>
      <c r="C107" s="574" t="s">
        <v>500</v>
      </c>
      <c r="D107" s="604" t="s">
        <v>501</v>
      </c>
      <c r="E107" s="604" t="s">
        <v>461</v>
      </c>
      <c r="F107" s="605" t="s">
        <v>462</v>
      </c>
      <c r="G107" s="606">
        <v>40</v>
      </c>
      <c r="H107" s="607">
        <v>7.7</v>
      </c>
      <c r="I107" s="607">
        <v>0</v>
      </c>
      <c r="J107" s="564">
        <v>7.7</v>
      </c>
      <c r="K107" s="608">
        <v>2.8280857601587304</v>
      </c>
      <c r="L107" s="609">
        <v>0.36728386495567927</v>
      </c>
      <c r="M107" s="55"/>
    </row>
    <row r="108" spans="1:15" hidden="1" x14ac:dyDescent="0.45">
      <c r="A108" s="603">
        <v>438397</v>
      </c>
      <c r="B108" s="574"/>
      <c r="C108" s="574" t="s">
        <v>502</v>
      </c>
      <c r="D108" s="604" t="s">
        <v>503</v>
      </c>
      <c r="E108" s="604" t="s">
        <v>461</v>
      </c>
      <c r="F108" s="605" t="s">
        <v>462</v>
      </c>
      <c r="G108" s="606">
        <v>40</v>
      </c>
      <c r="H108" s="607">
        <v>7.7</v>
      </c>
      <c r="I108" s="607">
        <v>0</v>
      </c>
      <c r="J108" s="564">
        <v>7.7</v>
      </c>
      <c r="K108" s="608">
        <v>2.5130457601587306</v>
      </c>
      <c r="L108" s="609">
        <v>0.32636957924139359</v>
      </c>
      <c r="M108" s="55"/>
    </row>
    <row r="109" spans="1:15" hidden="1" x14ac:dyDescent="0.45">
      <c r="A109" s="612" t="s">
        <v>488</v>
      </c>
      <c r="B109" s="613" t="s">
        <v>488</v>
      </c>
      <c r="C109" s="613" t="s">
        <v>488</v>
      </c>
      <c r="D109" s="613" t="s">
        <v>488</v>
      </c>
      <c r="E109" s="613" t="s">
        <v>488</v>
      </c>
      <c r="F109" s="613" t="s">
        <v>488</v>
      </c>
      <c r="G109" s="613" t="s">
        <v>488</v>
      </c>
      <c r="H109" s="613" t="s">
        <v>488</v>
      </c>
      <c r="I109" s="613" t="s">
        <v>488</v>
      </c>
      <c r="J109" s="613" t="s">
        <v>488</v>
      </c>
      <c r="K109" s="613" t="s">
        <v>488</v>
      </c>
      <c r="L109" s="614" t="s">
        <v>488</v>
      </c>
      <c r="M109" s="55"/>
    </row>
    <row r="110" spans="1:15" hidden="1" x14ac:dyDescent="0.4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</row>
    <row r="111" spans="1:15" hidden="1" x14ac:dyDescent="0.45">
      <c r="A111" s="693" t="s">
        <v>215</v>
      </c>
      <c r="B111" s="694"/>
      <c r="C111" s="695"/>
      <c r="D111" s="693" t="s">
        <v>216</v>
      </c>
      <c r="E111" s="694"/>
      <c r="F111" s="694"/>
      <c r="G111" s="694"/>
      <c r="H111" s="695"/>
      <c r="I111" s="693" t="s">
        <v>217</v>
      </c>
      <c r="J111" s="694"/>
      <c r="K111" s="694"/>
      <c r="L111" s="694"/>
      <c r="M111" s="694"/>
      <c r="N111" s="695"/>
    </row>
    <row r="112" spans="1:15" hidden="1" x14ac:dyDescent="0.45">
      <c r="A112" s="125"/>
      <c r="B112" s="55"/>
      <c r="C112" s="126"/>
      <c r="D112" s="125"/>
      <c r="E112" s="55"/>
      <c r="F112" s="55"/>
      <c r="G112" s="55"/>
      <c r="H112" s="126"/>
      <c r="I112" s="125"/>
      <c r="J112" s="55"/>
      <c r="K112" s="55"/>
      <c r="L112" s="55"/>
      <c r="M112" s="55"/>
      <c r="N112" s="126"/>
    </row>
    <row r="113" spans="1:14" hidden="1" x14ac:dyDescent="0.45">
      <c r="A113" s="125"/>
      <c r="B113" s="55"/>
      <c r="C113" s="126"/>
      <c r="D113" s="125"/>
      <c r="E113" s="55"/>
      <c r="F113" s="55"/>
      <c r="G113" s="55"/>
      <c r="H113" s="126"/>
      <c r="I113" s="125"/>
      <c r="J113" s="55"/>
      <c r="K113" s="55"/>
      <c r="L113" s="55"/>
      <c r="M113" s="55"/>
      <c r="N113" s="126"/>
    </row>
    <row r="114" spans="1:14" hidden="1" x14ac:dyDescent="0.45">
      <c r="A114" s="125"/>
      <c r="B114" s="55"/>
      <c r="C114" s="126"/>
      <c r="D114" s="125"/>
      <c r="E114" s="55"/>
      <c r="F114" s="55"/>
      <c r="G114" s="55"/>
      <c r="H114" s="126"/>
      <c r="I114" s="125"/>
      <c r="J114" s="55"/>
      <c r="K114" s="55"/>
      <c r="L114" s="55"/>
      <c r="M114" s="55"/>
      <c r="N114" s="126"/>
    </row>
    <row r="115" spans="1:14" hidden="1" x14ac:dyDescent="0.45">
      <c r="A115" s="125"/>
      <c r="B115" s="55"/>
      <c r="C115" s="126"/>
      <c r="D115" s="125"/>
      <c r="E115" s="55"/>
      <c r="F115" s="55"/>
      <c r="G115" s="55"/>
      <c r="H115" s="126"/>
      <c r="I115" s="125"/>
      <c r="J115" s="55"/>
      <c r="K115" s="55"/>
      <c r="L115" s="55"/>
      <c r="M115" s="55"/>
      <c r="N115" s="126"/>
    </row>
    <row r="116" spans="1:14" hidden="1" x14ac:dyDescent="0.45">
      <c r="A116" s="125"/>
      <c r="B116" s="55"/>
      <c r="C116" s="126"/>
      <c r="D116" s="125"/>
      <c r="E116" s="55"/>
      <c r="F116" s="55"/>
      <c r="G116" s="55"/>
      <c r="H116" s="126"/>
      <c r="I116" s="125"/>
      <c r="J116" s="55"/>
      <c r="K116" s="55"/>
      <c r="L116" s="55"/>
      <c r="M116" s="55"/>
      <c r="N116" s="126"/>
    </row>
    <row r="117" spans="1:14" hidden="1" x14ac:dyDescent="0.45">
      <c r="A117" s="696" t="s">
        <v>466</v>
      </c>
      <c r="B117" s="697"/>
      <c r="C117" s="698"/>
      <c r="D117" s="696" t="s">
        <v>218</v>
      </c>
      <c r="E117" s="697"/>
      <c r="F117" s="697" t="s">
        <v>219</v>
      </c>
      <c r="G117" s="697"/>
      <c r="H117" s="698"/>
      <c r="I117" s="696" t="s">
        <v>494</v>
      </c>
      <c r="J117" s="697"/>
      <c r="K117" s="697"/>
      <c r="L117" s="697"/>
      <c r="M117" s="697"/>
      <c r="N117" s="698"/>
    </row>
    <row r="118" spans="1:14" hidden="1" x14ac:dyDescent="0.45"/>
    <row r="119" spans="1:14" hidden="1" x14ac:dyDescent="0.45"/>
    <row r="120" spans="1:14" hidden="1" x14ac:dyDescent="0.45"/>
    <row r="121" spans="1:14" hidden="1" x14ac:dyDescent="0.45"/>
    <row r="122" spans="1:14" hidden="1" x14ac:dyDescent="0.45"/>
    <row r="123" spans="1:14" hidden="1" x14ac:dyDescent="0.45"/>
    <row r="124" spans="1:14" x14ac:dyDescent="0.45">
      <c r="A124" s="53" t="s">
        <v>177</v>
      </c>
      <c r="B124" s="53" t="s">
        <v>178</v>
      </c>
      <c r="C124" s="54">
        <v>1768</v>
      </c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</row>
    <row r="125" spans="1:14" x14ac:dyDescent="0.45">
      <c r="A125" s="53" t="s">
        <v>109</v>
      </c>
      <c r="B125" s="53" t="s">
        <v>178</v>
      </c>
      <c r="C125" s="55" t="s">
        <v>110</v>
      </c>
      <c r="D125" s="56"/>
      <c r="E125" s="55"/>
      <c r="F125" s="55"/>
      <c r="G125" s="55"/>
      <c r="H125" s="55"/>
      <c r="I125" s="55"/>
      <c r="J125" s="55"/>
      <c r="K125" s="55"/>
      <c r="L125" s="55"/>
      <c r="M125" s="55"/>
      <c r="N125" s="55"/>
    </row>
    <row r="126" spans="1:14" x14ac:dyDescent="0.45">
      <c r="A126" s="53" t="s">
        <v>7</v>
      </c>
      <c r="B126" s="53" t="s">
        <v>178</v>
      </c>
      <c r="C126" s="55" t="s">
        <v>61</v>
      </c>
      <c r="D126" s="56"/>
      <c r="E126" s="56"/>
      <c r="F126" s="55"/>
      <c r="G126" s="55"/>
      <c r="H126" s="55"/>
      <c r="I126" s="55"/>
      <c r="J126" s="55"/>
      <c r="K126" s="55"/>
      <c r="L126" s="55"/>
      <c r="M126" s="55"/>
      <c r="N126" s="55"/>
    </row>
    <row r="127" spans="1:14" x14ac:dyDescent="0.45">
      <c r="A127" s="53" t="s">
        <v>140</v>
      </c>
      <c r="B127" s="53" t="s">
        <v>178</v>
      </c>
      <c r="C127" s="55" t="s">
        <v>516</v>
      </c>
      <c r="D127" s="56"/>
      <c r="E127" s="56"/>
      <c r="F127" s="55"/>
      <c r="G127" s="55"/>
      <c r="H127" s="55"/>
      <c r="I127" s="55"/>
      <c r="J127" s="55"/>
      <c r="K127" s="55"/>
      <c r="L127" s="55"/>
      <c r="M127" s="55"/>
      <c r="N127" s="55"/>
    </row>
    <row r="128" spans="1:14" x14ac:dyDescent="0.45">
      <c r="A128" s="53" t="s">
        <v>141</v>
      </c>
      <c r="B128" s="53" t="s">
        <v>178</v>
      </c>
      <c r="C128" s="55" t="s">
        <v>517</v>
      </c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</row>
    <row r="129" spans="1:15" x14ac:dyDescent="0.45">
      <c r="A129" s="53" t="s">
        <v>179</v>
      </c>
      <c r="B129" s="53" t="s">
        <v>178</v>
      </c>
      <c r="C129" s="57">
        <v>45681</v>
      </c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</row>
    <row r="130" spans="1:15" hidden="1" x14ac:dyDescent="0.4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</row>
    <row r="131" spans="1:15" hidden="1" x14ac:dyDescent="0.45">
      <c r="A131" s="58" t="s">
        <v>506</v>
      </c>
      <c r="B131" s="58"/>
      <c r="C131" s="58"/>
      <c r="D131" s="59"/>
      <c r="E131" s="59"/>
      <c r="F131" s="59"/>
      <c r="G131" s="59"/>
      <c r="H131" s="59"/>
      <c r="I131" s="59"/>
      <c r="J131" s="55"/>
      <c r="K131" s="60" t="s">
        <v>181</v>
      </c>
      <c r="L131" s="615">
        <v>1</v>
      </c>
      <c r="M131" s="58" t="s">
        <v>192</v>
      </c>
      <c r="N131" s="55"/>
    </row>
    <row r="132" spans="1:15" hidden="1" x14ac:dyDescent="0.45">
      <c r="A132" s="704" t="s">
        <v>142</v>
      </c>
      <c r="B132" s="705"/>
      <c r="C132" s="62" t="s">
        <v>153</v>
      </c>
      <c r="D132" s="62" t="s">
        <v>183</v>
      </c>
      <c r="E132" s="62" t="s">
        <v>122</v>
      </c>
      <c r="F132" s="62" t="s">
        <v>184</v>
      </c>
      <c r="G132" s="62" t="s">
        <v>185</v>
      </c>
      <c r="H132" s="63" t="s">
        <v>186</v>
      </c>
      <c r="I132" s="63"/>
      <c r="J132" s="63" t="s">
        <v>187</v>
      </c>
      <c r="K132" s="63"/>
      <c r="L132" s="721" t="s">
        <v>507</v>
      </c>
      <c r="M132" s="63" t="s">
        <v>189</v>
      </c>
      <c r="N132" s="63"/>
    </row>
    <row r="133" spans="1:15" hidden="1" x14ac:dyDescent="0.45">
      <c r="A133" s="706" t="s">
        <v>183</v>
      </c>
      <c r="B133" s="707"/>
      <c r="C133" s="66"/>
      <c r="D133" s="67"/>
      <c r="E133" s="67"/>
      <c r="F133" s="67" t="s">
        <v>190</v>
      </c>
      <c r="G133" s="67" t="s">
        <v>191</v>
      </c>
      <c r="H133" s="62" t="s">
        <v>148</v>
      </c>
      <c r="I133" s="62">
        <v>40</v>
      </c>
      <c r="J133" s="62" t="s">
        <v>192</v>
      </c>
      <c r="K133" s="62" t="s">
        <v>192</v>
      </c>
      <c r="L133" s="722"/>
      <c r="M133" s="62" t="s">
        <v>195</v>
      </c>
      <c r="N133" s="62" t="s">
        <v>196</v>
      </c>
    </row>
    <row r="134" spans="1:15" hidden="1" x14ac:dyDescent="0.45">
      <c r="A134" s="69"/>
      <c r="B134" s="70"/>
      <c r="C134" s="71"/>
      <c r="D134" s="72"/>
      <c r="E134" s="72"/>
      <c r="F134" s="72"/>
      <c r="G134" s="72"/>
      <c r="H134" s="72"/>
      <c r="I134" s="72" t="s">
        <v>197</v>
      </c>
      <c r="J134" s="72" t="s">
        <v>198</v>
      </c>
      <c r="K134" s="72" t="s">
        <v>199</v>
      </c>
      <c r="L134" s="723"/>
      <c r="M134" s="72"/>
      <c r="N134" s="72" t="s">
        <v>201</v>
      </c>
    </row>
    <row r="135" spans="1:15" hidden="1" x14ac:dyDescent="0.45">
      <c r="A135" s="74" t="s">
        <v>202</v>
      </c>
      <c r="B135" s="75"/>
      <c r="C135" s="76"/>
      <c r="D135" s="77"/>
      <c r="E135" s="77"/>
      <c r="F135" s="77"/>
      <c r="G135" s="77"/>
      <c r="H135" s="78"/>
      <c r="I135" s="78"/>
      <c r="J135" s="78"/>
      <c r="K135" s="79"/>
      <c r="L135" s="560"/>
      <c r="M135" s="79"/>
      <c r="N135" s="81"/>
    </row>
    <row r="136" spans="1:15" hidden="1" x14ac:dyDescent="0.45">
      <c r="A136" s="82">
        <v>433370</v>
      </c>
      <c r="B136" s="83"/>
      <c r="C136" s="84" t="s">
        <v>518</v>
      </c>
      <c r="D136" s="85" t="s">
        <v>519</v>
      </c>
      <c r="E136" s="85" t="s">
        <v>520</v>
      </c>
      <c r="F136" s="85" t="s">
        <v>462</v>
      </c>
      <c r="G136" s="85">
        <v>40</v>
      </c>
      <c r="H136" s="86" t="s">
        <v>222</v>
      </c>
      <c r="I136" s="86">
        <v>4200</v>
      </c>
      <c r="J136" s="562">
        <v>8.8601757897519992E-2</v>
      </c>
      <c r="K136" s="563">
        <v>3.5440703159007998</v>
      </c>
      <c r="L136" s="564">
        <v>4.4000000000000004</v>
      </c>
      <c r="M136" s="87">
        <v>0.85592968409920056</v>
      </c>
      <c r="N136" s="89">
        <v>0.19452947365890921</v>
      </c>
    </row>
    <row r="137" spans="1:15" hidden="1" x14ac:dyDescent="0.45">
      <c r="A137" s="82">
        <v>433371</v>
      </c>
      <c r="B137" s="83"/>
      <c r="C137" s="84" t="s">
        <v>521</v>
      </c>
      <c r="D137" s="85" t="s">
        <v>522</v>
      </c>
      <c r="E137" s="85" t="s">
        <v>520</v>
      </c>
      <c r="F137" s="85" t="s">
        <v>462</v>
      </c>
      <c r="G137" s="85">
        <v>40</v>
      </c>
      <c r="H137" s="86" t="s">
        <v>222</v>
      </c>
      <c r="I137" s="86">
        <v>4200</v>
      </c>
      <c r="J137" s="562">
        <v>8.8161307383922E-2</v>
      </c>
      <c r="K137" s="563">
        <v>3.5264522953568802</v>
      </c>
      <c r="L137" s="564">
        <v>4.4000000000000004</v>
      </c>
      <c r="M137" s="87">
        <v>0.87354770464312015</v>
      </c>
      <c r="N137" s="89">
        <v>0.19853356923707274</v>
      </c>
    </row>
    <row r="138" spans="1:15" hidden="1" x14ac:dyDescent="0.45">
      <c r="A138" s="82">
        <v>433372</v>
      </c>
      <c r="B138" s="83"/>
      <c r="C138" s="84" t="s">
        <v>523</v>
      </c>
      <c r="D138" s="85" t="s">
        <v>524</v>
      </c>
      <c r="E138" s="85" t="s">
        <v>520</v>
      </c>
      <c r="F138" s="85" t="s">
        <v>462</v>
      </c>
      <c r="G138" s="85">
        <v>40</v>
      </c>
      <c r="H138" s="86" t="s">
        <v>222</v>
      </c>
      <c r="I138" s="86">
        <v>4200</v>
      </c>
      <c r="J138" s="562">
        <v>9.9338908528609743E-2</v>
      </c>
      <c r="K138" s="563">
        <v>3.9735563411443899</v>
      </c>
      <c r="L138" s="564">
        <v>4.8</v>
      </c>
      <c r="M138" s="87">
        <v>0.82644365885560989</v>
      </c>
      <c r="N138" s="89">
        <v>0.1721757622615854</v>
      </c>
    </row>
    <row r="139" spans="1:15" hidden="1" x14ac:dyDescent="0.45">
      <c r="A139" s="82">
        <v>435422</v>
      </c>
      <c r="B139" s="83"/>
      <c r="C139" s="84" t="s">
        <v>525</v>
      </c>
      <c r="D139" s="85" t="s">
        <v>526</v>
      </c>
      <c r="E139" s="85" t="s">
        <v>520</v>
      </c>
      <c r="F139" s="85" t="s">
        <v>462</v>
      </c>
      <c r="G139" s="85">
        <v>40</v>
      </c>
      <c r="H139" s="86" t="s">
        <v>222</v>
      </c>
      <c r="I139" s="86">
        <v>4200</v>
      </c>
      <c r="J139" s="562">
        <v>9.9635426428402257E-2</v>
      </c>
      <c r="K139" s="563">
        <v>3.9854170571360901</v>
      </c>
      <c r="L139" s="564">
        <v>4.8</v>
      </c>
      <c r="M139" s="87">
        <v>0.81458294286390975</v>
      </c>
      <c r="N139" s="89">
        <v>0.16970477976331455</v>
      </c>
    </row>
    <row r="140" spans="1:15" hidden="1" x14ac:dyDescent="0.45">
      <c r="A140" s="82">
        <v>435421</v>
      </c>
      <c r="B140" s="83"/>
      <c r="C140" s="84" t="s">
        <v>527</v>
      </c>
      <c r="D140" s="85" t="s">
        <v>528</v>
      </c>
      <c r="E140" s="85" t="s">
        <v>520</v>
      </c>
      <c r="F140" s="85" t="s">
        <v>462</v>
      </c>
      <c r="G140" s="85">
        <v>40</v>
      </c>
      <c r="H140" s="86" t="s">
        <v>222</v>
      </c>
      <c r="I140" s="86">
        <v>4200</v>
      </c>
      <c r="J140" s="562">
        <v>9.6846241869136998E-2</v>
      </c>
      <c r="K140" s="563">
        <v>3.8738496747654798</v>
      </c>
      <c r="L140" s="564">
        <v>4.8</v>
      </c>
      <c r="M140" s="87">
        <v>0.92615032523452001</v>
      </c>
      <c r="N140" s="89">
        <v>0.19294798442385835</v>
      </c>
    </row>
    <row r="141" spans="1:15" hidden="1" x14ac:dyDescent="0.45">
      <c r="A141" s="90"/>
      <c r="B141" s="91"/>
      <c r="C141" s="92" t="str">
        <f>IFERROR(VLOOKUP($B141,[1]!SKUData[#Data],2,FALSE),"")</f>
        <v/>
      </c>
      <c r="D141" s="93" t="str">
        <f>IFERROR(VLOOKUP($B141,[1]!SKUData[#Data],12,FALSE),"")</f>
        <v/>
      </c>
      <c r="E141" s="93" t="str">
        <f>IFERROR(VLOOKUP($B141,[1]!SKUData[#Data],16,FALSE),"")</f>
        <v/>
      </c>
      <c r="F141" s="93" t="str">
        <f>IFERROR(VLOOKUP($B141,[1]!SKUData[#Data],17,FALSE),"")</f>
        <v/>
      </c>
      <c r="G141" s="93" t="str">
        <f>IFERROR(VLOOKUP($B141,[1]!SKUData[#Data],15,FALSE),"")</f>
        <v/>
      </c>
      <c r="H141" s="94" t="e">
        <f>IF(SUMIFS([1]!Table2[20''],[1]!Table2[No],#REF!,[1]!Table2[Material],#REF!)=0,"",SUMIFS([1]!Table2[20''],[1]!Table2[No],#REF!,[1]!Table2[Material],A141))</f>
        <v>#REF!</v>
      </c>
      <c r="I141" s="94" t="e">
        <f>IF(SUMIFS([1]!Table2[40'' HQ],[1]!Table2[No],#REF!,[1]!Table2[Material],#REF!)=0,"",SUMIFS([1]!Table2[40'' HQ],[1]!Table2[No],#REF!,[1]!Table2[Material],A141))</f>
        <v>#REF!</v>
      </c>
      <c r="J141" s="94" t="e">
        <f>IF(SUMIFS([1]!Table2[COGS],[1]!Table2[No],#REF!,[1]!Table2[Material],#REF!)=0,"",SUMIFS([1]!Table2[COGS],[1]!Table2[No],#REF!,[1]!Table2[Material],A141))</f>
        <v>#REF!</v>
      </c>
      <c r="K141" s="95" t="e">
        <f>IF(SUMIFS([1]!Table2[COGS (USD)],[1]!Table2[No],#REF!,[1]!Table2[Material],#REF!)=0,"",SUMIFS([1]!Table2[COGS (USD)],[1]!Table2[No],#REF!,[1]!Table2[Material],A141))</f>
        <v>#REF!</v>
      </c>
      <c r="L141" s="565"/>
      <c r="M141" s="95" t="str">
        <f>IF(L141="","",L141-K141)</f>
        <v/>
      </c>
      <c r="N141" s="97" t="str">
        <f>IFERROR(M141/L141,"")</f>
        <v/>
      </c>
    </row>
    <row r="142" spans="1:15" hidden="1" x14ac:dyDescent="0.45">
      <c r="A142" s="98"/>
      <c r="B142" s="55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</row>
    <row r="143" spans="1:15" x14ac:dyDescent="0.45">
      <c r="A143" s="58" t="s">
        <v>508</v>
      </c>
      <c r="B143" s="58"/>
      <c r="C143" s="58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</row>
    <row r="144" spans="1:15" ht="31.9" customHeight="1" x14ac:dyDescent="0.45">
      <c r="A144" s="724" t="s">
        <v>142</v>
      </c>
      <c r="B144" s="725"/>
      <c r="C144" s="566" t="s">
        <v>153</v>
      </c>
      <c r="D144" s="566" t="s">
        <v>183</v>
      </c>
      <c r="E144" s="566" t="s">
        <v>122</v>
      </c>
      <c r="F144" s="566" t="s">
        <v>184</v>
      </c>
      <c r="G144" s="726" t="s">
        <v>147</v>
      </c>
      <c r="H144" s="727"/>
      <c r="I144" s="728" t="s">
        <v>509</v>
      </c>
      <c r="J144" s="729"/>
      <c r="K144" s="733" t="s">
        <v>510</v>
      </c>
      <c r="L144" s="736" t="s">
        <v>483</v>
      </c>
      <c r="M144" s="708" t="s">
        <v>511</v>
      </c>
      <c r="N144" s="711" t="s">
        <v>512</v>
      </c>
      <c r="O144" s="712"/>
    </row>
    <row r="145" spans="1:15" x14ac:dyDescent="0.45">
      <c r="A145" s="713" t="s">
        <v>183</v>
      </c>
      <c r="B145" s="714"/>
      <c r="C145" s="567"/>
      <c r="D145" s="567"/>
      <c r="E145" s="567"/>
      <c r="F145" s="567" t="s">
        <v>190</v>
      </c>
      <c r="G145" s="567" t="s">
        <v>207</v>
      </c>
      <c r="H145" s="567" t="s">
        <v>207</v>
      </c>
      <c r="I145" s="730"/>
      <c r="J145" s="722"/>
      <c r="K145" s="734"/>
      <c r="L145" s="737"/>
      <c r="M145" s="709"/>
      <c r="N145" s="715" t="s">
        <v>513</v>
      </c>
      <c r="O145" s="717" t="s">
        <v>196</v>
      </c>
    </row>
    <row r="146" spans="1:15" x14ac:dyDescent="0.45">
      <c r="A146" s="568"/>
      <c r="B146" s="569"/>
      <c r="C146" s="570"/>
      <c r="D146" s="570"/>
      <c r="E146" s="570"/>
      <c r="F146" s="570"/>
      <c r="G146" s="570" t="s">
        <v>211</v>
      </c>
      <c r="H146" s="570" t="s">
        <v>212</v>
      </c>
      <c r="I146" s="731"/>
      <c r="J146" s="732"/>
      <c r="K146" s="735"/>
      <c r="L146" s="738"/>
      <c r="M146" s="710"/>
      <c r="N146" s="716"/>
      <c r="O146" s="718"/>
    </row>
    <row r="147" spans="1:15" x14ac:dyDescent="0.45">
      <c r="A147" s="571" t="s">
        <v>202</v>
      </c>
      <c r="B147" s="106"/>
      <c r="C147" s="107"/>
      <c r="D147" s="85"/>
      <c r="E147" s="85"/>
      <c r="F147" s="85"/>
      <c r="G147" s="85"/>
      <c r="H147" s="86"/>
      <c r="I147" s="719"/>
      <c r="J147" s="720"/>
      <c r="K147" s="572"/>
      <c r="L147" s="573" t="s">
        <v>488</v>
      </c>
      <c r="M147" s="574" t="s">
        <v>488</v>
      </c>
      <c r="N147" s="574" t="s">
        <v>488</v>
      </c>
      <c r="O147" s="575" t="s">
        <v>488</v>
      </c>
    </row>
    <row r="148" spans="1:15" x14ac:dyDescent="0.45">
      <c r="A148" s="576">
        <v>433370</v>
      </c>
      <c r="B148" s="83"/>
      <c r="C148" s="84" t="s">
        <v>518</v>
      </c>
      <c r="D148" s="85" t="s">
        <v>519</v>
      </c>
      <c r="E148" s="85" t="s">
        <v>520</v>
      </c>
      <c r="F148" s="109" t="s">
        <v>462</v>
      </c>
      <c r="G148" s="86">
        <v>3000</v>
      </c>
      <c r="H148" s="110">
        <v>0.7142857142857143</v>
      </c>
      <c r="I148" s="751">
        <v>-0.7142857142857143</v>
      </c>
      <c r="J148" s="752"/>
      <c r="K148" s="577">
        <v>4.4000000000000004</v>
      </c>
      <c r="L148" s="578">
        <v>0</v>
      </c>
      <c r="M148" s="577">
        <v>4.4000000000000004</v>
      </c>
      <c r="N148" s="577">
        <v>0.85592968409920056</v>
      </c>
      <c r="O148" s="579">
        <v>0.19452947365890921</v>
      </c>
    </row>
    <row r="149" spans="1:15" x14ac:dyDescent="0.45">
      <c r="A149" s="576">
        <v>433371</v>
      </c>
      <c r="B149" s="83"/>
      <c r="C149" s="84" t="s">
        <v>521</v>
      </c>
      <c r="D149" s="85" t="s">
        <v>522</v>
      </c>
      <c r="E149" s="85" t="s">
        <v>520</v>
      </c>
      <c r="F149" s="109" t="s">
        <v>462</v>
      </c>
      <c r="G149" s="86">
        <v>3000</v>
      </c>
      <c r="H149" s="110">
        <v>0.7142857142857143</v>
      </c>
      <c r="I149" s="751">
        <v>-0.7142857142857143</v>
      </c>
      <c r="J149" s="752"/>
      <c r="K149" s="580">
        <v>4.4000000000000004</v>
      </c>
      <c r="L149" s="578">
        <v>0</v>
      </c>
      <c r="M149" s="577">
        <v>4.4000000000000004</v>
      </c>
      <c r="N149" s="577">
        <v>0.87354770464312015</v>
      </c>
      <c r="O149" s="579">
        <v>0.19853356923707274</v>
      </c>
    </row>
    <row r="150" spans="1:15" x14ac:dyDescent="0.45">
      <c r="A150" s="576">
        <v>433372</v>
      </c>
      <c r="B150" s="83"/>
      <c r="C150" s="84" t="s">
        <v>523</v>
      </c>
      <c r="D150" s="85" t="s">
        <v>524</v>
      </c>
      <c r="E150" s="85" t="s">
        <v>520</v>
      </c>
      <c r="F150" s="109" t="s">
        <v>462</v>
      </c>
      <c r="G150" s="86">
        <v>3000</v>
      </c>
      <c r="H150" s="110">
        <v>0.7142857142857143</v>
      </c>
      <c r="I150" s="751">
        <v>-0.7142857142857143</v>
      </c>
      <c r="J150" s="752"/>
      <c r="K150" s="580">
        <v>4.8</v>
      </c>
      <c r="L150" s="578">
        <v>0</v>
      </c>
      <c r="M150" s="577">
        <v>4.8</v>
      </c>
      <c r="N150" s="577">
        <v>0.82644365885560989</v>
      </c>
      <c r="O150" s="579">
        <v>0.1721757622615854</v>
      </c>
    </row>
    <row r="151" spans="1:15" x14ac:dyDescent="0.45">
      <c r="A151" s="576">
        <v>435422</v>
      </c>
      <c r="B151" s="83"/>
      <c r="C151" s="84" t="s">
        <v>525</v>
      </c>
      <c r="D151" s="85" t="s">
        <v>526</v>
      </c>
      <c r="E151" s="85" t="s">
        <v>520</v>
      </c>
      <c r="F151" s="109" t="s">
        <v>462</v>
      </c>
      <c r="G151" s="86">
        <v>3000</v>
      </c>
      <c r="H151" s="110">
        <v>0.7142857142857143</v>
      </c>
      <c r="I151" s="751">
        <v>-0.7142857142857143</v>
      </c>
      <c r="J151" s="752"/>
      <c r="K151" s="580">
        <v>4.8</v>
      </c>
      <c r="L151" s="578">
        <v>0</v>
      </c>
      <c r="M151" s="577">
        <v>4.8</v>
      </c>
      <c r="N151" s="577">
        <v>0.81458294286390975</v>
      </c>
      <c r="O151" s="579">
        <v>0.16970477976331455</v>
      </c>
    </row>
    <row r="152" spans="1:15" x14ac:dyDescent="0.45">
      <c r="A152" s="576">
        <v>435421</v>
      </c>
      <c r="B152" s="83"/>
      <c r="C152" s="84" t="s">
        <v>527</v>
      </c>
      <c r="D152" s="85" t="s">
        <v>528</v>
      </c>
      <c r="E152" s="85" t="s">
        <v>520</v>
      </c>
      <c r="F152" s="109" t="s">
        <v>462</v>
      </c>
      <c r="G152" s="86">
        <v>3000</v>
      </c>
      <c r="H152" s="110">
        <v>0.7142857142857143</v>
      </c>
      <c r="I152" s="751">
        <v>-0.7142857142857143</v>
      </c>
      <c r="J152" s="752"/>
      <c r="K152" s="580">
        <v>4.8</v>
      </c>
      <c r="L152" s="578">
        <v>0</v>
      </c>
      <c r="M152" s="577">
        <v>4.8</v>
      </c>
      <c r="N152" s="577">
        <v>0.21186461094880571</v>
      </c>
      <c r="O152" s="579">
        <v>4.4138460614334525E-2</v>
      </c>
    </row>
    <row r="153" spans="1:15" x14ac:dyDescent="0.45">
      <c r="A153" s="581"/>
      <c r="B153" s="582"/>
      <c r="C153" s="583" t="str">
        <f>IFERROR(VLOOKUP(A153,[1]!SKUData[#Data],2,FALSE),"")</f>
        <v/>
      </c>
      <c r="D153" s="584" t="str">
        <f>IFERROR(VLOOKUP($B153,[1]!SKUData[#Data],12,FALSE),"")</f>
        <v/>
      </c>
      <c r="E153" s="584" t="str">
        <f>IFERROR(VLOOKUP($B153,[1]!SKUData[#Data],16,FALSE),"")</f>
        <v/>
      </c>
      <c r="F153" s="585" t="str">
        <f>IFERROR(VLOOKUP($B153,[1]!SKUData[#Data],17,FALSE),"")</f>
        <v/>
      </c>
      <c r="G153" s="586" t="e">
        <f>IF(SUMIFS([1]!Table2[Freight Cost],[1]!Table2[No],#REF!,[1]!Table2[Material],#REF!)=0,"",SUMIFS([1]!Table2[Freight Cost],[1]!Table2[No],#REF!,[1]!Table2[Material],A153))</f>
        <v>#REF!</v>
      </c>
      <c r="H153" s="587" t="str">
        <f t="shared" ref="H153" si="0">IFERROR(IF($H$25="40 HQ",G153/VLOOKUP(A153,$B$13:$O$20,9,FALSE),G153/VLOOKUP(A153,$B$13:$O$20,8,FALSE)),"")</f>
        <v/>
      </c>
      <c r="I153" s="739"/>
      <c r="J153" s="740"/>
      <c r="K153" s="588" t="e">
        <f>IF(SUMIFS([1]!Table2[New CIF],[1]!Table2[No],#REF!,[1]!Table2[Material],#REF!)=0,"",SUMIFS([1]!Table2[New CIF],[1]!Table2[No],#REF!,[1]!Table2[Material],A153))</f>
        <v>#REF!</v>
      </c>
      <c r="L153" s="589" t="s">
        <v>488</v>
      </c>
      <c r="M153" s="590" t="s">
        <v>488</v>
      </c>
      <c r="N153" s="590" t="s">
        <v>488</v>
      </c>
      <c r="O153" s="591" t="s">
        <v>488</v>
      </c>
    </row>
    <row r="154" spans="1:15" hidden="1" x14ac:dyDescent="0.4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</row>
    <row r="155" spans="1:15" hidden="1" x14ac:dyDescent="0.45">
      <c r="A155" s="592" t="s">
        <v>514</v>
      </c>
      <c r="B155" s="592"/>
      <c r="C155" s="592"/>
      <c r="D155" s="593" t="s">
        <v>488</v>
      </c>
      <c r="E155" s="593" t="s">
        <v>488</v>
      </c>
      <c r="F155" s="593" t="s">
        <v>488</v>
      </c>
      <c r="G155" s="593" t="s">
        <v>488</v>
      </c>
      <c r="H155" s="593" t="s">
        <v>488</v>
      </c>
      <c r="I155" s="593" t="s">
        <v>488</v>
      </c>
      <c r="J155" s="594"/>
      <c r="K155" s="592" t="s">
        <v>488</v>
      </c>
      <c r="L155" s="592" t="s">
        <v>488</v>
      </c>
      <c r="M155" s="55"/>
      <c r="N155" s="55"/>
    </row>
    <row r="156" spans="1:15" hidden="1" x14ac:dyDescent="0.45">
      <c r="A156" s="741" t="s">
        <v>142</v>
      </c>
      <c r="B156" s="742"/>
      <c r="C156" s="595" t="s">
        <v>153</v>
      </c>
      <c r="D156" s="595" t="s">
        <v>183</v>
      </c>
      <c r="E156" s="595" t="s">
        <v>122</v>
      </c>
      <c r="F156" s="595" t="s">
        <v>184</v>
      </c>
      <c r="G156" s="595" t="s">
        <v>185</v>
      </c>
      <c r="H156" s="743" t="s">
        <v>490</v>
      </c>
      <c r="I156" s="745" t="s">
        <v>491</v>
      </c>
      <c r="J156" s="743" t="s">
        <v>492</v>
      </c>
      <c r="K156" s="747" t="s">
        <v>515</v>
      </c>
      <c r="L156" s="748"/>
      <c r="M156" s="55"/>
    </row>
    <row r="157" spans="1:15" ht="26.25" hidden="1" customHeight="1" x14ac:dyDescent="0.45">
      <c r="A157" s="749" t="s">
        <v>183</v>
      </c>
      <c r="B157" s="750"/>
      <c r="C157" s="596" t="s">
        <v>488</v>
      </c>
      <c r="D157" s="597" t="s">
        <v>488</v>
      </c>
      <c r="E157" s="597" t="s">
        <v>488</v>
      </c>
      <c r="F157" s="597" t="s">
        <v>190</v>
      </c>
      <c r="G157" s="597" t="s">
        <v>191</v>
      </c>
      <c r="H157" s="744"/>
      <c r="I157" s="746"/>
      <c r="J157" s="744"/>
      <c r="K157" s="599" t="s">
        <v>195</v>
      </c>
      <c r="L157" s="600" t="s">
        <v>196</v>
      </c>
      <c r="M157" s="55"/>
    </row>
    <row r="158" spans="1:15" hidden="1" x14ac:dyDescent="0.45">
      <c r="A158" s="601" t="s">
        <v>202</v>
      </c>
      <c r="B158" s="602" t="s">
        <v>488</v>
      </c>
      <c r="C158" s="602" t="s">
        <v>488</v>
      </c>
      <c r="D158" s="574" t="s">
        <v>488</v>
      </c>
      <c r="E158" s="574" t="s">
        <v>488</v>
      </c>
      <c r="F158" s="574" t="s">
        <v>488</v>
      </c>
      <c r="G158" s="574" t="s">
        <v>488</v>
      </c>
      <c r="H158" s="574" t="s">
        <v>488</v>
      </c>
      <c r="I158" s="574" t="s">
        <v>488</v>
      </c>
      <c r="J158" s="574" t="s">
        <v>488</v>
      </c>
      <c r="K158" s="574" t="s">
        <v>488</v>
      </c>
      <c r="L158" s="575" t="s">
        <v>488</v>
      </c>
      <c r="M158" s="55"/>
    </row>
    <row r="159" spans="1:15" hidden="1" x14ac:dyDescent="0.45">
      <c r="A159" s="603">
        <v>433370</v>
      </c>
      <c r="B159" s="574"/>
      <c r="C159" s="574" t="s">
        <v>518</v>
      </c>
      <c r="D159" s="604" t="s">
        <v>519</v>
      </c>
      <c r="E159" s="604" t="s">
        <v>520</v>
      </c>
      <c r="F159" s="605" t="s">
        <v>462</v>
      </c>
      <c r="G159" s="606">
        <v>40</v>
      </c>
      <c r="H159" s="607">
        <v>5</v>
      </c>
      <c r="I159" s="607">
        <v>0</v>
      </c>
      <c r="J159" s="564">
        <v>5</v>
      </c>
      <c r="K159" s="608">
        <v>1.4559296840992002</v>
      </c>
      <c r="L159" s="609">
        <v>0.29118593681984006</v>
      </c>
      <c r="M159" s="610"/>
      <c r="N159" s="611"/>
    </row>
    <row r="160" spans="1:15" hidden="1" x14ac:dyDescent="0.45">
      <c r="A160" s="603">
        <v>433371</v>
      </c>
      <c r="B160" s="574"/>
      <c r="C160" s="574" t="s">
        <v>521</v>
      </c>
      <c r="D160" s="604" t="s">
        <v>522</v>
      </c>
      <c r="E160" s="604" t="s">
        <v>520</v>
      </c>
      <c r="F160" s="605" t="s">
        <v>462</v>
      </c>
      <c r="G160" s="606">
        <v>40</v>
      </c>
      <c r="H160" s="607">
        <v>5</v>
      </c>
      <c r="I160" s="607">
        <v>0</v>
      </c>
      <c r="J160" s="564">
        <v>5</v>
      </c>
      <c r="K160" s="608">
        <v>1.4735477046431198</v>
      </c>
      <c r="L160" s="609">
        <v>0.29470954092862395</v>
      </c>
      <c r="M160" s="55"/>
    </row>
    <row r="161" spans="1:14" hidden="1" x14ac:dyDescent="0.45">
      <c r="A161" s="603">
        <v>433372</v>
      </c>
      <c r="B161" s="574"/>
      <c r="C161" s="574" t="s">
        <v>523</v>
      </c>
      <c r="D161" s="604" t="s">
        <v>524</v>
      </c>
      <c r="E161" s="604" t="s">
        <v>520</v>
      </c>
      <c r="F161" s="605" t="s">
        <v>462</v>
      </c>
      <c r="G161" s="606">
        <v>40</v>
      </c>
      <c r="H161" s="607">
        <v>5</v>
      </c>
      <c r="I161" s="607">
        <v>0</v>
      </c>
      <c r="J161" s="564">
        <v>5</v>
      </c>
      <c r="K161" s="608">
        <v>1.0264436588556101</v>
      </c>
      <c r="L161" s="609">
        <v>0.205288731771122</v>
      </c>
      <c r="M161" s="55"/>
    </row>
    <row r="162" spans="1:14" hidden="1" x14ac:dyDescent="0.45">
      <c r="A162" s="603">
        <v>435422</v>
      </c>
      <c r="B162" s="574"/>
      <c r="C162" s="574" t="s">
        <v>525</v>
      </c>
      <c r="D162" s="604" t="s">
        <v>526</v>
      </c>
      <c r="E162" s="604" t="s">
        <v>520</v>
      </c>
      <c r="F162" s="605" t="s">
        <v>462</v>
      </c>
      <c r="G162" s="606">
        <v>40</v>
      </c>
      <c r="H162" s="607">
        <v>5</v>
      </c>
      <c r="I162" s="607">
        <v>0</v>
      </c>
      <c r="J162" s="564">
        <v>5</v>
      </c>
      <c r="K162" s="608">
        <v>1.0145829428639099</v>
      </c>
      <c r="L162" s="609">
        <v>0.202916588572782</v>
      </c>
      <c r="M162" s="55"/>
    </row>
    <row r="163" spans="1:14" hidden="1" x14ac:dyDescent="0.45">
      <c r="A163" s="603">
        <v>435421</v>
      </c>
      <c r="B163" s="574"/>
      <c r="C163" s="574" t="s">
        <v>527</v>
      </c>
      <c r="D163" s="604" t="s">
        <v>528</v>
      </c>
      <c r="E163" s="604" t="s">
        <v>520</v>
      </c>
      <c r="F163" s="605" t="s">
        <v>462</v>
      </c>
      <c r="G163" s="606">
        <v>40</v>
      </c>
      <c r="H163" s="607">
        <v>5</v>
      </c>
      <c r="I163" s="607">
        <v>0</v>
      </c>
      <c r="J163" s="564">
        <v>5</v>
      </c>
      <c r="K163" s="608">
        <v>1.1261503252345202</v>
      </c>
      <c r="L163" s="609">
        <v>0.22523006504690404</v>
      </c>
      <c r="M163" s="55"/>
    </row>
    <row r="164" spans="1:14" hidden="1" x14ac:dyDescent="0.45">
      <c r="A164" s="612" t="s">
        <v>488</v>
      </c>
      <c r="B164" s="613" t="s">
        <v>488</v>
      </c>
      <c r="C164" s="613" t="s">
        <v>488</v>
      </c>
      <c r="D164" s="613" t="s">
        <v>488</v>
      </c>
      <c r="E164" s="613" t="s">
        <v>488</v>
      </c>
      <c r="F164" s="613" t="s">
        <v>488</v>
      </c>
      <c r="G164" s="613" t="s">
        <v>488</v>
      </c>
      <c r="H164" s="613" t="s">
        <v>488</v>
      </c>
      <c r="I164" s="613" t="s">
        <v>488</v>
      </c>
      <c r="J164" s="613" t="s">
        <v>488</v>
      </c>
      <c r="K164" s="613" t="s">
        <v>488</v>
      </c>
      <c r="L164" s="614" t="s">
        <v>488</v>
      </c>
      <c r="M164" s="55"/>
    </row>
    <row r="165" spans="1:14" hidden="1" x14ac:dyDescent="0.4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</row>
    <row r="166" spans="1:14" hidden="1" x14ac:dyDescent="0.45">
      <c r="A166" s="693" t="s">
        <v>215</v>
      </c>
      <c r="B166" s="694"/>
      <c r="C166" s="695"/>
      <c r="D166" s="693" t="s">
        <v>216</v>
      </c>
      <c r="E166" s="694"/>
      <c r="F166" s="694"/>
      <c r="G166" s="694"/>
      <c r="H166" s="695"/>
      <c r="I166" s="693" t="s">
        <v>217</v>
      </c>
      <c r="J166" s="694"/>
      <c r="K166" s="694"/>
      <c r="L166" s="694"/>
      <c r="M166" s="694"/>
      <c r="N166" s="695"/>
    </row>
    <row r="167" spans="1:14" hidden="1" x14ac:dyDescent="0.45">
      <c r="A167" s="125"/>
      <c r="B167" s="55"/>
      <c r="C167" s="126"/>
      <c r="D167" s="125"/>
      <c r="E167" s="55"/>
      <c r="F167" s="55"/>
      <c r="G167" s="55"/>
      <c r="H167" s="126"/>
      <c r="I167" s="125"/>
      <c r="J167" s="55"/>
      <c r="K167" s="55"/>
      <c r="L167" s="55"/>
      <c r="M167" s="55"/>
      <c r="N167" s="126"/>
    </row>
    <row r="168" spans="1:14" hidden="1" x14ac:dyDescent="0.45">
      <c r="A168" s="125"/>
      <c r="B168" s="55"/>
      <c r="C168" s="126"/>
      <c r="D168" s="125"/>
      <c r="E168" s="55"/>
      <c r="F168" s="55"/>
      <c r="G168" s="55"/>
      <c r="H168" s="126"/>
      <c r="I168" s="125"/>
      <c r="J168" s="55"/>
      <c r="K168" s="55"/>
      <c r="L168" s="55"/>
      <c r="M168" s="55"/>
      <c r="N168" s="126"/>
    </row>
    <row r="169" spans="1:14" hidden="1" x14ac:dyDescent="0.45">
      <c r="A169" s="125"/>
      <c r="B169" s="55"/>
      <c r="C169" s="126"/>
      <c r="D169" s="125"/>
      <c r="E169" s="55"/>
      <c r="F169" s="55"/>
      <c r="G169" s="55"/>
      <c r="H169" s="126"/>
      <c r="I169" s="125"/>
      <c r="J169" s="55"/>
      <c r="K169" s="55"/>
      <c r="L169" s="55"/>
      <c r="M169" s="55"/>
      <c r="N169" s="126"/>
    </row>
    <row r="170" spans="1:14" hidden="1" x14ac:dyDescent="0.45">
      <c r="A170" s="125"/>
      <c r="B170" s="55"/>
      <c r="C170" s="126"/>
      <c r="D170" s="125"/>
      <c r="E170" s="55"/>
      <c r="F170" s="55"/>
      <c r="G170" s="55"/>
      <c r="H170" s="126"/>
      <c r="I170" s="125"/>
      <c r="J170" s="55"/>
      <c r="K170" s="55"/>
      <c r="L170" s="55"/>
      <c r="M170" s="55"/>
      <c r="N170" s="126"/>
    </row>
    <row r="171" spans="1:14" hidden="1" x14ac:dyDescent="0.45">
      <c r="A171" s="125"/>
      <c r="B171" s="55"/>
      <c r="C171" s="126"/>
      <c r="D171" s="125"/>
      <c r="E171" s="55"/>
      <c r="F171" s="55"/>
      <c r="G171" s="55"/>
      <c r="H171" s="126"/>
      <c r="I171" s="125"/>
      <c r="J171" s="55"/>
      <c r="K171" s="55"/>
      <c r="L171" s="55"/>
      <c r="M171" s="55"/>
      <c r="N171" s="126"/>
    </row>
    <row r="172" spans="1:14" hidden="1" x14ac:dyDescent="0.45">
      <c r="A172" s="696" t="s">
        <v>466</v>
      </c>
      <c r="B172" s="697"/>
      <c r="C172" s="698"/>
      <c r="D172" s="696" t="s">
        <v>218</v>
      </c>
      <c r="E172" s="697"/>
      <c r="F172" s="697" t="s">
        <v>219</v>
      </c>
      <c r="G172" s="697"/>
      <c r="H172" s="698"/>
      <c r="I172" s="696" t="s">
        <v>494</v>
      </c>
      <c r="J172" s="697"/>
      <c r="K172" s="697"/>
      <c r="L172" s="697"/>
      <c r="M172" s="697"/>
      <c r="N172" s="698"/>
    </row>
    <row r="173" spans="1:14" hidden="1" x14ac:dyDescent="0.45"/>
    <row r="174" spans="1:14" hidden="1" x14ac:dyDescent="0.45"/>
    <row r="175" spans="1:14" hidden="1" x14ac:dyDescent="0.45"/>
    <row r="176" spans="1:14" hidden="1" x14ac:dyDescent="0.45"/>
    <row r="177" spans="1:21" hidden="1" x14ac:dyDescent="0.45"/>
    <row r="178" spans="1:21" hidden="1" x14ac:dyDescent="0.45"/>
    <row r="179" spans="1:21" x14ac:dyDescent="0.45">
      <c r="A179" s="53" t="s">
        <v>177</v>
      </c>
      <c r="B179" s="53" t="s">
        <v>178</v>
      </c>
      <c r="C179" s="54">
        <v>1749</v>
      </c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spans="1:21" x14ac:dyDescent="0.45">
      <c r="A180" s="53" t="s">
        <v>109</v>
      </c>
      <c r="B180" s="53" t="s">
        <v>178</v>
      </c>
      <c r="C180" s="55" t="s">
        <v>113</v>
      </c>
      <c r="D180" s="56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spans="1:21" x14ac:dyDescent="0.45">
      <c r="A181" s="53" t="s">
        <v>7</v>
      </c>
      <c r="B181" s="53" t="s">
        <v>178</v>
      </c>
      <c r="C181" s="55" t="s">
        <v>19</v>
      </c>
      <c r="D181" s="56"/>
      <c r="E181" s="56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spans="1:21" x14ac:dyDescent="0.45">
      <c r="A182" s="53" t="s">
        <v>140</v>
      </c>
      <c r="B182" s="53" t="s">
        <v>178</v>
      </c>
      <c r="C182" s="55" t="s">
        <v>542</v>
      </c>
      <c r="D182" s="56"/>
      <c r="E182" s="56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spans="1:21" x14ac:dyDescent="0.45">
      <c r="A183" s="53" t="s">
        <v>141</v>
      </c>
      <c r="B183" s="53" t="s">
        <v>178</v>
      </c>
      <c r="C183" s="55" t="s">
        <v>543</v>
      </c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spans="1:21" x14ac:dyDescent="0.45">
      <c r="A184" s="53" t="s">
        <v>179</v>
      </c>
      <c r="B184" s="53" t="s">
        <v>178</v>
      </c>
      <c r="C184" s="57">
        <v>45653</v>
      </c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spans="1:21" hidden="1" x14ac:dyDescent="0.4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spans="1:21" hidden="1" x14ac:dyDescent="0.45">
      <c r="A186" s="58" t="s">
        <v>180</v>
      </c>
      <c r="B186" s="58"/>
      <c r="C186" s="58"/>
      <c r="D186" s="59"/>
      <c r="E186" s="59"/>
      <c r="F186" s="59"/>
      <c r="G186" s="59"/>
      <c r="H186" s="59"/>
      <c r="I186" s="59"/>
      <c r="J186" s="55"/>
      <c r="K186" s="55"/>
      <c r="L186" s="60"/>
      <c r="M186" s="616"/>
      <c r="N186" s="617"/>
      <c r="O186" s="618" t="s">
        <v>529</v>
      </c>
    </row>
    <row r="187" spans="1:21" hidden="1" x14ac:dyDescent="0.45">
      <c r="A187" s="704" t="s">
        <v>142</v>
      </c>
      <c r="B187" s="705"/>
      <c r="C187" s="62" t="s">
        <v>153</v>
      </c>
      <c r="D187" s="62" t="s">
        <v>183</v>
      </c>
      <c r="E187" s="62" t="s">
        <v>122</v>
      </c>
      <c r="F187" s="62" t="s">
        <v>184</v>
      </c>
      <c r="G187" s="62" t="s">
        <v>185</v>
      </c>
      <c r="H187" s="702" t="s">
        <v>186</v>
      </c>
      <c r="I187" s="703"/>
      <c r="J187" s="63" t="s">
        <v>187</v>
      </c>
      <c r="K187" s="63"/>
      <c r="L187" s="702" t="s">
        <v>530</v>
      </c>
      <c r="M187" s="703"/>
      <c r="N187" s="702" t="s">
        <v>531</v>
      </c>
      <c r="O187" s="703"/>
    </row>
    <row r="188" spans="1:21" hidden="1" x14ac:dyDescent="0.45">
      <c r="A188" s="706" t="s">
        <v>183</v>
      </c>
      <c r="B188" s="707"/>
      <c r="C188" s="66"/>
      <c r="D188" s="67"/>
      <c r="E188" s="67"/>
      <c r="F188" s="67" t="s">
        <v>190</v>
      </c>
      <c r="G188" s="67" t="s">
        <v>191</v>
      </c>
      <c r="H188" s="62" t="s">
        <v>148</v>
      </c>
      <c r="I188" s="62">
        <v>40</v>
      </c>
      <c r="J188" s="62" t="s">
        <v>182</v>
      </c>
      <c r="K188" s="62" t="s">
        <v>182</v>
      </c>
      <c r="L188" s="68" t="s">
        <v>193</v>
      </c>
      <c r="M188" s="68" t="s">
        <v>194</v>
      </c>
      <c r="N188" s="62" t="s">
        <v>532</v>
      </c>
      <c r="O188" s="62" t="s">
        <v>196</v>
      </c>
    </row>
    <row r="189" spans="1:21" hidden="1" x14ac:dyDescent="0.45">
      <c r="A189" s="69"/>
      <c r="B189" s="70"/>
      <c r="C189" s="71"/>
      <c r="D189" s="72"/>
      <c r="E189" s="72"/>
      <c r="F189" s="72"/>
      <c r="G189" s="72"/>
      <c r="H189" s="72"/>
      <c r="I189" s="72" t="s">
        <v>197</v>
      </c>
      <c r="J189" s="72" t="s">
        <v>198</v>
      </c>
      <c r="K189" s="72" t="s">
        <v>199</v>
      </c>
      <c r="L189" s="73" t="s">
        <v>200</v>
      </c>
      <c r="M189" s="67" t="s">
        <v>200</v>
      </c>
      <c r="N189" s="72"/>
      <c r="O189" s="72" t="s">
        <v>201</v>
      </c>
    </row>
    <row r="190" spans="1:21" hidden="1" x14ac:dyDescent="0.45">
      <c r="A190" s="74" t="s">
        <v>533</v>
      </c>
      <c r="B190" s="75"/>
      <c r="C190" s="76"/>
      <c r="D190" s="77"/>
      <c r="E190" s="77"/>
      <c r="F190" s="77"/>
      <c r="G190" s="77"/>
      <c r="H190" s="78"/>
      <c r="I190" s="78"/>
      <c r="J190" s="78"/>
      <c r="K190" s="79"/>
      <c r="L190" s="80"/>
      <c r="M190" s="80"/>
      <c r="N190" s="79"/>
      <c r="O190" s="81"/>
    </row>
    <row r="191" spans="1:21" hidden="1" x14ac:dyDescent="0.45">
      <c r="A191" s="82">
        <v>437906</v>
      </c>
      <c r="B191" s="83"/>
      <c r="C191" s="84" t="s">
        <v>544</v>
      </c>
      <c r="D191" s="85" t="s">
        <v>545</v>
      </c>
      <c r="E191" s="85" t="s">
        <v>546</v>
      </c>
      <c r="F191" s="85" t="s">
        <v>547</v>
      </c>
      <c r="G191" s="85">
        <v>40</v>
      </c>
      <c r="H191" s="86" t="s">
        <v>222</v>
      </c>
      <c r="I191" s="86">
        <v>2325</v>
      </c>
      <c r="J191" s="619">
        <v>3084</v>
      </c>
      <c r="K191" s="619">
        <v>123360</v>
      </c>
      <c r="L191" s="619" t="s">
        <v>222</v>
      </c>
      <c r="M191" s="620">
        <v>180000</v>
      </c>
      <c r="N191" s="619">
        <v>56640</v>
      </c>
      <c r="O191" s="89">
        <v>0.31466666666666665</v>
      </c>
      <c r="U191" s="621"/>
    </row>
    <row r="192" spans="1:21" hidden="1" x14ac:dyDescent="0.45">
      <c r="A192" s="82">
        <v>437907</v>
      </c>
      <c r="B192" s="83"/>
      <c r="C192" s="84" t="s">
        <v>548</v>
      </c>
      <c r="D192" s="85" t="s">
        <v>549</v>
      </c>
      <c r="E192" s="85" t="s">
        <v>546</v>
      </c>
      <c r="F192" s="85" t="s">
        <v>550</v>
      </c>
      <c r="G192" s="85">
        <v>40</v>
      </c>
      <c r="H192" s="86" t="s">
        <v>222</v>
      </c>
      <c r="I192" s="86">
        <v>2325</v>
      </c>
      <c r="J192" s="619">
        <v>3650</v>
      </c>
      <c r="K192" s="619">
        <v>146000</v>
      </c>
      <c r="L192" s="619" t="s">
        <v>222</v>
      </c>
      <c r="M192" s="620">
        <v>212000</v>
      </c>
      <c r="N192" s="619">
        <v>66000</v>
      </c>
      <c r="O192" s="89">
        <v>0.31132075471698112</v>
      </c>
    </row>
    <row r="193" spans="1:21" hidden="1" x14ac:dyDescent="0.45">
      <c r="A193" s="90"/>
      <c r="B193" s="91"/>
      <c r="C193" s="92" t="str">
        <f>IFERROR(VLOOKUP($B193,[1]!SKUData[#Data],2,FALSE),"")</f>
        <v/>
      </c>
      <c r="D193" s="93" t="str">
        <f>IFERROR(VLOOKUP($B193,[1]!SKUData[#Data],12,FALSE),"")</f>
        <v/>
      </c>
      <c r="E193" s="93" t="str">
        <f>IFERROR(VLOOKUP($B193,[1]!SKUData[#Data],16,FALSE),"")</f>
        <v/>
      </c>
      <c r="F193" s="93" t="str">
        <f>IFERROR(VLOOKUP($B193,[1]!SKUData[#Data],17,FALSE),"")</f>
        <v/>
      </c>
      <c r="G193" s="93" t="str">
        <f>IFERROR(VLOOKUP($B193,[1]!SKUData[#Data],15,FALSE),"")</f>
        <v/>
      </c>
      <c r="H193" s="94" t="e">
        <f>IF(SUMIFS([1]!Table2[20''],[1]!Table2[No],#REF!,[1]!Table2[Material],#REF!)=0,"",SUMIFS([1]!Table2[20''],[1]!Table2[No],#REF!,[1]!Table2[Material],A193))</f>
        <v>#REF!</v>
      </c>
      <c r="I193" s="94" t="e">
        <f>IF(SUMIFS([1]!Table2[40'' HQ],[1]!Table2[No],#REF!,[1]!Table2[Material],#REF!)=0,"",SUMIFS([1]!Table2[40'' HQ],[1]!Table2[No],#REF!,[1]!Table2[Material],A193))</f>
        <v>#REF!</v>
      </c>
      <c r="J193" s="94" t="e">
        <f>IF(SUMIFS([1]!Table2[COGS],[1]!Table2[No],#REF!,[1]!Table2[Material],#REF!)=0,"",SUMIFS([1]!Table2[COGS],[1]!Table2[No],#REF!,[1]!Table2[Material],A193))</f>
        <v>#REF!</v>
      </c>
      <c r="K193" s="95" t="e">
        <f>IF(SUMIFS([1]!Table2[COGS (USD)],[1]!Table2[No],#REF!,[1]!Table2[Material],#REF!)=0,"",SUMIFS([1]!Table2[COGS (USD)],[1]!Table2[No],#REF!,[1]!Table2[Material],A193))</f>
        <v>#REF!</v>
      </c>
      <c r="L193" s="96" t="e">
        <f>IF(SUMIFS([1]!Table2[Old FOB],[1]!Table2[No],#REF!,[1]!Table2[Material],#REF!)=0,"",SUMIFS([1]!Table2[Old FOB],[1]!Table2[No],#REF!,[1]!Table2[Material],A193))</f>
        <v>#REF!</v>
      </c>
      <c r="M193" s="96" t="e">
        <f>IF(SUMIFS([1]!Table2[New FOB],[1]!Table2[No],#REF!,[1]!Table2[Material],#REF!)=0,"",SUMIFS([1]!Table2[New FOB],[1]!Table2[No],#REF!,[1]!Table2[Material],A193))</f>
        <v>#REF!</v>
      </c>
      <c r="N193" s="95" t="e">
        <f t="shared" ref="N193" si="1">IF(M193="","",M193-K193)</f>
        <v>#REF!</v>
      </c>
      <c r="O193" s="97" t="str">
        <f t="shared" ref="O193" si="2">IFERROR(N193/M193,"")</f>
        <v/>
      </c>
    </row>
    <row r="194" spans="1:21" hidden="1" x14ac:dyDescent="0.45">
      <c r="A194" s="98"/>
      <c r="B194" s="55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1:21" x14ac:dyDescent="0.45">
      <c r="A195" s="99" t="str">
        <f>CONCATENATE("CIF ",C183)</f>
        <v>CIF Port Klang</v>
      </c>
      <c r="B195" s="58"/>
      <c r="C195" s="58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1:21" ht="26.65" customHeight="1" x14ac:dyDescent="0.45">
      <c r="A196" s="753" t="s">
        <v>142</v>
      </c>
      <c r="B196" s="754"/>
      <c r="C196" s="622" t="s">
        <v>153</v>
      </c>
      <c r="D196" s="622" t="s">
        <v>183</v>
      </c>
      <c r="E196" s="622" t="s">
        <v>122</v>
      </c>
      <c r="F196" s="622" t="s">
        <v>184</v>
      </c>
      <c r="G196" s="623" t="s">
        <v>147</v>
      </c>
      <c r="H196" s="624"/>
      <c r="I196" s="625" t="s">
        <v>203</v>
      </c>
      <c r="J196" s="626"/>
      <c r="K196" s="755" t="s">
        <v>534</v>
      </c>
      <c r="L196" s="758" t="s">
        <v>535</v>
      </c>
      <c r="M196" s="759"/>
      <c r="N196" s="758" t="s">
        <v>189</v>
      </c>
      <c r="O196" s="759"/>
      <c r="P196" s="628" t="s">
        <v>536</v>
      </c>
      <c r="Q196" s="760" t="s">
        <v>537</v>
      </c>
      <c r="R196" s="761"/>
      <c r="S196" s="762" t="s">
        <v>538</v>
      </c>
      <c r="T196" s="763"/>
      <c r="U196" s="629" t="s">
        <v>488</v>
      </c>
    </row>
    <row r="197" spans="1:21" x14ac:dyDescent="0.45">
      <c r="A197" s="706" t="s">
        <v>183</v>
      </c>
      <c r="B197" s="707"/>
      <c r="C197" s="66"/>
      <c r="D197" s="67"/>
      <c r="E197" s="67"/>
      <c r="F197" s="67" t="s">
        <v>190</v>
      </c>
      <c r="G197" s="67" t="s">
        <v>539</v>
      </c>
      <c r="H197" s="67" t="s">
        <v>539</v>
      </c>
      <c r="I197" s="62" t="s">
        <v>196</v>
      </c>
      <c r="J197" s="62" t="s">
        <v>208</v>
      </c>
      <c r="K197" s="756"/>
      <c r="L197" s="101" t="s">
        <v>193</v>
      </c>
      <c r="M197" s="101" t="s">
        <v>210</v>
      </c>
      <c r="N197" s="62" t="s">
        <v>532</v>
      </c>
      <c r="O197" s="62" t="s">
        <v>196</v>
      </c>
      <c r="P197" s="67" t="s">
        <v>540</v>
      </c>
      <c r="Q197" s="755" t="s">
        <v>532</v>
      </c>
      <c r="R197" s="62" t="s">
        <v>196</v>
      </c>
      <c r="S197" s="630" t="s">
        <v>532</v>
      </c>
      <c r="T197" s="631" t="s">
        <v>196</v>
      </c>
      <c r="U197" s="632" t="s">
        <v>541</v>
      </c>
    </row>
    <row r="198" spans="1:21" x14ac:dyDescent="0.45">
      <c r="A198" s="102"/>
      <c r="B198" s="103"/>
      <c r="C198" s="71"/>
      <c r="D198" s="72"/>
      <c r="E198" s="72"/>
      <c r="F198" s="72"/>
      <c r="G198" s="72" t="s">
        <v>211</v>
      </c>
      <c r="H198" s="72" t="s">
        <v>212</v>
      </c>
      <c r="I198" s="72" t="s">
        <v>213</v>
      </c>
      <c r="J198" s="72" t="s">
        <v>182</v>
      </c>
      <c r="K198" s="757"/>
      <c r="L198" s="104" t="s">
        <v>200</v>
      </c>
      <c r="M198" s="104" t="s">
        <v>200</v>
      </c>
      <c r="N198" s="72"/>
      <c r="O198" s="72" t="s">
        <v>201</v>
      </c>
      <c r="P198" s="72"/>
      <c r="Q198" s="757"/>
      <c r="R198" s="72" t="s">
        <v>201</v>
      </c>
      <c r="S198" s="634" t="s">
        <v>488</v>
      </c>
      <c r="T198" s="635" t="s">
        <v>541</v>
      </c>
      <c r="U198" s="636" t="s">
        <v>488</v>
      </c>
    </row>
    <row r="199" spans="1:21" x14ac:dyDescent="0.45">
      <c r="A199" s="105" t="s">
        <v>533</v>
      </c>
      <c r="B199" s="106"/>
      <c r="C199" s="107"/>
      <c r="D199" s="85"/>
      <c r="E199" s="85"/>
      <c r="F199" s="85"/>
      <c r="G199" s="85"/>
      <c r="H199" s="86"/>
      <c r="I199" s="86"/>
      <c r="J199" s="86"/>
      <c r="K199" s="87"/>
      <c r="L199" s="88"/>
      <c r="M199" s="88"/>
      <c r="N199" s="87"/>
      <c r="O199" s="108"/>
      <c r="P199" s="87"/>
      <c r="Q199" s="87"/>
      <c r="R199" s="108"/>
      <c r="S199" s="637" t="s">
        <v>488</v>
      </c>
      <c r="T199" s="574" t="s">
        <v>488</v>
      </c>
      <c r="U199" s="575" t="s">
        <v>488</v>
      </c>
    </row>
    <row r="200" spans="1:21" x14ac:dyDescent="0.45">
      <c r="A200" s="82">
        <v>437906</v>
      </c>
      <c r="B200" s="83"/>
      <c r="C200" s="84" t="s">
        <v>544</v>
      </c>
      <c r="D200" s="85" t="s">
        <v>545</v>
      </c>
      <c r="E200" s="85" t="s">
        <v>546</v>
      </c>
      <c r="F200" s="109" t="s">
        <v>547</v>
      </c>
      <c r="G200" s="86">
        <v>4800000</v>
      </c>
      <c r="H200" s="638">
        <v>2064.516129032258</v>
      </c>
      <c r="I200" s="111">
        <v>4.2500000000000003E-4</v>
      </c>
      <c r="J200" s="112">
        <v>57.800000000000004</v>
      </c>
      <c r="K200" s="86">
        <v>125482.31612903226</v>
      </c>
      <c r="L200" s="619" t="s">
        <v>222</v>
      </c>
      <c r="M200" s="620">
        <v>184000</v>
      </c>
      <c r="N200" s="639">
        <v>58517.683870967739</v>
      </c>
      <c r="O200" s="114">
        <v>0.32509824372759855</v>
      </c>
      <c r="P200" s="87">
        <v>0</v>
      </c>
      <c r="Q200" s="640">
        <v>5659.6239999999998</v>
      </c>
      <c r="R200" s="114">
        <v>3.1442355555555551E-2</v>
      </c>
      <c r="S200" s="641">
        <v>46706.68</v>
      </c>
      <c r="T200" s="642">
        <v>0.22841686228482003</v>
      </c>
      <c r="U200" s="643">
        <v>204480</v>
      </c>
    </row>
    <row r="201" spans="1:21" x14ac:dyDescent="0.45">
      <c r="A201" s="82">
        <v>437907</v>
      </c>
      <c r="B201" s="83"/>
      <c r="C201" s="84" t="s">
        <v>548</v>
      </c>
      <c r="D201" s="85" t="s">
        <v>549</v>
      </c>
      <c r="E201" s="85" t="s">
        <v>546</v>
      </c>
      <c r="F201" s="109" t="s">
        <v>550</v>
      </c>
      <c r="G201" s="86">
        <v>4800000</v>
      </c>
      <c r="H201" s="638">
        <v>2064.516129032258</v>
      </c>
      <c r="I201" s="111">
        <v>4.2500000000000003E-4</v>
      </c>
      <c r="J201" s="112">
        <v>68.680000000000007</v>
      </c>
      <c r="K201" s="86">
        <v>148133.19612903227</v>
      </c>
      <c r="L201" s="619" t="s">
        <v>222</v>
      </c>
      <c r="M201" s="620">
        <v>216000</v>
      </c>
      <c r="N201" s="639">
        <v>67866.803870967735</v>
      </c>
      <c r="O201" s="114">
        <v>0.3201264333536214</v>
      </c>
      <c r="P201" s="87">
        <v>0</v>
      </c>
      <c r="Q201" s="640">
        <v>8619.6239999999998</v>
      </c>
      <c r="R201" s="114">
        <v>4.0658603773584906E-2</v>
      </c>
      <c r="S201" s="641">
        <v>24066.68</v>
      </c>
      <c r="T201" s="642">
        <v>0.11769698748043819</v>
      </c>
      <c r="U201" s="643">
        <v>204480</v>
      </c>
    </row>
    <row r="202" spans="1:21" x14ac:dyDescent="0.45">
      <c r="A202" s="90"/>
      <c r="B202" s="91"/>
      <c r="C202" s="92" t="str">
        <f>IFERROR(VLOOKUP(A202,[1]!SKUData[#Data],2,FALSE),"")</f>
        <v/>
      </c>
      <c r="D202" s="93" t="str">
        <f>IFERROR(VLOOKUP($B202,[1]!SKUData[#Data],12,FALSE),"")</f>
        <v/>
      </c>
      <c r="E202" s="93" t="str">
        <f>IFERROR(VLOOKUP($B202,[1]!SKUData[#Data],16,FALSE),"")</f>
        <v/>
      </c>
      <c r="F202" s="115" t="str">
        <f>IFERROR(VLOOKUP($B202,[1]!SKUData[#Data],17,FALSE),"")</f>
        <v/>
      </c>
      <c r="G202" s="116" t="e">
        <f>IF(SUMIFS([1]!Table2[Freight Cost],[1]!Table2[No],#REF!,[1]!Table2[Material],#REF!)=0,"",SUMIFS([1]!Table2[Freight Cost],[1]!Table2[No],#REF!,[1]!Table2[Material],A202))</f>
        <v>#REF!</v>
      </c>
      <c r="H202" s="117" t="str">
        <f t="shared" ref="H202" si="3">IFERROR(IF($H$32="40 HQ",G202/VLOOKUP(A202,$B$13:$P$27,9,FALSE),G202/VLOOKUP(A202,$B$13:$P$27,8,FALSE)),"")</f>
        <v/>
      </c>
      <c r="I202" s="118"/>
      <c r="J202" s="119" t="str">
        <f>IF(I202="","",I202*M202)</f>
        <v/>
      </c>
      <c r="K202" s="95" t="str">
        <f t="shared" ref="K202" si="4">IF(I202="","",H202+J202+VLOOKUP(A202,$B$13:$P$27,11,FALSE))</f>
        <v/>
      </c>
      <c r="L202" s="96" t="e">
        <f>IF(SUMIFS([1]!Table2[Old CIF],[1]!Table2[No],#REF!,[1]!Table2[Material],#REF!)=0,"",SUMIFS([1]!Table2[Old CIF],[1]!Table2[No],#REF!,[1]!Table2[Material],A202))</f>
        <v>#REF!</v>
      </c>
      <c r="M202" s="96" t="e">
        <f>IF(SUMIFS([1]!Table2[New CIF],[1]!Table2[No],#REF!,[1]!Table2[Material],#REF!)=0,"",SUMIFS([1]!Table2[New CIF],[1]!Table2[No],#REF!,[1]!Table2[Material],A202))</f>
        <v>#REF!</v>
      </c>
      <c r="N202" s="120" t="e">
        <f t="shared" ref="N202" si="5">IF(M202="","",M202-K202)</f>
        <v>#REF!</v>
      </c>
      <c r="O202" s="121" t="str">
        <f>IFERROR(N202/SUMIFS([1]!Table2[New FOB],[1]!Table2[No],#REF!,[1]!Table2[Material],#REF!),"")</f>
        <v/>
      </c>
      <c r="P202" s="95" t="e">
        <f>IF(N202="","",M202+O202+VLOOKUP(F202,$B$13:$P$27,11,FALSE))</f>
        <v>#REF!</v>
      </c>
      <c r="Q202" s="120" t="str">
        <f>IF(O202="","",O202-M202)</f>
        <v/>
      </c>
      <c r="R202" s="121" t="str">
        <f>IFERROR(Q202/SUMIFS([1]!Table2[New FOB],[1]!Table2[No],#REF!,[1]!Table2[Material],#REF!),"")</f>
        <v/>
      </c>
      <c r="S202" s="644"/>
      <c r="T202" s="644"/>
      <c r="U202" s="645"/>
    </row>
    <row r="203" spans="1:21" hidden="1" x14ac:dyDescent="0.4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spans="1:21" hidden="1" x14ac:dyDescent="0.45">
      <c r="A204" s="693" t="s">
        <v>215</v>
      </c>
      <c r="B204" s="694"/>
      <c r="C204" s="694"/>
      <c r="D204" s="693" t="s">
        <v>216</v>
      </c>
      <c r="E204" s="694"/>
      <c r="F204" s="694"/>
      <c r="G204" s="694"/>
      <c r="H204" s="694"/>
      <c r="I204" s="695"/>
      <c r="J204" s="693" t="s">
        <v>217</v>
      </c>
      <c r="K204" s="694"/>
      <c r="L204" s="694"/>
      <c r="M204" s="694"/>
      <c r="N204" s="694"/>
      <c r="O204" s="694"/>
      <c r="P204" s="694"/>
      <c r="Q204" s="695"/>
    </row>
    <row r="205" spans="1:21" hidden="1" x14ac:dyDescent="0.45">
      <c r="A205" s="125"/>
      <c r="B205" s="55"/>
      <c r="C205" s="55"/>
      <c r="D205" s="125"/>
      <c r="E205" s="55"/>
      <c r="F205" s="55"/>
      <c r="G205" s="55"/>
      <c r="H205" s="55"/>
      <c r="I205" s="126"/>
      <c r="J205" s="125"/>
      <c r="K205" s="55"/>
      <c r="L205" s="55"/>
      <c r="M205" s="55"/>
      <c r="N205" s="55"/>
      <c r="O205" s="55"/>
      <c r="P205" s="55"/>
      <c r="Q205" s="126"/>
    </row>
    <row r="206" spans="1:21" hidden="1" x14ac:dyDescent="0.45">
      <c r="A206" s="125"/>
      <c r="B206" s="55"/>
      <c r="C206" s="55"/>
      <c r="D206" s="125"/>
      <c r="E206" s="55"/>
      <c r="F206" s="55"/>
      <c r="G206" s="55"/>
      <c r="H206" s="55"/>
      <c r="I206" s="126"/>
      <c r="J206" s="125"/>
      <c r="K206" s="55"/>
      <c r="L206" s="55"/>
      <c r="M206" s="55"/>
      <c r="N206" s="55"/>
      <c r="O206" s="55"/>
      <c r="P206" s="55"/>
      <c r="Q206" s="126"/>
    </row>
    <row r="207" spans="1:21" hidden="1" x14ac:dyDescent="0.45">
      <c r="A207" s="125"/>
      <c r="B207" s="55"/>
      <c r="C207" s="55"/>
      <c r="D207" s="125"/>
      <c r="E207" s="55"/>
      <c r="F207" s="55"/>
      <c r="G207" s="55"/>
      <c r="H207" s="55"/>
      <c r="I207" s="126"/>
      <c r="J207" s="125"/>
      <c r="K207" s="55"/>
      <c r="L207" s="55"/>
      <c r="M207" s="55"/>
      <c r="N207" s="55"/>
      <c r="O207" s="55"/>
      <c r="P207" s="55"/>
      <c r="Q207" s="126"/>
      <c r="S207" s="646"/>
    </row>
    <row r="208" spans="1:21" hidden="1" x14ac:dyDescent="0.45">
      <c r="A208" s="125"/>
      <c r="B208" s="55"/>
      <c r="C208" s="55"/>
      <c r="D208" s="125"/>
      <c r="E208" s="55"/>
      <c r="F208" s="55"/>
      <c r="G208" s="55"/>
      <c r="H208" s="55"/>
      <c r="I208" s="126"/>
      <c r="J208" s="125"/>
      <c r="K208" s="55"/>
      <c r="L208" s="55"/>
      <c r="M208" s="55"/>
      <c r="N208" s="55"/>
      <c r="O208" s="55"/>
      <c r="P208" s="55"/>
      <c r="Q208" s="126"/>
      <c r="T208" s="647"/>
    </row>
    <row r="209" spans="1:20" hidden="1" x14ac:dyDescent="0.45">
      <c r="A209" s="125"/>
      <c r="B209" s="55"/>
      <c r="C209" s="55"/>
      <c r="D209" s="125"/>
      <c r="E209" s="55"/>
      <c r="F209" s="55"/>
      <c r="G209" s="55"/>
      <c r="H209" s="55"/>
      <c r="I209" s="126"/>
      <c r="J209" s="125"/>
      <c r="K209" s="55"/>
      <c r="L209" s="55"/>
      <c r="M209" s="55"/>
      <c r="N209" s="55"/>
      <c r="O209" s="55"/>
      <c r="P209" s="55"/>
      <c r="Q209" s="126"/>
      <c r="T209" s="647"/>
    </row>
    <row r="210" spans="1:20" hidden="1" x14ac:dyDescent="0.45">
      <c r="A210" s="696" t="s">
        <v>121</v>
      </c>
      <c r="B210" s="697"/>
      <c r="C210" s="697"/>
      <c r="D210" s="696" t="s">
        <v>219</v>
      </c>
      <c r="E210" s="697"/>
      <c r="F210" s="129"/>
      <c r="G210" s="697" t="s">
        <v>218</v>
      </c>
      <c r="H210" s="697"/>
      <c r="I210" s="698"/>
      <c r="J210" s="696" t="s">
        <v>220</v>
      </c>
      <c r="K210" s="697"/>
      <c r="L210" s="697"/>
      <c r="M210" s="697"/>
      <c r="N210" s="697"/>
      <c r="O210" s="697"/>
      <c r="P210" s="697"/>
      <c r="Q210" s="698"/>
    </row>
    <row r="211" spans="1:20" hidden="1" x14ac:dyDescent="0.45"/>
    <row r="212" spans="1:20" hidden="1" x14ac:dyDescent="0.45"/>
    <row r="213" spans="1:20" hidden="1" x14ac:dyDescent="0.45"/>
    <row r="214" spans="1:20" x14ac:dyDescent="0.45">
      <c r="A214" s="53" t="s">
        <v>177</v>
      </c>
      <c r="B214" s="53" t="s">
        <v>178</v>
      </c>
      <c r="C214" s="54">
        <v>1796</v>
      </c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</row>
    <row r="215" spans="1:20" x14ac:dyDescent="0.45">
      <c r="A215" s="53" t="s">
        <v>109</v>
      </c>
      <c r="B215" s="53" t="s">
        <v>178</v>
      </c>
      <c r="C215" s="55" t="s">
        <v>564</v>
      </c>
      <c r="D215" s="56"/>
      <c r="E215" s="55"/>
      <c r="F215" s="55"/>
      <c r="G215" s="55"/>
      <c r="H215" s="55"/>
      <c r="I215" s="55"/>
      <c r="J215" s="55"/>
      <c r="K215" s="55"/>
      <c r="L215" s="55"/>
      <c r="M215" s="55"/>
      <c r="N215" s="55"/>
    </row>
    <row r="216" spans="1:20" x14ac:dyDescent="0.45">
      <c r="A216" s="53" t="s">
        <v>7</v>
      </c>
      <c r="B216" s="53" t="s">
        <v>178</v>
      </c>
      <c r="C216" s="55" t="s">
        <v>18</v>
      </c>
      <c r="D216" s="56"/>
      <c r="E216" s="56"/>
      <c r="F216" s="55"/>
      <c r="G216" s="55"/>
      <c r="H216" s="55"/>
      <c r="I216" s="55"/>
      <c r="J216" s="55"/>
      <c r="K216" s="55"/>
      <c r="L216" s="55"/>
      <c r="M216" s="55"/>
      <c r="N216" s="55"/>
    </row>
    <row r="217" spans="1:20" x14ac:dyDescent="0.45">
      <c r="A217" s="53" t="s">
        <v>140</v>
      </c>
      <c r="B217" s="53" t="s">
        <v>178</v>
      </c>
      <c r="C217" s="55" t="s">
        <v>565</v>
      </c>
      <c r="D217" s="56"/>
      <c r="E217" s="56"/>
      <c r="F217" s="55"/>
      <c r="G217" s="55"/>
      <c r="H217" s="55"/>
      <c r="I217" s="55"/>
      <c r="J217" s="55"/>
      <c r="K217" s="55"/>
      <c r="L217" s="55"/>
      <c r="M217" s="55"/>
      <c r="N217" s="55"/>
    </row>
    <row r="218" spans="1:20" x14ac:dyDescent="0.45">
      <c r="A218" s="53" t="s">
        <v>141</v>
      </c>
      <c r="B218" s="53" t="s">
        <v>178</v>
      </c>
      <c r="C218" s="55" t="s">
        <v>566</v>
      </c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</row>
    <row r="219" spans="1:20" x14ac:dyDescent="0.45">
      <c r="A219" s="53" t="s">
        <v>179</v>
      </c>
      <c r="B219" s="53" t="s">
        <v>178</v>
      </c>
      <c r="C219" s="57">
        <v>45735</v>
      </c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</row>
    <row r="220" spans="1:20" hidden="1" x14ac:dyDescent="0.4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</row>
    <row r="221" spans="1:20" hidden="1" x14ac:dyDescent="0.45">
      <c r="A221" s="58" t="s">
        <v>551</v>
      </c>
      <c r="B221" s="58"/>
      <c r="C221" s="58"/>
      <c r="D221" s="59"/>
      <c r="E221" s="59"/>
      <c r="F221" s="59"/>
      <c r="G221" s="59"/>
      <c r="H221" s="59"/>
      <c r="I221" s="59"/>
      <c r="J221" s="55"/>
      <c r="K221" s="60" t="s">
        <v>181</v>
      </c>
      <c r="L221" s="648">
        <v>4.3899999999999997</v>
      </c>
      <c r="M221" s="58" t="s">
        <v>552</v>
      </c>
      <c r="N221" s="55"/>
    </row>
    <row r="222" spans="1:20" hidden="1" x14ac:dyDescent="0.45">
      <c r="A222" s="704" t="s">
        <v>142</v>
      </c>
      <c r="B222" s="705"/>
      <c r="C222" s="62" t="s">
        <v>153</v>
      </c>
      <c r="D222" s="62" t="s">
        <v>183</v>
      </c>
      <c r="E222" s="62" t="s">
        <v>122</v>
      </c>
      <c r="F222" s="62" t="s">
        <v>184</v>
      </c>
      <c r="G222" s="62" t="s">
        <v>185</v>
      </c>
      <c r="H222" s="63" t="s">
        <v>186</v>
      </c>
      <c r="I222" s="63"/>
      <c r="J222" s="63" t="s">
        <v>187</v>
      </c>
      <c r="K222" s="63"/>
      <c r="L222" s="721" t="s">
        <v>553</v>
      </c>
      <c r="M222" s="63" t="s">
        <v>189</v>
      </c>
      <c r="N222" s="63"/>
    </row>
    <row r="223" spans="1:20" hidden="1" x14ac:dyDescent="0.45">
      <c r="A223" s="706" t="s">
        <v>183</v>
      </c>
      <c r="B223" s="707"/>
      <c r="C223" s="66"/>
      <c r="D223" s="67"/>
      <c r="E223" s="67"/>
      <c r="F223" s="67" t="s">
        <v>190</v>
      </c>
      <c r="G223" s="67" t="s">
        <v>191</v>
      </c>
      <c r="H223" s="62" t="s">
        <v>148</v>
      </c>
      <c r="I223" s="62">
        <v>40</v>
      </c>
      <c r="J223" s="62" t="s">
        <v>552</v>
      </c>
      <c r="K223" s="62" t="s">
        <v>192</v>
      </c>
      <c r="L223" s="722"/>
      <c r="M223" s="62" t="s">
        <v>195</v>
      </c>
      <c r="N223" s="62" t="s">
        <v>196</v>
      </c>
    </row>
    <row r="224" spans="1:20" hidden="1" x14ac:dyDescent="0.45">
      <c r="A224" s="69"/>
      <c r="B224" s="70"/>
      <c r="C224" s="71"/>
      <c r="D224" s="72"/>
      <c r="E224" s="72"/>
      <c r="F224" s="72"/>
      <c r="G224" s="72"/>
      <c r="H224" s="72"/>
      <c r="I224" s="72" t="s">
        <v>197</v>
      </c>
      <c r="J224" s="72" t="s">
        <v>198</v>
      </c>
      <c r="K224" s="72" t="s">
        <v>199</v>
      </c>
      <c r="L224" s="723"/>
      <c r="M224" s="72"/>
      <c r="N224" s="72" t="s">
        <v>201</v>
      </c>
    </row>
    <row r="225" spans="1:17" hidden="1" x14ac:dyDescent="0.45">
      <c r="A225" s="74" t="s">
        <v>202</v>
      </c>
      <c r="B225" s="75"/>
      <c r="C225" s="76"/>
      <c r="D225" s="77"/>
      <c r="E225" s="77"/>
      <c r="F225" s="77"/>
      <c r="G225" s="77"/>
      <c r="H225" s="78"/>
      <c r="I225" s="78"/>
      <c r="J225" s="78"/>
      <c r="K225" s="79"/>
      <c r="L225" s="560"/>
      <c r="M225" s="79"/>
      <c r="N225" s="81"/>
    </row>
    <row r="226" spans="1:17" hidden="1" x14ac:dyDescent="0.45">
      <c r="A226" s="649">
        <v>437908</v>
      </c>
      <c r="B226" s="650"/>
      <c r="C226" s="651" t="s">
        <v>567</v>
      </c>
      <c r="D226" s="652" t="s">
        <v>568</v>
      </c>
      <c r="E226" s="652" t="s">
        <v>461</v>
      </c>
      <c r="F226" s="652" t="s">
        <v>569</v>
      </c>
      <c r="G226" s="652">
        <v>30</v>
      </c>
      <c r="H226" s="653" t="s">
        <v>222</v>
      </c>
      <c r="I226" s="653">
        <v>4788</v>
      </c>
      <c r="J226" s="654">
        <v>0.56000000000000072</v>
      </c>
      <c r="K226" s="563">
        <v>3.8268792710706201</v>
      </c>
      <c r="L226" s="564">
        <v>7.5</v>
      </c>
      <c r="M226" s="563">
        <v>3.6731207289293799</v>
      </c>
      <c r="N226" s="655">
        <v>0.48974943052391734</v>
      </c>
    </row>
    <row r="227" spans="1:17" hidden="1" x14ac:dyDescent="0.45">
      <c r="A227" s="649">
        <v>437909</v>
      </c>
      <c r="B227" s="650"/>
      <c r="C227" s="651" t="s">
        <v>570</v>
      </c>
      <c r="D227" s="652" t="s">
        <v>571</v>
      </c>
      <c r="E227" s="652" t="s">
        <v>461</v>
      </c>
      <c r="F227" s="652" t="s">
        <v>569</v>
      </c>
      <c r="G227" s="652">
        <v>30</v>
      </c>
      <c r="H227" s="653" t="s">
        <v>222</v>
      </c>
      <c r="I227" s="653">
        <v>4788</v>
      </c>
      <c r="J227" s="654">
        <v>0.52000000000000024</v>
      </c>
      <c r="K227" s="563">
        <v>3.55353075170843</v>
      </c>
      <c r="L227" s="564">
        <v>7.5</v>
      </c>
      <c r="M227" s="563">
        <v>3.94646924829157</v>
      </c>
      <c r="N227" s="655">
        <v>0.52619589977220937</v>
      </c>
    </row>
    <row r="228" spans="1:17" hidden="1" x14ac:dyDescent="0.45">
      <c r="A228" s="90"/>
      <c r="B228" s="91"/>
      <c r="C228" s="92" t="str">
        <f>IFERROR(VLOOKUP($B228,[1]!SKUData[#Data],2,FALSE),"")</f>
        <v/>
      </c>
      <c r="D228" s="93" t="str">
        <f>IFERROR(VLOOKUP($B228,[1]!SKUData[#Data],12,FALSE),"")</f>
        <v/>
      </c>
      <c r="E228" s="93" t="str">
        <f>IFERROR(VLOOKUP($B228,[1]!SKUData[#Data],16,FALSE),"")</f>
        <v/>
      </c>
      <c r="F228" s="93" t="str">
        <f>IFERROR(VLOOKUP($B228,[1]!SKUData[#Data],17,FALSE),"")</f>
        <v/>
      </c>
      <c r="G228" s="93" t="str">
        <f>IFERROR(VLOOKUP($B228,[1]!SKUData[#Data],15,FALSE),"")</f>
        <v/>
      </c>
      <c r="H228" s="94" t="e">
        <f>IF(SUMIFS([1]!Table2[20''],[1]!Table2[No],#REF!,[1]!Table2[Material],#REF!)=0,"",SUMIFS([1]!Table2[20''],[1]!Table2[No],#REF!,[1]!Table2[Material],A228))</f>
        <v>#REF!</v>
      </c>
      <c r="I228" s="94" t="e">
        <f>IF(SUMIFS([1]!Table2[40'' HQ],[1]!Table2[No],#REF!,[1]!Table2[Material],#REF!)=0,"",SUMIFS([1]!Table2[40'' HQ],[1]!Table2[No],#REF!,[1]!Table2[Material],A228))</f>
        <v>#REF!</v>
      </c>
      <c r="J228" s="94" t="e">
        <f>IF(SUMIFS([1]!Table2[COGS],[1]!Table2[No],#REF!,[1]!Table2[Material],#REF!)=0,"",SUMIFS([1]!Table2[COGS],[1]!Table2[No],#REF!,[1]!Table2[Material],A228))</f>
        <v>#REF!</v>
      </c>
      <c r="K228" s="95" t="e">
        <f>IF(SUMIFS([1]!Table2[COGS (USD)],[1]!Table2[No],#REF!,[1]!Table2[Material],#REF!)=0,"",SUMIFS([1]!Table2[COGS (USD)],[1]!Table2[No],#REF!,[1]!Table2[Material],A228))</f>
        <v>#REF!</v>
      </c>
      <c r="L228" s="565"/>
      <c r="M228" s="95" t="str">
        <f>IF(L228="","",L228-K228)</f>
        <v/>
      </c>
      <c r="N228" s="97" t="str">
        <f>IFERROR(M228/L228,"")</f>
        <v/>
      </c>
    </row>
    <row r="229" spans="1:17" hidden="1" x14ac:dyDescent="0.45">
      <c r="A229" s="98"/>
      <c r="B229" s="55"/>
      <c r="C229" s="59"/>
      <c r="D229" s="59"/>
      <c r="E229" s="59"/>
      <c r="F229" s="59"/>
      <c r="G229" s="59"/>
      <c r="H229" s="59"/>
      <c r="I229" s="59"/>
      <c r="J229" s="59"/>
      <c r="K229" s="656"/>
      <c r="L229" s="59"/>
      <c r="M229" s="59"/>
      <c r="N229" s="59"/>
    </row>
    <row r="230" spans="1:17" x14ac:dyDescent="0.45">
      <c r="A230" s="58" t="s">
        <v>508</v>
      </c>
      <c r="B230" s="58"/>
      <c r="C230" s="58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</row>
    <row r="231" spans="1:17" ht="25.15" customHeight="1" x14ac:dyDescent="0.45">
      <c r="A231" s="724" t="s">
        <v>142</v>
      </c>
      <c r="B231" s="725"/>
      <c r="C231" s="566" t="s">
        <v>153</v>
      </c>
      <c r="D231" s="566" t="s">
        <v>183</v>
      </c>
      <c r="E231" s="566" t="s">
        <v>122</v>
      </c>
      <c r="F231" s="566" t="s">
        <v>184</v>
      </c>
      <c r="G231" s="726" t="s">
        <v>147</v>
      </c>
      <c r="H231" s="727"/>
      <c r="I231" s="728" t="s">
        <v>509</v>
      </c>
      <c r="J231" s="729"/>
      <c r="K231" s="733" t="s">
        <v>510</v>
      </c>
      <c r="L231" s="770" t="s">
        <v>483</v>
      </c>
      <c r="M231" s="771"/>
      <c r="N231" s="772"/>
      <c r="O231" s="708" t="s">
        <v>511</v>
      </c>
      <c r="P231" s="711" t="s">
        <v>554</v>
      </c>
      <c r="Q231" s="712"/>
    </row>
    <row r="232" spans="1:17" x14ac:dyDescent="0.45">
      <c r="A232" s="713" t="s">
        <v>183</v>
      </c>
      <c r="B232" s="714"/>
      <c r="C232" s="567"/>
      <c r="D232" s="567"/>
      <c r="E232" s="567"/>
      <c r="F232" s="567" t="s">
        <v>190</v>
      </c>
      <c r="G232" s="567" t="s">
        <v>207</v>
      </c>
      <c r="H232" s="567" t="s">
        <v>207</v>
      </c>
      <c r="I232" s="730"/>
      <c r="J232" s="722"/>
      <c r="K232" s="768"/>
      <c r="L232" s="657" t="s">
        <v>434</v>
      </c>
      <c r="M232" s="658" t="s">
        <v>555</v>
      </c>
      <c r="N232" s="659" t="s">
        <v>556</v>
      </c>
      <c r="O232" s="773"/>
      <c r="P232" s="715" t="s">
        <v>513</v>
      </c>
      <c r="Q232" s="717" t="s">
        <v>196</v>
      </c>
    </row>
    <row r="233" spans="1:17" x14ac:dyDescent="0.45">
      <c r="A233" s="568"/>
      <c r="B233" s="569"/>
      <c r="C233" s="570"/>
      <c r="D233" s="570"/>
      <c r="E233" s="570"/>
      <c r="F233" s="570"/>
      <c r="G233" s="570" t="s">
        <v>211</v>
      </c>
      <c r="H233" s="570" t="s">
        <v>212</v>
      </c>
      <c r="I233" s="731"/>
      <c r="J233" s="732"/>
      <c r="K233" s="769"/>
      <c r="L233" s="598" t="s">
        <v>557</v>
      </c>
      <c r="M233" s="599" t="s">
        <v>558</v>
      </c>
      <c r="N233" s="660" t="s">
        <v>559</v>
      </c>
      <c r="O233" s="774"/>
      <c r="P233" s="716"/>
      <c r="Q233" s="718"/>
    </row>
    <row r="234" spans="1:17" x14ac:dyDescent="0.45">
      <c r="A234" s="571" t="s">
        <v>202</v>
      </c>
      <c r="B234" s="106"/>
      <c r="C234" s="107"/>
      <c r="D234" s="85"/>
      <c r="E234" s="85"/>
      <c r="F234" s="85"/>
      <c r="G234" s="85"/>
      <c r="H234" s="86"/>
      <c r="I234" s="719"/>
      <c r="J234" s="720"/>
      <c r="K234" s="88"/>
      <c r="L234" s="637" t="s">
        <v>488</v>
      </c>
      <c r="M234" s="574" t="s">
        <v>488</v>
      </c>
      <c r="N234" s="574" t="s">
        <v>488</v>
      </c>
      <c r="O234" s="574" t="s">
        <v>488</v>
      </c>
      <c r="P234" s="574" t="s">
        <v>488</v>
      </c>
      <c r="Q234" s="575" t="s">
        <v>488</v>
      </c>
    </row>
    <row r="235" spans="1:17" x14ac:dyDescent="0.45">
      <c r="A235" s="649">
        <v>437908</v>
      </c>
      <c r="B235" s="650"/>
      <c r="C235" s="651" t="s">
        <v>567</v>
      </c>
      <c r="D235" s="652" t="s">
        <v>568</v>
      </c>
      <c r="E235" s="652" t="s">
        <v>461</v>
      </c>
      <c r="F235" s="661" t="s">
        <v>569</v>
      </c>
      <c r="G235" s="653">
        <v>3000</v>
      </c>
      <c r="H235" s="662">
        <v>0.62656641604010022</v>
      </c>
      <c r="I235" s="764">
        <v>9.3433583959900424E-2</v>
      </c>
      <c r="J235" s="765"/>
      <c r="K235" s="564">
        <v>8.2200000000000006</v>
      </c>
      <c r="L235" s="663">
        <v>0.45</v>
      </c>
      <c r="M235" s="608">
        <v>0.6</v>
      </c>
      <c r="N235" s="577">
        <v>1.1000000000000001</v>
      </c>
      <c r="O235" s="608">
        <v>6.07</v>
      </c>
      <c r="P235" s="577">
        <v>2.2431207289293802</v>
      </c>
      <c r="Q235" s="664">
        <v>0.27288573344639661</v>
      </c>
    </row>
    <row r="236" spans="1:17" x14ac:dyDescent="0.45">
      <c r="A236" s="649">
        <v>437909</v>
      </c>
      <c r="B236" s="650"/>
      <c r="C236" s="651" t="s">
        <v>570</v>
      </c>
      <c r="D236" s="652" t="s">
        <v>571</v>
      </c>
      <c r="E236" s="652" t="s">
        <v>461</v>
      </c>
      <c r="F236" s="661" t="s">
        <v>569</v>
      </c>
      <c r="G236" s="653">
        <v>3000</v>
      </c>
      <c r="H236" s="662">
        <v>0.62656641604010022</v>
      </c>
      <c r="I236" s="764">
        <v>9.3433583959900424E-2</v>
      </c>
      <c r="J236" s="765"/>
      <c r="K236" s="564">
        <v>8.2200000000000006</v>
      </c>
      <c r="L236" s="663">
        <v>0.45</v>
      </c>
      <c r="M236" s="608">
        <v>0.6</v>
      </c>
      <c r="N236" s="577">
        <v>1.1000000000000001</v>
      </c>
      <c r="O236" s="608">
        <v>6.07</v>
      </c>
      <c r="P236" s="577">
        <v>2.5164692482915703</v>
      </c>
      <c r="Q236" s="664">
        <v>0.30613981122768491</v>
      </c>
    </row>
    <row r="237" spans="1:17" x14ac:dyDescent="0.45">
      <c r="A237" s="581"/>
      <c r="B237" s="582"/>
      <c r="C237" s="583" t="str">
        <f>IFERROR(VLOOKUP(A237,[1]!SKUData[#Data],2,FALSE),"")</f>
        <v/>
      </c>
      <c r="D237" s="584" t="str">
        <f>IFERROR(VLOOKUP($B237,[1]!SKUData[#Data],12,FALSE),"")</f>
        <v/>
      </c>
      <c r="E237" s="584" t="str">
        <f>IFERROR(VLOOKUP($B237,[1]!SKUData[#Data],16,FALSE),"")</f>
        <v/>
      </c>
      <c r="F237" s="585" t="str">
        <f>IFERROR(VLOOKUP($B237,[1]!SKUData[#Data],17,FALSE),"")</f>
        <v/>
      </c>
      <c r="G237" s="586" t="e">
        <f>IF(SUMIFS([1]!Table2[Freight Cost],[1]!Table2[No],#REF!,[1]!Table2[Material],#REF!)=0,"",SUMIFS([1]!Table2[Freight Cost],[1]!Table2[No],#REF!,[1]!Table2[Material],A237))</f>
        <v>#REF!</v>
      </c>
      <c r="H237" s="587" t="str">
        <f>IFERROR(IF($H$21="40 HQ",G237/VLOOKUP(A237,$B$13:$O$16,9,FALSE),G237/VLOOKUP(A237,$B$13:$O$16,8,FALSE)),"")</f>
        <v/>
      </c>
      <c r="I237" s="739"/>
      <c r="J237" s="740"/>
      <c r="K237" s="665" t="e">
        <f>IF(SUMIFS([1]!Table2[New CIF],[1]!Table2[No],#REF!,[1]!Table2[Material],#REF!)=0,"",SUMIFS([1]!Table2[New CIF],[1]!Table2[No],#REF!,[1]!Table2[Material],A237))</f>
        <v>#REF!</v>
      </c>
      <c r="L237" s="666" t="s">
        <v>488</v>
      </c>
      <c r="M237" s="613" t="s">
        <v>488</v>
      </c>
      <c r="N237" s="590" t="s">
        <v>488</v>
      </c>
      <c r="O237" s="613" t="s">
        <v>488</v>
      </c>
      <c r="P237" s="590" t="s">
        <v>488</v>
      </c>
      <c r="Q237" s="591"/>
    </row>
    <row r="238" spans="1:17" x14ac:dyDescent="0.4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</row>
    <row r="239" spans="1:17" x14ac:dyDescent="0.45">
      <c r="A239" s="592" t="s">
        <v>560</v>
      </c>
      <c r="B239" s="592"/>
      <c r="C239" s="592"/>
      <c r="D239" s="593" t="s">
        <v>488</v>
      </c>
      <c r="E239" s="593" t="s">
        <v>488</v>
      </c>
      <c r="F239" s="593" t="s">
        <v>488</v>
      </c>
      <c r="G239" s="593" t="s">
        <v>488</v>
      </c>
      <c r="H239" s="593" t="s">
        <v>488</v>
      </c>
      <c r="I239" s="593" t="s">
        <v>488</v>
      </c>
      <c r="J239" s="594"/>
      <c r="K239" s="592" t="s">
        <v>488</v>
      </c>
      <c r="L239" s="592" t="s">
        <v>488</v>
      </c>
      <c r="M239" s="55"/>
      <c r="N239" s="55"/>
    </row>
    <row r="240" spans="1:17" x14ac:dyDescent="0.45">
      <c r="A240" s="741" t="s">
        <v>142</v>
      </c>
      <c r="B240" s="742"/>
      <c r="C240" s="595" t="s">
        <v>153</v>
      </c>
      <c r="D240" s="595" t="s">
        <v>183</v>
      </c>
      <c r="E240" s="595" t="s">
        <v>122</v>
      </c>
      <c r="F240" s="595" t="s">
        <v>184</v>
      </c>
      <c r="G240" s="595" t="s">
        <v>185</v>
      </c>
      <c r="H240" s="743" t="s">
        <v>561</v>
      </c>
      <c r="I240" s="767" t="s">
        <v>491</v>
      </c>
      <c r="J240" s="748"/>
      <c r="K240" s="743" t="s">
        <v>562</v>
      </c>
      <c r="L240" s="747" t="s">
        <v>563</v>
      </c>
      <c r="M240" s="748"/>
      <c r="N240" s="55"/>
    </row>
    <row r="241" spans="1:14" x14ac:dyDescent="0.45">
      <c r="A241" s="775" t="s">
        <v>183</v>
      </c>
      <c r="B241" s="707"/>
      <c r="C241" s="66" t="s">
        <v>488</v>
      </c>
      <c r="D241" s="67" t="s">
        <v>488</v>
      </c>
      <c r="E241" s="67" t="s">
        <v>488</v>
      </c>
      <c r="F241" s="67" t="s">
        <v>190</v>
      </c>
      <c r="G241" s="67" t="s">
        <v>191</v>
      </c>
      <c r="H241" s="766"/>
      <c r="I241" s="658" t="s">
        <v>555</v>
      </c>
      <c r="J241" s="658" t="s">
        <v>556</v>
      </c>
      <c r="K241" s="766"/>
      <c r="L241" s="658" t="s">
        <v>195</v>
      </c>
      <c r="M241" s="667" t="s">
        <v>196</v>
      </c>
      <c r="N241" s="55"/>
    </row>
    <row r="242" spans="1:14" x14ac:dyDescent="0.45">
      <c r="A242" s="668" t="s">
        <v>488</v>
      </c>
      <c r="B242" s="669" t="s">
        <v>488</v>
      </c>
      <c r="C242" s="596" t="s">
        <v>488</v>
      </c>
      <c r="D242" s="597" t="s">
        <v>488</v>
      </c>
      <c r="E242" s="597" t="s">
        <v>488</v>
      </c>
      <c r="F242" s="597" t="s">
        <v>488</v>
      </c>
      <c r="G242" s="597"/>
      <c r="H242" s="744"/>
      <c r="I242" s="599" t="s">
        <v>558</v>
      </c>
      <c r="J242" s="599" t="s">
        <v>559</v>
      </c>
      <c r="K242" s="744"/>
      <c r="L242" s="599" t="s">
        <v>488</v>
      </c>
      <c r="M242" s="600" t="s">
        <v>488</v>
      </c>
      <c r="N242" s="55"/>
    </row>
    <row r="243" spans="1:14" x14ac:dyDescent="0.45">
      <c r="A243" s="571" t="s">
        <v>202</v>
      </c>
      <c r="B243" s="602" t="s">
        <v>488</v>
      </c>
      <c r="C243" s="602" t="s">
        <v>488</v>
      </c>
      <c r="D243" s="574" t="s">
        <v>488</v>
      </c>
      <c r="E243" s="574" t="s">
        <v>488</v>
      </c>
      <c r="F243" s="574" t="s">
        <v>488</v>
      </c>
      <c r="G243" s="574" t="s">
        <v>488</v>
      </c>
      <c r="H243" s="574" t="s">
        <v>488</v>
      </c>
      <c r="I243" s="574" t="s">
        <v>488</v>
      </c>
      <c r="J243" s="574" t="s">
        <v>488</v>
      </c>
      <c r="K243" s="574" t="s">
        <v>488</v>
      </c>
      <c r="L243" s="574" t="s">
        <v>488</v>
      </c>
      <c r="M243" s="575" t="s">
        <v>488</v>
      </c>
      <c r="N243" s="55"/>
    </row>
    <row r="244" spans="1:14" x14ac:dyDescent="0.45">
      <c r="A244" s="649">
        <v>437908</v>
      </c>
      <c r="B244" s="670"/>
      <c r="C244" s="670" t="s">
        <v>567</v>
      </c>
      <c r="D244" s="670" t="s">
        <v>568</v>
      </c>
      <c r="E244" s="671" t="s">
        <v>461</v>
      </c>
      <c r="F244" s="607" t="s">
        <v>569</v>
      </c>
      <c r="G244" s="672">
        <v>30</v>
      </c>
      <c r="H244" s="607">
        <v>8.2200000000000006</v>
      </c>
      <c r="I244" s="608">
        <v>0.6</v>
      </c>
      <c r="J244" s="577">
        <v>1.1000000000000001</v>
      </c>
      <c r="K244" s="564">
        <v>6.5200000000000014</v>
      </c>
      <c r="L244" s="608">
        <v>2.6931207289293813</v>
      </c>
      <c r="M244" s="609">
        <v>0.32763025899384196</v>
      </c>
      <c r="N244" s="55"/>
    </row>
    <row r="245" spans="1:14" x14ac:dyDescent="0.45">
      <c r="A245" s="649">
        <v>437909</v>
      </c>
      <c r="B245" s="670"/>
      <c r="C245" s="670" t="s">
        <v>570</v>
      </c>
      <c r="D245" s="670" t="s">
        <v>571</v>
      </c>
      <c r="E245" s="671" t="s">
        <v>461</v>
      </c>
      <c r="F245" s="607" t="s">
        <v>569</v>
      </c>
      <c r="G245" s="672">
        <v>30</v>
      </c>
      <c r="H245" s="607">
        <v>8.2200000000000006</v>
      </c>
      <c r="I245" s="608">
        <v>0.6</v>
      </c>
      <c r="J245" s="577">
        <v>1.1000000000000001</v>
      </c>
      <c r="K245" s="564">
        <v>6.5200000000000014</v>
      </c>
      <c r="L245" s="608">
        <v>2.9664692482915713</v>
      </c>
      <c r="M245" s="609">
        <v>0.36088433677513032</v>
      </c>
      <c r="N245" s="55"/>
    </row>
    <row r="246" spans="1:14" x14ac:dyDescent="0.45">
      <c r="A246" s="612" t="s">
        <v>488</v>
      </c>
      <c r="B246" s="613" t="s">
        <v>488</v>
      </c>
      <c r="C246" s="613" t="s">
        <v>488</v>
      </c>
      <c r="D246" s="613" t="s">
        <v>488</v>
      </c>
      <c r="E246" s="613" t="s">
        <v>488</v>
      </c>
      <c r="F246" s="613" t="s">
        <v>488</v>
      </c>
      <c r="G246" s="613" t="s">
        <v>488</v>
      </c>
      <c r="H246" s="613" t="s">
        <v>488</v>
      </c>
      <c r="I246" s="613" t="s">
        <v>488</v>
      </c>
      <c r="J246" s="590" t="s">
        <v>488</v>
      </c>
      <c r="K246" s="613" t="s">
        <v>488</v>
      </c>
      <c r="L246" s="613" t="s">
        <v>488</v>
      </c>
      <c r="M246" s="614" t="s">
        <v>488</v>
      </c>
      <c r="N246" s="55"/>
    </row>
    <row r="247" spans="1:14" hidden="1" x14ac:dyDescent="0.4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</row>
    <row r="248" spans="1:14" hidden="1" x14ac:dyDescent="0.4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</row>
    <row r="249" spans="1:14" hidden="1" x14ac:dyDescent="0.4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</row>
    <row r="250" spans="1:14" hidden="1" x14ac:dyDescent="0.45">
      <c r="A250" s="693" t="s">
        <v>215</v>
      </c>
      <c r="B250" s="694"/>
      <c r="C250" s="695"/>
      <c r="D250" s="693" t="s">
        <v>216</v>
      </c>
      <c r="E250" s="694"/>
      <c r="F250" s="694"/>
      <c r="G250" s="694"/>
      <c r="H250" s="695"/>
      <c r="I250" s="693" t="s">
        <v>217</v>
      </c>
      <c r="J250" s="694"/>
      <c r="K250" s="694"/>
      <c r="L250" s="694"/>
      <c r="M250" s="694"/>
      <c r="N250" s="695"/>
    </row>
    <row r="251" spans="1:14" hidden="1" x14ac:dyDescent="0.45">
      <c r="A251" s="125"/>
      <c r="B251" s="55"/>
      <c r="C251" s="126"/>
      <c r="D251" s="125"/>
      <c r="E251" s="55"/>
      <c r="F251" s="55"/>
      <c r="G251" s="55"/>
      <c r="H251" s="126"/>
      <c r="I251" s="125"/>
      <c r="J251" s="55"/>
      <c r="K251" s="55"/>
      <c r="L251" s="55"/>
      <c r="M251" s="55"/>
      <c r="N251" s="126"/>
    </row>
    <row r="252" spans="1:14" hidden="1" x14ac:dyDescent="0.45">
      <c r="A252" s="125"/>
      <c r="B252" s="55"/>
      <c r="C252" s="126"/>
      <c r="D252" s="125"/>
      <c r="E252" s="55"/>
      <c r="F252" s="55"/>
      <c r="G252" s="55"/>
      <c r="H252" s="126"/>
      <c r="I252" s="125"/>
      <c r="J252" s="55"/>
      <c r="K252" s="55"/>
      <c r="L252" s="55"/>
      <c r="M252" s="55"/>
      <c r="N252" s="126"/>
    </row>
    <row r="253" spans="1:14" hidden="1" x14ac:dyDescent="0.45">
      <c r="A253" s="125"/>
      <c r="B253" s="55"/>
      <c r="C253" s="126"/>
      <c r="D253" s="125"/>
      <c r="E253" s="55"/>
      <c r="F253" s="55"/>
      <c r="G253" s="55"/>
      <c r="H253" s="126"/>
      <c r="I253" s="125"/>
      <c r="J253" s="55"/>
      <c r="K253" s="55"/>
      <c r="L253" s="55"/>
      <c r="M253" s="55"/>
      <c r="N253" s="126"/>
    </row>
    <row r="254" spans="1:14" hidden="1" x14ac:dyDescent="0.45">
      <c r="A254" s="125"/>
      <c r="B254" s="55"/>
      <c r="C254" s="126"/>
      <c r="D254" s="125"/>
      <c r="E254" s="55"/>
      <c r="F254" s="55"/>
      <c r="G254" s="55"/>
      <c r="H254" s="126"/>
      <c r="I254" s="125"/>
      <c r="J254" s="55"/>
      <c r="K254" s="55"/>
      <c r="L254" s="55"/>
      <c r="M254" s="55"/>
      <c r="N254" s="126"/>
    </row>
    <row r="255" spans="1:14" hidden="1" x14ac:dyDescent="0.45">
      <c r="A255" s="125"/>
      <c r="B255" s="55"/>
      <c r="C255" s="126"/>
      <c r="D255" s="125"/>
      <c r="E255" s="55"/>
      <c r="F255" s="55"/>
      <c r="G255" s="55"/>
      <c r="H255" s="126"/>
      <c r="I255" s="125"/>
      <c r="J255" s="55"/>
      <c r="K255" s="55"/>
      <c r="L255" s="55"/>
      <c r="M255" s="55"/>
      <c r="N255" s="126"/>
    </row>
    <row r="256" spans="1:14" hidden="1" x14ac:dyDescent="0.45">
      <c r="A256" s="696" t="s">
        <v>107</v>
      </c>
      <c r="B256" s="697"/>
      <c r="C256" s="698"/>
      <c r="D256" s="696" t="s">
        <v>218</v>
      </c>
      <c r="E256" s="697"/>
      <c r="F256" s="697" t="s">
        <v>219</v>
      </c>
      <c r="G256" s="697"/>
      <c r="H256" s="698"/>
      <c r="I256" s="696" t="s">
        <v>494</v>
      </c>
      <c r="J256" s="697"/>
      <c r="K256" s="697"/>
      <c r="L256" s="697"/>
      <c r="M256" s="697"/>
      <c r="N256" s="698"/>
    </row>
  </sheetData>
  <mergeCells count="139">
    <mergeCell ref="A17:B17"/>
    <mergeCell ref="L17:M17"/>
    <mergeCell ref="A18:B18"/>
    <mergeCell ref="A26:B26"/>
    <mergeCell ref="L26:M26"/>
    <mergeCell ref="N26:O26"/>
    <mergeCell ref="P26:Q26"/>
    <mergeCell ref="A27:B27"/>
    <mergeCell ref="A34:C34"/>
    <mergeCell ref="D34:I34"/>
    <mergeCell ref="J34:Q34"/>
    <mergeCell ref="A40:C40"/>
    <mergeCell ref="D40:E40"/>
    <mergeCell ref="G40:I40"/>
    <mergeCell ref="J40:Q40"/>
    <mergeCell ref="A68:C68"/>
    <mergeCell ref="D68:E68"/>
    <mergeCell ref="G68:I68"/>
    <mergeCell ref="J68:Q68"/>
    <mergeCell ref="A83:B83"/>
    <mergeCell ref="L83:L85"/>
    <mergeCell ref="A84:B84"/>
    <mergeCell ref="A54:B54"/>
    <mergeCell ref="P54:Q54"/>
    <mergeCell ref="A55:B55"/>
    <mergeCell ref="A62:C62"/>
    <mergeCell ref="D62:I62"/>
    <mergeCell ref="J62:Q62"/>
    <mergeCell ref="I98:J98"/>
    <mergeCell ref="I99:J99"/>
    <mergeCell ref="I100:J100"/>
    <mergeCell ref="A103:B103"/>
    <mergeCell ref="H103:H104"/>
    <mergeCell ref="I103:I104"/>
    <mergeCell ref="J103:J104"/>
    <mergeCell ref="N93:O93"/>
    <mergeCell ref="A94:B94"/>
    <mergeCell ref="N94:N95"/>
    <mergeCell ref="O94:O95"/>
    <mergeCell ref="I96:J96"/>
    <mergeCell ref="I97:J97"/>
    <mergeCell ref="A93:B93"/>
    <mergeCell ref="G93:H93"/>
    <mergeCell ref="I93:J95"/>
    <mergeCell ref="K93:K95"/>
    <mergeCell ref="L93:L95"/>
    <mergeCell ref="M93:M95"/>
    <mergeCell ref="A132:B132"/>
    <mergeCell ref="L132:L134"/>
    <mergeCell ref="A133:B133"/>
    <mergeCell ref="A144:B144"/>
    <mergeCell ref="G144:H144"/>
    <mergeCell ref="I144:J146"/>
    <mergeCell ref="K144:K146"/>
    <mergeCell ref="L144:L146"/>
    <mergeCell ref="K103:L103"/>
    <mergeCell ref="A104:B104"/>
    <mergeCell ref="A111:C111"/>
    <mergeCell ref="D111:H111"/>
    <mergeCell ref="I111:N111"/>
    <mergeCell ref="A117:C117"/>
    <mergeCell ref="D117:E117"/>
    <mergeCell ref="F117:H117"/>
    <mergeCell ref="I117:N117"/>
    <mergeCell ref="I148:J148"/>
    <mergeCell ref="I149:J149"/>
    <mergeCell ref="I150:J150"/>
    <mergeCell ref="I151:J151"/>
    <mergeCell ref="I152:J152"/>
    <mergeCell ref="I153:J153"/>
    <mergeCell ref="M144:M146"/>
    <mergeCell ref="N144:O144"/>
    <mergeCell ref="A145:B145"/>
    <mergeCell ref="N145:N146"/>
    <mergeCell ref="O145:O146"/>
    <mergeCell ref="I147:J147"/>
    <mergeCell ref="A166:C166"/>
    <mergeCell ref="D166:H166"/>
    <mergeCell ref="I166:N166"/>
    <mergeCell ref="A172:C172"/>
    <mergeCell ref="D172:E172"/>
    <mergeCell ref="F172:H172"/>
    <mergeCell ref="I172:N172"/>
    <mergeCell ref="A156:B156"/>
    <mergeCell ref="H156:H157"/>
    <mergeCell ref="I156:I157"/>
    <mergeCell ref="J156:J157"/>
    <mergeCell ref="K156:L156"/>
    <mergeCell ref="A157:B157"/>
    <mergeCell ref="A187:B187"/>
    <mergeCell ref="H187:I187"/>
    <mergeCell ref="L187:M187"/>
    <mergeCell ref="N187:O187"/>
    <mergeCell ref="A188:B188"/>
    <mergeCell ref="A196:B196"/>
    <mergeCell ref="K196:K198"/>
    <mergeCell ref="L196:M196"/>
    <mergeCell ref="N196:O196"/>
    <mergeCell ref="A210:C210"/>
    <mergeCell ref="D210:E210"/>
    <mergeCell ref="G210:I210"/>
    <mergeCell ref="J210:Q210"/>
    <mergeCell ref="A222:B222"/>
    <mergeCell ref="L222:L224"/>
    <mergeCell ref="A223:B223"/>
    <mergeCell ref="Q196:R196"/>
    <mergeCell ref="S196:T196"/>
    <mergeCell ref="A197:B197"/>
    <mergeCell ref="Q197:Q198"/>
    <mergeCell ref="A204:C204"/>
    <mergeCell ref="D204:I204"/>
    <mergeCell ref="J204:Q204"/>
    <mergeCell ref="I236:J236"/>
    <mergeCell ref="I237:J237"/>
    <mergeCell ref="A240:B240"/>
    <mergeCell ref="H240:H242"/>
    <mergeCell ref="I240:J240"/>
    <mergeCell ref="K240:K242"/>
    <mergeCell ref="P231:Q231"/>
    <mergeCell ref="A232:B232"/>
    <mergeCell ref="P232:P233"/>
    <mergeCell ref="Q232:Q233"/>
    <mergeCell ref="I234:J234"/>
    <mergeCell ref="I235:J235"/>
    <mergeCell ref="A231:B231"/>
    <mergeCell ref="G231:H231"/>
    <mergeCell ref="I231:J233"/>
    <mergeCell ref="K231:K233"/>
    <mergeCell ref="L231:N231"/>
    <mergeCell ref="O231:O233"/>
    <mergeCell ref="L240:M240"/>
    <mergeCell ref="A241:B241"/>
    <mergeCell ref="A250:C250"/>
    <mergeCell ref="D250:H250"/>
    <mergeCell ref="I250:N250"/>
    <mergeCell ref="A256:C256"/>
    <mergeCell ref="D256:E256"/>
    <mergeCell ref="F256:H256"/>
    <mergeCell ref="I256:N256"/>
  </mergeCells>
  <pageMargins left="0.7" right="0.7" top="0.75" bottom="0.75" header="0.3" footer="0.3"/>
  <pageSetup paperSize="8" scale="65" orientation="portrait" verticalDpi="598" r:id="rId1"/>
  <rowBreaks count="2" manualBreakCount="2">
    <brk id="73" max="20" man="1"/>
    <brk id="178" max="20" man="1"/>
  </rowBreaks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FBAC-4C70-46F2-805F-17FF738EF6BD}">
  <dimension ref="B1:AW93"/>
  <sheetViews>
    <sheetView tabSelected="1" workbookViewId="0">
      <selection activeCell="D11" sqref="D11"/>
    </sheetView>
  </sheetViews>
  <sheetFormatPr defaultRowHeight="14.25" x14ac:dyDescent="0.45"/>
  <cols>
    <col min="2" max="2" width="17.6640625" customWidth="1"/>
    <col min="3" max="3" width="1.3984375" customWidth="1"/>
    <col min="4" max="4" width="33.59765625" customWidth="1"/>
    <col min="5" max="5" width="21.1328125" customWidth="1"/>
    <col min="6" max="6" width="11.6640625" customWidth="1"/>
    <col min="11" max="11" width="29.6640625" bestFit="1" customWidth="1"/>
    <col min="12" max="13" width="5.46484375" bestFit="1" customWidth="1"/>
    <col min="14" max="14" width="13.1328125" customWidth="1"/>
    <col min="15" max="15" width="7" bestFit="1" customWidth="1"/>
    <col min="16" max="16" width="5.265625" bestFit="1" customWidth="1"/>
    <col min="23" max="23" width="9.796875" bestFit="1" customWidth="1"/>
    <col min="25" max="25" width="24.06640625" bestFit="1" customWidth="1"/>
    <col min="26" max="30" width="22.3984375" bestFit="1" customWidth="1"/>
    <col min="31" max="31" width="7.06640625" bestFit="1" customWidth="1"/>
    <col min="32" max="32" width="10.3984375" bestFit="1" customWidth="1"/>
    <col min="41" max="41" width="0.59765625" customWidth="1"/>
    <col min="47" max="47" width="22.3984375" bestFit="1" customWidth="1"/>
    <col min="48" max="48" width="49.86328125" bestFit="1" customWidth="1"/>
    <col min="49" max="49" width="10.3984375" bestFit="1" customWidth="1"/>
  </cols>
  <sheetData>
    <row r="1" spans="3:12" x14ac:dyDescent="0.45">
      <c r="J1" t="s">
        <v>572</v>
      </c>
      <c r="K1" t="s">
        <v>189</v>
      </c>
      <c r="L1" t="s">
        <v>577</v>
      </c>
    </row>
    <row r="2" spans="3:12" x14ac:dyDescent="0.45">
      <c r="D2" s="674" t="s">
        <v>582</v>
      </c>
      <c r="K2" t="s">
        <v>590</v>
      </c>
      <c r="L2" t="s">
        <v>591</v>
      </c>
    </row>
    <row r="3" spans="3:12" x14ac:dyDescent="0.45">
      <c r="C3">
        <v>1</v>
      </c>
      <c r="D3" s="53" t="s">
        <v>580</v>
      </c>
    </row>
    <row r="4" spans="3:12" x14ac:dyDescent="0.45">
      <c r="C4">
        <v>2</v>
      </c>
      <c r="D4" s="53" t="s">
        <v>581</v>
      </c>
    </row>
    <row r="5" spans="3:12" x14ac:dyDescent="0.45">
      <c r="C5">
        <v>3</v>
      </c>
      <c r="D5" s="53" t="s">
        <v>613</v>
      </c>
    </row>
    <row r="6" spans="3:12" x14ac:dyDescent="0.45">
      <c r="C6">
        <v>4</v>
      </c>
      <c r="D6" s="53" t="s">
        <v>614</v>
      </c>
      <c r="J6" t="s">
        <v>574</v>
      </c>
      <c r="K6" t="s">
        <v>593</v>
      </c>
      <c r="L6" t="s">
        <v>631</v>
      </c>
    </row>
    <row r="7" spans="3:12" x14ac:dyDescent="0.45">
      <c r="C7">
        <v>5</v>
      </c>
      <c r="D7" s="53" t="s">
        <v>616</v>
      </c>
      <c r="K7" t="s">
        <v>594</v>
      </c>
      <c r="L7" t="s">
        <v>630</v>
      </c>
    </row>
    <row r="8" spans="3:12" x14ac:dyDescent="0.45">
      <c r="C8">
        <v>6</v>
      </c>
      <c r="D8" s="53" t="s">
        <v>612</v>
      </c>
      <c r="K8" t="s">
        <v>595</v>
      </c>
      <c r="L8" t="s">
        <v>632</v>
      </c>
    </row>
    <row r="9" spans="3:12" x14ac:dyDescent="0.45">
      <c r="C9">
        <v>7</v>
      </c>
      <c r="D9" s="53" t="s">
        <v>617</v>
      </c>
      <c r="K9" t="s">
        <v>189</v>
      </c>
      <c r="L9" t="s">
        <v>596</v>
      </c>
    </row>
    <row r="10" spans="3:12" x14ac:dyDescent="0.45">
      <c r="D10" s="53" t="s">
        <v>637</v>
      </c>
      <c r="K10" t="s">
        <v>597</v>
      </c>
      <c r="L10" t="s">
        <v>633</v>
      </c>
    </row>
    <row r="11" spans="3:12" x14ac:dyDescent="0.45">
      <c r="C11">
        <v>8</v>
      </c>
      <c r="D11" s="53" t="s">
        <v>19</v>
      </c>
      <c r="E11" t="s">
        <v>623</v>
      </c>
    </row>
    <row r="12" spans="3:12" x14ac:dyDescent="0.45">
      <c r="D12" s="53" t="s">
        <v>627</v>
      </c>
      <c r="E12" t="s">
        <v>619</v>
      </c>
      <c r="J12" t="s">
        <v>576</v>
      </c>
      <c r="K12" t="s">
        <v>606</v>
      </c>
      <c r="L12" t="s">
        <v>213</v>
      </c>
    </row>
    <row r="13" spans="3:12" x14ac:dyDescent="0.45">
      <c r="D13" s="53" t="s">
        <v>628</v>
      </c>
      <c r="E13" t="s">
        <v>629</v>
      </c>
      <c r="K13" t="s">
        <v>492</v>
      </c>
      <c r="L13" t="s">
        <v>634</v>
      </c>
    </row>
    <row r="14" spans="3:12" x14ac:dyDescent="0.45">
      <c r="C14">
        <v>9</v>
      </c>
      <c r="D14" s="53" t="s">
        <v>618</v>
      </c>
      <c r="E14" t="s">
        <v>619</v>
      </c>
      <c r="K14" t="s">
        <v>609</v>
      </c>
      <c r="L14" t="s">
        <v>635</v>
      </c>
    </row>
    <row r="15" spans="3:12" x14ac:dyDescent="0.45">
      <c r="D15" s="53" t="s">
        <v>625</v>
      </c>
      <c r="E15" t="s">
        <v>621</v>
      </c>
      <c r="J15" t="s">
        <v>582</v>
      </c>
    </row>
    <row r="16" spans="3:12" x14ac:dyDescent="0.45">
      <c r="D16" s="53" t="s">
        <v>626</v>
      </c>
      <c r="E16" t="s">
        <v>622</v>
      </c>
      <c r="J16" t="s">
        <v>605</v>
      </c>
    </row>
    <row r="21" spans="2:8" x14ac:dyDescent="0.45">
      <c r="B21" s="674" t="s">
        <v>176</v>
      </c>
      <c r="D21" s="55" t="s">
        <v>575</v>
      </c>
      <c r="E21" t="s">
        <v>620</v>
      </c>
    </row>
    <row r="22" spans="2:8" x14ac:dyDescent="0.45">
      <c r="D22" s="55" t="s">
        <v>7</v>
      </c>
    </row>
    <row r="23" spans="2:8" x14ac:dyDescent="0.45">
      <c r="D23" s="55" t="s">
        <v>140</v>
      </c>
    </row>
    <row r="24" spans="2:8" x14ac:dyDescent="0.45">
      <c r="D24" s="55" t="s">
        <v>141</v>
      </c>
    </row>
    <row r="25" spans="2:8" x14ac:dyDescent="0.45">
      <c r="D25" s="55" t="s">
        <v>583</v>
      </c>
    </row>
    <row r="26" spans="2:8" x14ac:dyDescent="0.45">
      <c r="D26" s="55" t="s">
        <v>584</v>
      </c>
    </row>
    <row r="27" spans="2:8" x14ac:dyDescent="0.45">
      <c r="D27" s="55" t="s">
        <v>624</v>
      </c>
    </row>
    <row r="28" spans="2:8" x14ac:dyDescent="0.45">
      <c r="D28" s="55" t="s">
        <v>585</v>
      </c>
    </row>
    <row r="29" spans="2:8" x14ac:dyDescent="0.45">
      <c r="D29" s="55" t="s">
        <v>586</v>
      </c>
      <c r="E29" t="s">
        <v>587</v>
      </c>
    </row>
    <row r="30" spans="2:8" x14ac:dyDescent="0.45">
      <c r="D30">
        <v>1</v>
      </c>
      <c r="E30">
        <v>2</v>
      </c>
      <c r="F30">
        <v>3</v>
      </c>
      <c r="H30" t="s">
        <v>602</v>
      </c>
    </row>
    <row r="31" spans="2:8" x14ac:dyDescent="0.45">
      <c r="D31" s="55" t="s">
        <v>578</v>
      </c>
      <c r="E31" s="55" t="s">
        <v>578</v>
      </c>
      <c r="F31" s="55" t="s">
        <v>578</v>
      </c>
    </row>
    <row r="32" spans="2:8" x14ac:dyDescent="0.45">
      <c r="D32" s="55" t="s">
        <v>213</v>
      </c>
      <c r="E32" s="55" t="s">
        <v>213</v>
      </c>
      <c r="F32" s="55" t="s">
        <v>213</v>
      </c>
    </row>
    <row r="33" spans="2:21" x14ac:dyDescent="0.45">
      <c r="D33" s="55" t="s">
        <v>201</v>
      </c>
      <c r="E33" s="55" t="s">
        <v>201</v>
      </c>
      <c r="F33" s="55" t="s">
        <v>201</v>
      </c>
    </row>
    <row r="34" spans="2:21" x14ac:dyDescent="0.45">
      <c r="D34" s="55" t="s">
        <v>150</v>
      </c>
      <c r="E34" s="55" t="s">
        <v>150</v>
      </c>
      <c r="F34" s="55" t="s">
        <v>150</v>
      </c>
    </row>
    <row r="35" spans="2:21" x14ac:dyDescent="0.45">
      <c r="D35" s="55" t="s">
        <v>434</v>
      </c>
      <c r="E35" s="55" t="s">
        <v>434</v>
      </c>
      <c r="F35" s="55" t="s">
        <v>434</v>
      </c>
    </row>
    <row r="36" spans="2:21" x14ac:dyDescent="0.45">
      <c r="D36" s="55" t="s">
        <v>555</v>
      </c>
      <c r="E36" s="55" t="s">
        <v>555</v>
      </c>
      <c r="F36" s="55" t="s">
        <v>555</v>
      </c>
    </row>
    <row r="37" spans="2:21" x14ac:dyDescent="0.45">
      <c r="D37" s="55" t="s">
        <v>579</v>
      </c>
      <c r="E37" s="55" t="s">
        <v>579</v>
      </c>
      <c r="F37" s="55" t="s">
        <v>579</v>
      </c>
    </row>
    <row r="38" spans="2:21" x14ac:dyDescent="0.45">
      <c r="D38" t="s">
        <v>537</v>
      </c>
      <c r="E38" t="s">
        <v>537</v>
      </c>
      <c r="F38" t="s">
        <v>537</v>
      </c>
    </row>
    <row r="39" spans="2:21" x14ac:dyDescent="0.45">
      <c r="D39" s="55" t="s">
        <v>636</v>
      </c>
      <c r="E39" s="55" t="s">
        <v>636</v>
      </c>
      <c r="F39" s="55" t="s">
        <v>636</v>
      </c>
    </row>
    <row r="40" spans="2:21" x14ac:dyDescent="0.45">
      <c r="D40" t="s">
        <v>203</v>
      </c>
      <c r="E40" t="s">
        <v>203</v>
      </c>
      <c r="F40" t="s">
        <v>203</v>
      </c>
      <c r="H40" t="s">
        <v>599</v>
      </c>
    </row>
    <row r="41" spans="2:21" x14ac:dyDescent="0.45">
      <c r="D41" s="55" t="s">
        <v>541</v>
      </c>
      <c r="E41" s="55" t="s">
        <v>541</v>
      </c>
      <c r="F41" s="55" t="s">
        <v>541</v>
      </c>
      <c r="H41" s="55" t="s">
        <v>615</v>
      </c>
    </row>
    <row r="42" spans="2:21" x14ac:dyDescent="0.45">
      <c r="D42" s="53"/>
    </row>
    <row r="43" spans="2:21" x14ac:dyDescent="0.45">
      <c r="D43" s="53"/>
    </row>
    <row r="44" spans="2:21" x14ac:dyDescent="0.45">
      <c r="B44" s="674" t="s">
        <v>588</v>
      </c>
      <c r="D44" s="53" t="s">
        <v>575</v>
      </c>
      <c r="E44" s="53" t="s">
        <v>178</v>
      </c>
      <c r="F44" t="s">
        <v>589</v>
      </c>
    </row>
    <row r="45" spans="2:21" x14ac:dyDescent="0.45">
      <c r="D45" s="53" t="s">
        <v>177</v>
      </c>
      <c r="E45" s="53" t="s">
        <v>178</v>
      </c>
      <c r="F45" s="54">
        <v>1813</v>
      </c>
    </row>
    <row r="46" spans="2:21" x14ac:dyDescent="0.45">
      <c r="D46" s="53" t="s">
        <v>109</v>
      </c>
      <c r="E46" s="53" t="s">
        <v>178</v>
      </c>
      <c r="F46" s="55" t="s">
        <v>110</v>
      </c>
    </row>
    <row r="47" spans="2:21" x14ac:dyDescent="0.45">
      <c r="D47" s="53" t="s">
        <v>7</v>
      </c>
      <c r="E47" s="53" t="s">
        <v>178</v>
      </c>
      <c r="F47" s="55" t="s">
        <v>74</v>
      </c>
      <c r="R47" t="s">
        <v>529</v>
      </c>
      <c r="U47" t="s">
        <v>611</v>
      </c>
    </row>
    <row r="48" spans="2:21" x14ac:dyDescent="0.45">
      <c r="D48" s="53" t="s">
        <v>140</v>
      </c>
      <c r="E48" s="53" t="s">
        <v>178</v>
      </c>
      <c r="F48" s="55" t="s">
        <v>457</v>
      </c>
      <c r="R48" t="s">
        <v>181</v>
      </c>
      <c r="S48">
        <v>4.3899999999999997</v>
      </c>
      <c r="T48" t="s">
        <v>552</v>
      </c>
      <c r="U48" t="s">
        <v>347</v>
      </c>
    </row>
    <row r="49" spans="2:49" x14ac:dyDescent="0.45">
      <c r="D49" s="53" t="s">
        <v>141</v>
      </c>
      <c r="E49" s="53" t="s">
        <v>178</v>
      </c>
      <c r="F49" s="55" t="s">
        <v>458</v>
      </c>
      <c r="R49" t="s">
        <v>476</v>
      </c>
      <c r="S49">
        <v>1</v>
      </c>
      <c r="T49" t="s">
        <v>477</v>
      </c>
      <c r="U49" t="s">
        <v>505</v>
      </c>
    </row>
    <row r="50" spans="2:49" x14ac:dyDescent="0.45">
      <c r="D50" s="53" t="s">
        <v>179</v>
      </c>
      <c r="E50" s="53" t="s">
        <v>178</v>
      </c>
      <c r="F50" s="57">
        <v>45761</v>
      </c>
    </row>
    <row r="52" spans="2:49" ht="26.65" customHeight="1" thickBot="1" x14ac:dyDescent="0.5">
      <c r="D52" s="58" t="s">
        <v>180</v>
      </c>
      <c r="E52" s="58"/>
      <c r="F52" s="58"/>
      <c r="G52" s="59"/>
      <c r="H52" s="59"/>
      <c r="I52" s="59"/>
      <c r="J52" s="59"/>
      <c r="K52" s="59"/>
      <c r="L52" s="59"/>
      <c r="M52" s="55"/>
      <c r="N52" s="55"/>
      <c r="O52" s="55"/>
      <c r="P52" s="55"/>
      <c r="Q52" s="60"/>
      <c r="R52" s="60" t="s">
        <v>181</v>
      </c>
      <c r="S52" s="61">
        <v>16500</v>
      </c>
      <c r="T52" s="58" t="s">
        <v>182</v>
      </c>
    </row>
    <row r="53" spans="2:49" ht="26.25" x14ac:dyDescent="0.45">
      <c r="B53" s="776" t="s">
        <v>572</v>
      </c>
      <c r="C53" s="673"/>
      <c r="D53" s="704" t="s">
        <v>142</v>
      </c>
      <c r="E53" s="705"/>
      <c r="F53" s="62" t="s">
        <v>153</v>
      </c>
      <c r="G53" s="62" t="s">
        <v>183</v>
      </c>
      <c r="H53" s="62" t="s">
        <v>122</v>
      </c>
      <c r="I53" s="62" t="s">
        <v>184</v>
      </c>
      <c r="J53" s="62" t="s">
        <v>185</v>
      </c>
      <c r="K53" s="63" t="s">
        <v>186</v>
      </c>
      <c r="L53" s="63"/>
      <c r="M53" s="63" t="s">
        <v>187</v>
      </c>
      <c r="N53" s="63"/>
      <c r="O53" s="63"/>
      <c r="P53" s="63"/>
      <c r="Q53" s="702" t="s">
        <v>188</v>
      </c>
      <c r="R53" s="703"/>
      <c r="S53" s="63" t="s">
        <v>189</v>
      </c>
      <c r="T53" s="63"/>
      <c r="U53" s="907" t="s">
        <v>607</v>
      </c>
      <c r="V53" s="908" t="s">
        <v>491</v>
      </c>
      <c r="W53" s="909"/>
      <c r="X53" s="907" t="s">
        <v>492</v>
      </c>
      <c r="Y53" s="910" t="s">
        <v>608</v>
      </c>
      <c r="Z53" s="909"/>
      <c r="AA53" s="927" t="s">
        <v>147</v>
      </c>
      <c r="AB53" s="890"/>
      <c r="AC53" s="889" t="s">
        <v>203</v>
      </c>
      <c r="AD53" s="890"/>
      <c r="AE53" s="881" t="s">
        <v>204</v>
      </c>
      <c r="AF53" s="889" t="s">
        <v>205</v>
      </c>
      <c r="AG53" s="890"/>
      <c r="AH53" s="928" t="s">
        <v>189</v>
      </c>
      <c r="AI53" s="929"/>
      <c r="AJ53" s="930" t="s">
        <v>537</v>
      </c>
      <c r="AK53" s="931"/>
      <c r="AL53" s="932" t="s">
        <v>538</v>
      </c>
      <c r="AM53" s="933"/>
      <c r="AN53" s="934" t="s">
        <v>488</v>
      </c>
      <c r="AO53" s="935"/>
      <c r="AP53" s="936" t="s">
        <v>481</v>
      </c>
      <c r="AQ53" s="937" t="s">
        <v>482</v>
      </c>
      <c r="AR53" s="938" t="s">
        <v>483</v>
      </c>
      <c r="AS53" s="939"/>
      <c r="AT53" s="940"/>
      <c r="AU53" s="941" t="s">
        <v>484</v>
      </c>
      <c r="AV53" s="942" t="s">
        <v>485</v>
      </c>
      <c r="AW53" s="943"/>
    </row>
    <row r="54" spans="2:49" x14ac:dyDescent="0.45">
      <c r="B54" s="777"/>
      <c r="C54" s="673"/>
      <c r="D54" s="706" t="s">
        <v>183</v>
      </c>
      <c r="E54" s="707"/>
      <c r="F54" s="66"/>
      <c r="G54" s="67"/>
      <c r="H54" s="67"/>
      <c r="I54" s="67" t="s">
        <v>190</v>
      </c>
      <c r="J54" s="67" t="s">
        <v>191</v>
      </c>
      <c r="K54" s="62" t="s">
        <v>148</v>
      </c>
      <c r="L54" s="62">
        <v>40</v>
      </c>
      <c r="M54" s="62" t="s">
        <v>182</v>
      </c>
      <c r="N54" s="62" t="s">
        <v>182</v>
      </c>
      <c r="O54" s="62" t="s">
        <v>192</v>
      </c>
      <c r="P54" s="62" t="s">
        <v>192</v>
      </c>
      <c r="Q54" s="68" t="s">
        <v>193</v>
      </c>
      <c r="R54" s="68" t="s">
        <v>194</v>
      </c>
      <c r="S54" s="62" t="s">
        <v>195</v>
      </c>
      <c r="T54" s="62" t="s">
        <v>196</v>
      </c>
      <c r="U54" s="911"/>
      <c r="V54" s="912" t="s">
        <v>555</v>
      </c>
      <c r="W54" s="912" t="s">
        <v>556</v>
      </c>
      <c r="X54" s="911"/>
      <c r="Y54" s="912" t="s">
        <v>195</v>
      </c>
      <c r="Z54" s="913" t="s">
        <v>196</v>
      </c>
      <c r="AA54" s="882" t="s">
        <v>207</v>
      </c>
      <c r="AB54" s="882" t="s">
        <v>207</v>
      </c>
      <c r="AC54" s="881" t="s">
        <v>196</v>
      </c>
      <c r="AD54" s="881" t="s">
        <v>208</v>
      </c>
      <c r="AE54" s="882" t="s">
        <v>209</v>
      </c>
      <c r="AF54" s="891" t="s">
        <v>193</v>
      </c>
      <c r="AG54" s="891" t="s">
        <v>210</v>
      </c>
      <c r="AH54" s="881" t="s">
        <v>195</v>
      </c>
      <c r="AI54" s="881" t="s">
        <v>196</v>
      </c>
      <c r="AJ54" s="944" t="s">
        <v>195</v>
      </c>
      <c r="AK54" s="881" t="s">
        <v>196</v>
      </c>
      <c r="AL54" s="945" t="s">
        <v>532</v>
      </c>
      <c r="AM54" s="946" t="s">
        <v>196</v>
      </c>
      <c r="AN54" s="947" t="s">
        <v>541</v>
      </c>
      <c r="AO54" s="935"/>
      <c r="AP54" s="948"/>
      <c r="AQ54" s="949"/>
      <c r="AR54" s="950" t="s">
        <v>434</v>
      </c>
      <c r="AS54" s="912" t="s">
        <v>555</v>
      </c>
      <c r="AT54" s="912" t="s">
        <v>556</v>
      </c>
      <c r="AU54" s="951"/>
      <c r="AV54" s="952" t="s">
        <v>487</v>
      </c>
      <c r="AW54" s="953" t="s">
        <v>196</v>
      </c>
    </row>
    <row r="55" spans="2:49" x14ac:dyDescent="0.45">
      <c r="B55" s="777"/>
      <c r="C55" s="673"/>
      <c r="D55" s="102"/>
      <c r="E55" s="103"/>
      <c r="F55" s="71"/>
      <c r="G55" s="72"/>
      <c r="H55" s="72"/>
      <c r="I55" s="72"/>
      <c r="J55" s="72"/>
      <c r="K55" s="72"/>
      <c r="L55" s="72" t="s">
        <v>197</v>
      </c>
      <c r="M55" s="72" t="s">
        <v>198</v>
      </c>
      <c r="N55" s="72" t="s">
        <v>199</v>
      </c>
      <c r="O55" s="72" t="s">
        <v>198</v>
      </c>
      <c r="P55" s="72" t="s">
        <v>199</v>
      </c>
      <c r="Q55" s="73" t="s">
        <v>200</v>
      </c>
      <c r="R55" s="67" t="s">
        <v>200</v>
      </c>
      <c r="S55" s="72"/>
      <c r="T55" s="72" t="s">
        <v>201</v>
      </c>
      <c r="U55" s="914"/>
      <c r="V55" s="915" t="s">
        <v>558</v>
      </c>
      <c r="W55" s="915" t="s">
        <v>559</v>
      </c>
      <c r="X55" s="914"/>
      <c r="Y55" s="915" t="s">
        <v>488</v>
      </c>
      <c r="Z55" s="916" t="s">
        <v>488</v>
      </c>
      <c r="AA55" s="883" t="s">
        <v>211</v>
      </c>
      <c r="AB55" s="883" t="s">
        <v>212</v>
      </c>
      <c r="AC55" s="883" t="s">
        <v>213</v>
      </c>
      <c r="AD55" s="883" t="s">
        <v>192</v>
      </c>
      <c r="AE55" s="883" t="s">
        <v>214</v>
      </c>
      <c r="AF55" s="954" t="s">
        <v>200</v>
      </c>
      <c r="AG55" s="954" t="s">
        <v>200</v>
      </c>
      <c r="AH55" s="883"/>
      <c r="AI55" s="883" t="s">
        <v>201</v>
      </c>
      <c r="AJ55" s="955"/>
      <c r="AK55" s="883" t="s">
        <v>201</v>
      </c>
      <c r="AL55" s="956" t="s">
        <v>488</v>
      </c>
      <c r="AM55" s="957" t="s">
        <v>541</v>
      </c>
      <c r="AN55" s="958" t="s">
        <v>488</v>
      </c>
      <c r="AO55" s="935"/>
      <c r="AP55" s="959"/>
      <c r="AQ55" s="960"/>
      <c r="AR55" s="961" t="s">
        <v>557</v>
      </c>
      <c r="AS55" s="915" t="s">
        <v>558</v>
      </c>
      <c r="AT55" s="915" t="s">
        <v>559</v>
      </c>
      <c r="AU55" s="962"/>
      <c r="AV55" s="963"/>
      <c r="AW55" s="964"/>
    </row>
    <row r="56" spans="2:49" x14ac:dyDescent="0.45">
      <c r="B56" s="777"/>
      <c r="C56" s="673"/>
      <c r="D56" s="105" t="s">
        <v>202</v>
      </c>
      <c r="E56" s="106"/>
      <c r="F56" s="76"/>
      <c r="G56" s="77"/>
      <c r="H56" s="77"/>
      <c r="I56" s="77"/>
      <c r="J56" s="77"/>
      <c r="K56" s="78"/>
      <c r="L56" s="78"/>
      <c r="M56" s="78"/>
      <c r="N56" s="78"/>
      <c r="O56" s="78"/>
      <c r="P56" s="79"/>
      <c r="Q56" s="80"/>
      <c r="R56" s="80"/>
      <c r="S56" s="79"/>
      <c r="T56" s="81"/>
      <c r="U56" s="917" t="s">
        <v>488</v>
      </c>
      <c r="V56" s="917" t="s">
        <v>488</v>
      </c>
      <c r="W56" s="917" t="s">
        <v>488</v>
      </c>
      <c r="X56" s="917" t="s">
        <v>488</v>
      </c>
      <c r="Y56" s="917" t="s">
        <v>488</v>
      </c>
      <c r="Z56" s="918" t="s">
        <v>488</v>
      </c>
      <c r="AA56" s="885"/>
      <c r="AB56" s="897"/>
      <c r="AC56" s="897"/>
      <c r="AD56" s="897"/>
      <c r="AE56" s="900"/>
      <c r="AF56" s="901"/>
      <c r="AG56" s="901"/>
      <c r="AH56" s="900"/>
      <c r="AI56" s="965"/>
      <c r="AJ56" s="900"/>
      <c r="AK56" s="965"/>
      <c r="AL56" s="966" t="s">
        <v>488</v>
      </c>
      <c r="AM56" s="917" t="s">
        <v>488</v>
      </c>
      <c r="AN56" s="918" t="s">
        <v>488</v>
      </c>
      <c r="AO56" s="935"/>
      <c r="AP56" s="967"/>
      <c r="AQ56" s="935"/>
      <c r="AR56" s="935"/>
      <c r="AS56" s="935"/>
      <c r="AT56" s="935"/>
      <c r="AU56" s="935"/>
      <c r="AV56" s="935"/>
      <c r="AW56" s="935"/>
    </row>
    <row r="57" spans="2:49" x14ac:dyDescent="0.45">
      <c r="B57" s="777"/>
      <c r="C57" s="673"/>
      <c r="D57" s="82">
        <v>438179</v>
      </c>
      <c r="E57" s="83"/>
      <c r="F57" s="84" t="s">
        <v>459</v>
      </c>
      <c r="G57" s="85" t="s">
        <v>460</v>
      </c>
      <c r="H57" s="85" t="s">
        <v>461</v>
      </c>
      <c r="I57" s="85" t="s">
        <v>462</v>
      </c>
      <c r="J57" s="85">
        <v>40</v>
      </c>
      <c r="K57" s="86" t="s">
        <v>222</v>
      </c>
      <c r="L57" s="86">
        <v>4305</v>
      </c>
      <c r="M57" s="86">
        <v>1413</v>
      </c>
      <c r="N57" s="687">
        <f>M57*40</f>
        <v>56520</v>
      </c>
      <c r="O57" s="112">
        <f>P57/40</f>
        <v>8.5636363636363635E-2</v>
      </c>
      <c r="P57" s="87">
        <f>N57/16500</f>
        <v>3.4254545454545453</v>
      </c>
      <c r="Q57" s="88" t="s">
        <v>222</v>
      </c>
      <c r="R57" s="88">
        <v>6</v>
      </c>
      <c r="S57" s="87">
        <v>2.5745454545454547</v>
      </c>
      <c r="T57" s="89">
        <f>S57/R57</f>
        <v>0.42909090909090913</v>
      </c>
      <c r="U57" s="919">
        <v>7.15</v>
      </c>
      <c r="V57" s="920">
        <v>0.6</v>
      </c>
      <c r="W57" s="921">
        <v>1.1000000000000001</v>
      </c>
      <c r="X57" s="901">
        <f>U57-V57-W57</f>
        <v>5.4500000000000011</v>
      </c>
      <c r="Y57" s="920">
        <v>2.6931207289293813</v>
      </c>
      <c r="Z57" s="922">
        <f>Y57/U57</f>
        <v>0.37666024180830504</v>
      </c>
      <c r="AA57" s="897">
        <v>5000</v>
      </c>
      <c r="AB57" s="968" t="e">
        <f>AA57/L48</f>
        <v>#DIV/0!</v>
      </c>
      <c r="AC57" s="969">
        <v>4.2500000000000003E-4</v>
      </c>
      <c r="AD57" s="899">
        <f>AC57*AG57</f>
        <v>3.0387500000000002E-3</v>
      </c>
      <c r="AE57" s="900" t="e">
        <f>AD57+AB57+P48</f>
        <v>#DIV/0!</v>
      </c>
      <c r="AF57" s="901" t="s">
        <v>222</v>
      </c>
      <c r="AG57" s="901">
        <v>7.15</v>
      </c>
      <c r="AH57" s="970" t="e">
        <f>AG57-AE57</f>
        <v>#DIV/0!</v>
      </c>
      <c r="AI57" s="971" t="e">
        <f>AH57/R48</f>
        <v>#DIV/0!</v>
      </c>
      <c r="AJ57" s="972">
        <v>0.145362019014185</v>
      </c>
      <c r="AK57" s="971" t="e">
        <f>AJ57/R48</f>
        <v>#VALUE!</v>
      </c>
      <c r="AL57" s="973">
        <v>46706.68</v>
      </c>
      <c r="AM57" s="974">
        <f>AL57/AN57</f>
        <v>0.22841686228482003</v>
      </c>
      <c r="AN57" s="975">
        <v>204480</v>
      </c>
      <c r="AO57" s="935"/>
      <c r="AP57" s="967" t="s">
        <v>598</v>
      </c>
      <c r="AQ57" s="935"/>
      <c r="AR57" s="935"/>
      <c r="AS57" s="935"/>
      <c r="AT57" s="935"/>
      <c r="AU57" s="935" t="s">
        <v>600</v>
      </c>
      <c r="AV57" s="935" t="s">
        <v>610</v>
      </c>
      <c r="AW57" s="935" t="s">
        <v>601</v>
      </c>
    </row>
    <row r="58" spans="2:49" x14ac:dyDescent="0.45">
      <c r="B58" s="777"/>
      <c r="C58" s="673"/>
      <c r="D58" s="82">
        <v>438178</v>
      </c>
      <c r="E58" s="83"/>
      <c r="F58" s="84" t="s">
        <v>463</v>
      </c>
      <c r="G58" s="85" t="s">
        <v>464</v>
      </c>
      <c r="H58" s="85" t="s">
        <v>461</v>
      </c>
      <c r="I58" s="85" t="s">
        <v>462</v>
      </c>
      <c r="J58" s="85">
        <v>40</v>
      </c>
      <c r="K58" s="86" t="s">
        <v>222</v>
      </c>
      <c r="L58" s="86">
        <v>4305</v>
      </c>
      <c r="M58" s="86">
        <v>1444</v>
      </c>
      <c r="N58" s="687">
        <f>M58*40</f>
        <v>57760</v>
      </c>
      <c r="O58" s="112">
        <f>P58/40</f>
        <v>8.7515151515151518E-2</v>
      </c>
      <c r="P58" s="87">
        <f>N58/16500</f>
        <v>3.5006060606060605</v>
      </c>
      <c r="Q58" s="88" t="s">
        <v>222</v>
      </c>
      <c r="R58" s="88">
        <v>6</v>
      </c>
      <c r="S58" s="87">
        <v>2.4993939393939391</v>
      </c>
      <c r="T58" s="89">
        <f>S58/R58</f>
        <v>0.41656565656565653</v>
      </c>
      <c r="U58" s="919">
        <v>7.15</v>
      </c>
      <c r="V58" s="920">
        <v>0.6</v>
      </c>
      <c r="W58" s="921">
        <v>1.1000000000000001</v>
      </c>
      <c r="X58" s="901">
        <f>U58-V58-W58</f>
        <v>5.4500000000000011</v>
      </c>
      <c r="Y58" s="920">
        <v>2.9664692482915713</v>
      </c>
      <c r="Z58" s="922">
        <f>Y58/U58</f>
        <v>0.41489080395686312</v>
      </c>
      <c r="AA58" s="897">
        <v>5000</v>
      </c>
      <c r="AB58" s="968" t="e">
        <f>AA58/L49</f>
        <v>#DIV/0!</v>
      </c>
      <c r="AC58" s="969">
        <v>4.2500000000000003E-4</v>
      </c>
      <c r="AD58" s="899">
        <f>AC58*AG58</f>
        <v>3.0387500000000002E-3</v>
      </c>
      <c r="AE58" s="900" t="e">
        <f>AD58+AB58+P49</f>
        <v>#DIV/0!</v>
      </c>
      <c r="AF58" s="901" t="s">
        <v>222</v>
      </c>
      <c r="AG58" s="901">
        <v>7.15</v>
      </c>
      <c r="AH58" s="970" t="e">
        <f>AG58-AE58</f>
        <v>#DIV/0!</v>
      </c>
      <c r="AI58" s="971" t="e">
        <f>AH58/R49</f>
        <v>#DIV/0!</v>
      </c>
      <c r="AJ58" s="972">
        <v>7.1899871405695495E-2</v>
      </c>
      <c r="AK58" s="971" t="e">
        <f>AJ58/R49</f>
        <v>#VALUE!</v>
      </c>
      <c r="AL58" s="973">
        <v>24066.68</v>
      </c>
      <c r="AM58" s="974">
        <f>AL58/AN58</f>
        <v>0.11769698748043819</v>
      </c>
      <c r="AN58" s="975">
        <v>204480</v>
      </c>
      <c r="AO58" s="935"/>
      <c r="AP58" s="967" t="s">
        <v>598</v>
      </c>
      <c r="AQ58" s="935"/>
      <c r="AR58" s="935"/>
      <c r="AS58" s="935"/>
      <c r="AT58" s="935"/>
      <c r="AU58" s="935" t="s">
        <v>600</v>
      </c>
      <c r="AV58" s="935"/>
      <c r="AW58" s="935" t="s">
        <v>601</v>
      </c>
    </row>
    <row r="59" spans="2:49" ht="14.65" thickBot="1" x14ac:dyDescent="0.5">
      <c r="B59" s="778"/>
      <c r="C59" s="673"/>
      <c r="D59" s="90"/>
      <c r="E59" s="91"/>
      <c r="F59" s="92" t="s">
        <v>222</v>
      </c>
      <c r="G59" s="93" t="s">
        <v>222</v>
      </c>
      <c r="H59" s="93" t="s">
        <v>222</v>
      </c>
      <c r="I59" s="93" t="s">
        <v>222</v>
      </c>
      <c r="J59" s="93" t="s">
        <v>222</v>
      </c>
      <c r="K59" s="94" t="s">
        <v>222</v>
      </c>
      <c r="L59" s="94" t="s">
        <v>222</v>
      </c>
      <c r="M59" s="94" t="s">
        <v>222</v>
      </c>
      <c r="N59" s="94"/>
      <c r="O59" s="94"/>
      <c r="P59" s="95" t="s">
        <v>222</v>
      </c>
      <c r="Q59" s="96" t="s">
        <v>222</v>
      </c>
      <c r="R59" s="96" t="s">
        <v>222</v>
      </c>
      <c r="S59" s="95" t="s">
        <v>222</v>
      </c>
      <c r="T59" s="97" t="s">
        <v>222</v>
      </c>
      <c r="U59" s="923" t="s">
        <v>488</v>
      </c>
      <c r="V59" s="923" t="s">
        <v>488</v>
      </c>
      <c r="W59" s="924" t="s">
        <v>488</v>
      </c>
      <c r="X59" s="923" t="s">
        <v>488</v>
      </c>
      <c r="Y59" s="923" t="s">
        <v>488</v>
      </c>
      <c r="Z59" s="925" t="s">
        <v>488</v>
      </c>
      <c r="AA59" s="976" t="s">
        <v>222</v>
      </c>
      <c r="AB59" s="977" t="s">
        <v>222</v>
      </c>
      <c r="AC59" s="978"/>
      <c r="AD59" s="979" t="s">
        <v>222</v>
      </c>
      <c r="AE59" s="904" t="s">
        <v>222</v>
      </c>
      <c r="AF59" s="905" t="s">
        <v>222</v>
      </c>
      <c r="AG59" s="905" t="s">
        <v>222</v>
      </c>
      <c r="AH59" s="980" t="str">
        <f>IF(AG59="","",AG59-AE59)</f>
        <v/>
      </c>
      <c r="AI59" s="981" t="str">
        <f>IFERROR(AH59/SUMIFS([1]!Table2[New FOB],[1]!Table2[No],#REF!,[1]!Table2[Material],#REF!),"")</f>
        <v/>
      </c>
      <c r="AJ59" s="980"/>
      <c r="AK59" s="981" t="str">
        <f>IFERROR(AJ59/SUMIFS([1]!Table2[New FOB],[1]!Table2[No],#REF!,[1]!Table2[Material],#REF!),"")</f>
        <v/>
      </c>
      <c r="AL59" s="981"/>
      <c r="AM59" s="981"/>
      <c r="AN59" s="981"/>
      <c r="AO59" s="935"/>
      <c r="AP59" s="935"/>
      <c r="AQ59" s="935"/>
      <c r="AR59" s="935"/>
      <c r="AS59" s="935"/>
      <c r="AT59" s="935"/>
      <c r="AU59" s="935"/>
      <c r="AV59" s="935"/>
      <c r="AW59" s="935"/>
    </row>
    <row r="60" spans="2:49" x14ac:dyDescent="0.45">
      <c r="F60" t="s">
        <v>592</v>
      </c>
      <c r="G60" t="s">
        <v>592</v>
      </c>
      <c r="H60" t="s">
        <v>592</v>
      </c>
      <c r="I60" t="s">
        <v>592</v>
      </c>
      <c r="J60" t="s">
        <v>592</v>
      </c>
      <c r="N60" t="s">
        <v>592</v>
      </c>
      <c r="O60" t="s">
        <v>592</v>
      </c>
      <c r="P60" t="s">
        <v>592</v>
      </c>
      <c r="S60" t="s">
        <v>592</v>
      </c>
      <c r="T60" t="s">
        <v>592</v>
      </c>
      <c r="AA60" s="935"/>
      <c r="AB60" s="935" t="s">
        <v>592</v>
      </c>
      <c r="AC60" s="935"/>
      <c r="AD60" s="935" t="s">
        <v>592</v>
      </c>
      <c r="AE60" s="935"/>
      <c r="AF60" s="935"/>
      <c r="AG60" s="935"/>
      <c r="AH60" s="935" t="s">
        <v>592</v>
      </c>
      <c r="AI60" s="935" t="s">
        <v>592</v>
      </c>
      <c r="AJ60" s="935"/>
      <c r="AK60" s="935" t="s">
        <v>592</v>
      </c>
      <c r="AL60" s="935"/>
      <c r="AM60" s="935"/>
      <c r="AN60" s="935"/>
      <c r="AO60" s="935"/>
      <c r="AP60" s="935"/>
      <c r="AQ60" s="935"/>
      <c r="AR60" s="935"/>
      <c r="AS60" s="935"/>
      <c r="AT60" s="935"/>
      <c r="AU60" s="935"/>
      <c r="AV60" s="935"/>
      <c r="AW60" s="935"/>
    </row>
    <row r="61" spans="2:49" ht="14.65" thickBot="1" x14ac:dyDescent="0.5">
      <c r="D61" s="99" t="str">
        <f>CONCATENATE("CIF ",F49)</f>
        <v>CIF Monrovia</v>
      </c>
      <c r="E61" s="58"/>
      <c r="F61" s="58"/>
      <c r="G61" s="59"/>
      <c r="H61" s="59"/>
      <c r="I61" s="59"/>
      <c r="AA61" s="59"/>
      <c r="AB61" s="59"/>
      <c r="AC61" s="59"/>
      <c r="AD61" s="59"/>
      <c r="AL61" t="s">
        <v>603</v>
      </c>
      <c r="AM61" t="s">
        <v>603</v>
      </c>
      <c r="AN61" t="s">
        <v>603</v>
      </c>
      <c r="AP61" t="s">
        <v>604</v>
      </c>
      <c r="AQ61" t="s">
        <v>604</v>
      </c>
      <c r="AR61" t="s">
        <v>604</v>
      </c>
      <c r="AS61" t="s">
        <v>604</v>
      </c>
      <c r="AT61" t="s">
        <v>604</v>
      </c>
      <c r="AU61" t="s">
        <v>604</v>
      </c>
      <c r="AV61" t="s">
        <v>604</v>
      </c>
    </row>
    <row r="62" spans="2:49" ht="21.75" customHeight="1" x14ac:dyDescent="0.45">
      <c r="B62" s="779" t="s">
        <v>574</v>
      </c>
      <c r="D62" s="704" t="s">
        <v>142</v>
      </c>
      <c r="E62" s="705"/>
      <c r="F62" s="62" t="s">
        <v>153</v>
      </c>
      <c r="G62" s="62" t="s">
        <v>183</v>
      </c>
      <c r="H62" s="62" t="s">
        <v>122</v>
      </c>
      <c r="I62" s="62" t="s">
        <v>184</v>
      </c>
      <c r="J62" s="881" t="s">
        <v>185</v>
      </c>
      <c r="K62" s="888" t="s">
        <v>186</v>
      </c>
      <c r="L62" s="888"/>
      <c r="M62" s="888" t="s">
        <v>187</v>
      </c>
      <c r="N62" s="888"/>
      <c r="O62" s="888"/>
      <c r="P62" s="888"/>
      <c r="Q62" s="889" t="s">
        <v>188</v>
      </c>
      <c r="R62" s="890"/>
      <c r="S62" s="888" t="s">
        <v>189</v>
      </c>
      <c r="T62" s="888"/>
      <c r="U62" s="907" t="s">
        <v>607</v>
      </c>
      <c r="V62" s="908" t="s">
        <v>491</v>
      </c>
      <c r="W62" s="909"/>
      <c r="X62" s="907" t="s">
        <v>492</v>
      </c>
      <c r="Y62" s="910" t="s">
        <v>608</v>
      </c>
      <c r="Z62" s="909"/>
      <c r="AA62" s="926" t="s">
        <v>147</v>
      </c>
      <c r="AB62" s="703"/>
      <c r="AC62" s="702" t="s">
        <v>203</v>
      </c>
      <c r="AD62" s="703"/>
      <c r="AE62" s="62" t="s">
        <v>204</v>
      </c>
      <c r="AF62" s="702" t="s">
        <v>205</v>
      </c>
      <c r="AG62" s="703"/>
      <c r="AH62" s="758" t="s">
        <v>189</v>
      </c>
      <c r="AI62" s="759"/>
      <c r="AJ62" s="760" t="s">
        <v>537</v>
      </c>
      <c r="AK62" s="761"/>
      <c r="AL62" s="762" t="s">
        <v>538</v>
      </c>
      <c r="AM62" s="763"/>
      <c r="AN62" s="629" t="s">
        <v>488</v>
      </c>
      <c r="AP62" s="728" t="s">
        <v>481</v>
      </c>
      <c r="AQ62" s="982" t="s">
        <v>482</v>
      </c>
      <c r="AR62" s="680" t="s">
        <v>483</v>
      </c>
      <c r="AS62" s="681"/>
      <c r="AT62" s="682"/>
      <c r="AU62" s="683" t="s">
        <v>484</v>
      </c>
      <c r="AV62" s="887" t="s">
        <v>485</v>
      </c>
      <c r="AW62" s="675"/>
    </row>
    <row r="63" spans="2:49" x14ac:dyDescent="0.45">
      <c r="B63" s="780"/>
      <c r="D63" s="706" t="s">
        <v>183</v>
      </c>
      <c r="E63" s="707"/>
      <c r="F63" s="66"/>
      <c r="G63" s="67"/>
      <c r="H63" s="67"/>
      <c r="I63" s="67" t="s">
        <v>190</v>
      </c>
      <c r="J63" s="882" t="s">
        <v>191</v>
      </c>
      <c r="K63" s="881" t="s">
        <v>148</v>
      </c>
      <c r="L63" s="881">
        <v>40</v>
      </c>
      <c r="M63" s="881" t="s">
        <v>182</v>
      </c>
      <c r="N63" s="881" t="s">
        <v>182</v>
      </c>
      <c r="O63" s="881" t="s">
        <v>192</v>
      </c>
      <c r="P63" s="881" t="s">
        <v>192</v>
      </c>
      <c r="Q63" s="891" t="s">
        <v>193</v>
      </c>
      <c r="R63" s="891" t="s">
        <v>194</v>
      </c>
      <c r="S63" s="881" t="s">
        <v>195</v>
      </c>
      <c r="T63" s="881" t="s">
        <v>196</v>
      </c>
      <c r="U63" s="911"/>
      <c r="V63" s="912" t="s">
        <v>555</v>
      </c>
      <c r="W63" s="912" t="s">
        <v>556</v>
      </c>
      <c r="X63" s="911"/>
      <c r="Y63" s="912" t="s">
        <v>195</v>
      </c>
      <c r="Z63" s="913" t="s">
        <v>196</v>
      </c>
      <c r="AA63" s="67" t="s">
        <v>207</v>
      </c>
      <c r="AB63" s="67" t="s">
        <v>207</v>
      </c>
      <c r="AC63" s="62" t="s">
        <v>196</v>
      </c>
      <c r="AD63" s="62" t="s">
        <v>208</v>
      </c>
      <c r="AE63" s="67" t="s">
        <v>209</v>
      </c>
      <c r="AF63" s="68" t="s">
        <v>193</v>
      </c>
      <c r="AG63" s="68" t="s">
        <v>210</v>
      </c>
      <c r="AH63" s="62" t="s">
        <v>195</v>
      </c>
      <c r="AI63" s="62" t="s">
        <v>196</v>
      </c>
      <c r="AJ63" s="627" t="s">
        <v>195</v>
      </c>
      <c r="AK63" s="62" t="s">
        <v>196</v>
      </c>
      <c r="AL63" s="630" t="s">
        <v>532</v>
      </c>
      <c r="AM63" s="631" t="s">
        <v>196</v>
      </c>
      <c r="AN63" s="632" t="s">
        <v>541</v>
      </c>
      <c r="AP63" s="730"/>
      <c r="AQ63" s="983"/>
      <c r="AR63" s="657" t="s">
        <v>434</v>
      </c>
      <c r="AS63" s="658" t="s">
        <v>555</v>
      </c>
      <c r="AT63" s="658" t="s">
        <v>556</v>
      </c>
      <c r="AU63" s="684"/>
      <c r="AV63" s="676" t="s">
        <v>487</v>
      </c>
      <c r="AW63" s="678" t="s">
        <v>196</v>
      </c>
    </row>
    <row r="64" spans="2:49" x14ac:dyDescent="0.45">
      <c r="B64" s="780"/>
      <c r="D64" s="102"/>
      <c r="E64" s="103"/>
      <c r="F64" s="71"/>
      <c r="G64" s="72"/>
      <c r="H64" s="72"/>
      <c r="I64" s="72"/>
      <c r="J64" s="883"/>
      <c r="K64" s="883"/>
      <c r="L64" s="883" t="s">
        <v>197</v>
      </c>
      <c r="M64" s="883" t="s">
        <v>198</v>
      </c>
      <c r="N64" s="883" t="s">
        <v>199</v>
      </c>
      <c r="O64" s="883" t="s">
        <v>198</v>
      </c>
      <c r="P64" s="883" t="s">
        <v>199</v>
      </c>
      <c r="Q64" s="892" t="s">
        <v>200</v>
      </c>
      <c r="R64" s="882" t="s">
        <v>200</v>
      </c>
      <c r="S64" s="883"/>
      <c r="T64" s="883" t="s">
        <v>201</v>
      </c>
      <c r="U64" s="914"/>
      <c r="V64" s="915" t="s">
        <v>558</v>
      </c>
      <c r="W64" s="915" t="s">
        <v>559</v>
      </c>
      <c r="X64" s="914"/>
      <c r="Y64" s="915" t="s">
        <v>488</v>
      </c>
      <c r="Z64" s="916" t="s">
        <v>488</v>
      </c>
      <c r="AA64" s="72" t="s">
        <v>211</v>
      </c>
      <c r="AB64" s="72" t="s">
        <v>212</v>
      </c>
      <c r="AC64" s="72" t="s">
        <v>213</v>
      </c>
      <c r="AD64" s="72" t="s">
        <v>192</v>
      </c>
      <c r="AE64" s="72" t="s">
        <v>214</v>
      </c>
      <c r="AF64" s="104" t="s">
        <v>200</v>
      </c>
      <c r="AG64" s="104" t="s">
        <v>200</v>
      </c>
      <c r="AH64" s="72"/>
      <c r="AI64" s="72" t="s">
        <v>201</v>
      </c>
      <c r="AJ64" s="633"/>
      <c r="AK64" s="72" t="s">
        <v>201</v>
      </c>
      <c r="AL64" s="634" t="s">
        <v>488</v>
      </c>
      <c r="AM64" s="635" t="s">
        <v>541</v>
      </c>
      <c r="AN64" s="636" t="s">
        <v>488</v>
      </c>
      <c r="AP64" s="731"/>
      <c r="AQ64" s="984"/>
      <c r="AR64" s="598" t="s">
        <v>557</v>
      </c>
      <c r="AS64" s="599" t="s">
        <v>558</v>
      </c>
      <c r="AT64" s="599" t="s">
        <v>559</v>
      </c>
      <c r="AU64" s="685"/>
      <c r="AV64" s="677"/>
      <c r="AW64" s="679"/>
    </row>
    <row r="65" spans="2:49" x14ac:dyDescent="0.45">
      <c r="B65" s="780"/>
      <c r="D65" s="105" t="s">
        <v>202</v>
      </c>
      <c r="E65" s="106"/>
      <c r="F65" s="107"/>
      <c r="G65" s="85"/>
      <c r="H65" s="85"/>
      <c r="I65" s="85"/>
      <c r="J65" s="884"/>
      <c r="K65" s="893"/>
      <c r="L65" s="893"/>
      <c r="M65" s="893"/>
      <c r="N65" s="893"/>
      <c r="O65" s="893"/>
      <c r="P65" s="894"/>
      <c r="Q65" s="895"/>
      <c r="R65" s="895"/>
      <c r="S65" s="894"/>
      <c r="T65" s="896"/>
      <c r="U65" s="917" t="s">
        <v>488</v>
      </c>
      <c r="V65" s="917" t="s">
        <v>488</v>
      </c>
      <c r="W65" s="917" t="s">
        <v>488</v>
      </c>
      <c r="X65" s="917" t="s">
        <v>488</v>
      </c>
      <c r="Y65" s="917" t="s">
        <v>488</v>
      </c>
      <c r="Z65" s="918" t="s">
        <v>488</v>
      </c>
      <c r="AA65" s="85"/>
      <c r="AB65" s="86"/>
      <c r="AC65" s="86"/>
      <c r="AD65" s="86"/>
      <c r="AE65" s="87"/>
      <c r="AF65" s="88"/>
      <c r="AG65" s="88"/>
      <c r="AH65" s="87"/>
      <c r="AI65" s="108"/>
      <c r="AJ65" s="87"/>
      <c r="AK65" s="108"/>
      <c r="AL65" s="637" t="s">
        <v>488</v>
      </c>
      <c r="AM65" s="574" t="s">
        <v>488</v>
      </c>
      <c r="AN65" s="575" t="s">
        <v>488</v>
      </c>
      <c r="AP65" s="593"/>
    </row>
    <row r="66" spans="2:49" x14ac:dyDescent="0.45">
      <c r="B66" s="780"/>
      <c r="D66" s="82">
        <v>438179</v>
      </c>
      <c r="E66" s="83"/>
      <c r="F66" s="84" t="s">
        <v>459</v>
      </c>
      <c r="G66" s="85" t="s">
        <v>460</v>
      </c>
      <c r="H66" s="85" t="s">
        <v>461</v>
      </c>
      <c r="I66" s="109" t="s">
        <v>462</v>
      </c>
      <c r="J66" s="885">
        <v>40</v>
      </c>
      <c r="K66" s="897" t="s">
        <v>222</v>
      </c>
      <c r="L66" s="897">
        <v>4305</v>
      </c>
      <c r="M66" s="897">
        <v>1413</v>
      </c>
      <c r="N66" s="898">
        <f>M66*40</f>
        <v>56520</v>
      </c>
      <c r="O66" s="899">
        <f>P66/40</f>
        <v>8.5636363636363635E-2</v>
      </c>
      <c r="P66" s="900">
        <f>N66/16500</f>
        <v>3.4254545454545453</v>
      </c>
      <c r="Q66" s="901" t="s">
        <v>222</v>
      </c>
      <c r="R66" s="901">
        <v>6</v>
      </c>
      <c r="S66" s="900">
        <v>2.5745454545454547</v>
      </c>
      <c r="T66" s="902">
        <v>0.42909090909090913</v>
      </c>
      <c r="U66" s="919">
        <v>7.15</v>
      </c>
      <c r="V66" s="920">
        <v>0.6</v>
      </c>
      <c r="W66" s="921">
        <v>1.1000000000000001</v>
      </c>
      <c r="X66" s="901">
        <f>U66-V66-W66</f>
        <v>5.4500000000000011</v>
      </c>
      <c r="Y66" s="920">
        <v>2.6931207289293813</v>
      </c>
      <c r="Z66" s="922">
        <f>Y66/U66</f>
        <v>0.37666024180830504</v>
      </c>
      <c r="AA66" s="86">
        <v>5000</v>
      </c>
      <c r="AB66" s="110">
        <f>AA66/L57</f>
        <v>1.1614401858304297</v>
      </c>
      <c r="AC66" s="111">
        <v>4.2500000000000003E-4</v>
      </c>
      <c r="AD66" s="112">
        <f>AC66*AG66</f>
        <v>3.0387500000000002E-3</v>
      </c>
      <c r="AE66" s="87">
        <f>AD66+AB66+P57</f>
        <v>4.5899334812849748</v>
      </c>
      <c r="AF66" s="88" t="s">
        <v>222</v>
      </c>
      <c r="AG66" s="88">
        <v>7.15</v>
      </c>
      <c r="AH66" s="688">
        <f>AG66-AE66</f>
        <v>2.5600665187150256</v>
      </c>
      <c r="AI66" s="114">
        <f>AH66/R57</f>
        <v>0.42667775311917094</v>
      </c>
      <c r="AJ66" s="689">
        <v>0.145362019014185</v>
      </c>
      <c r="AK66" s="114">
        <f>AJ66/R57</f>
        <v>2.4227003169030831E-2</v>
      </c>
      <c r="AL66" s="641">
        <v>46706.68</v>
      </c>
      <c r="AM66" s="642">
        <f>AL66/AN66</f>
        <v>0.22841686228482003</v>
      </c>
      <c r="AN66" s="643">
        <v>204480</v>
      </c>
      <c r="AP66" s="593" t="s">
        <v>598</v>
      </c>
      <c r="AU66" t="s">
        <v>600</v>
      </c>
      <c r="AV66" t="s">
        <v>610</v>
      </c>
      <c r="AW66" t="s">
        <v>601</v>
      </c>
    </row>
    <row r="67" spans="2:49" x14ac:dyDescent="0.45">
      <c r="B67" s="780"/>
      <c r="D67" s="82">
        <v>438178</v>
      </c>
      <c r="E67" s="83"/>
      <c r="F67" s="84" t="s">
        <v>463</v>
      </c>
      <c r="G67" s="85" t="s">
        <v>464</v>
      </c>
      <c r="H67" s="85" t="s">
        <v>461</v>
      </c>
      <c r="I67" s="109" t="s">
        <v>462</v>
      </c>
      <c r="J67" s="885">
        <v>40</v>
      </c>
      <c r="K67" s="897" t="s">
        <v>222</v>
      </c>
      <c r="L67" s="897">
        <v>4305</v>
      </c>
      <c r="M67" s="897">
        <v>1444</v>
      </c>
      <c r="N67" s="898">
        <f>M67*40</f>
        <v>57760</v>
      </c>
      <c r="O67" s="899">
        <f>P67/40</f>
        <v>8.7515151515151518E-2</v>
      </c>
      <c r="P67" s="900">
        <f>N67/16500</f>
        <v>3.5006060606060605</v>
      </c>
      <c r="Q67" s="901" t="s">
        <v>222</v>
      </c>
      <c r="R67" s="901">
        <v>6</v>
      </c>
      <c r="S67" s="900">
        <v>2.4993939393939391</v>
      </c>
      <c r="T67" s="902">
        <v>0.41656565656565653</v>
      </c>
      <c r="U67" s="919">
        <v>7.15</v>
      </c>
      <c r="V67" s="920">
        <v>0.6</v>
      </c>
      <c r="W67" s="921">
        <v>1.1000000000000001</v>
      </c>
      <c r="X67" s="901">
        <f>U67-V67-W67</f>
        <v>5.4500000000000011</v>
      </c>
      <c r="Y67" s="920">
        <v>2.9664692482915713</v>
      </c>
      <c r="Z67" s="922">
        <f>Y67/U67</f>
        <v>0.41489080395686312</v>
      </c>
      <c r="AA67" s="86">
        <v>5000</v>
      </c>
      <c r="AB67" s="110">
        <f>AA67/L58</f>
        <v>1.1614401858304297</v>
      </c>
      <c r="AC67" s="111">
        <v>4.2500000000000003E-4</v>
      </c>
      <c r="AD67" s="112">
        <f>AC67*AG67</f>
        <v>3.0387500000000002E-3</v>
      </c>
      <c r="AE67" s="87">
        <f>AD67+AB67+P58</f>
        <v>4.66508499643649</v>
      </c>
      <c r="AF67" s="88" t="s">
        <v>222</v>
      </c>
      <c r="AG67" s="88">
        <v>7.15</v>
      </c>
      <c r="AH67" s="688">
        <f>AG67-AE67</f>
        <v>2.4849150035635104</v>
      </c>
      <c r="AI67" s="114">
        <f>AH67/R58</f>
        <v>0.41415250059391839</v>
      </c>
      <c r="AJ67" s="689">
        <v>7.1899871405695495E-2</v>
      </c>
      <c r="AK67" s="114">
        <f>AJ67/R58</f>
        <v>1.1983311900949249E-2</v>
      </c>
      <c r="AL67" s="641">
        <v>24066.68</v>
      </c>
      <c r="AM67" s="642">
        <f>AL67/AN67</f>
        <v>0.11769698748043819</v>
      </c>
      <c r="AN67" s="643">
        <v>204480</v>
      </c>
      <c r="AP67" s="593" t="s">
        <v>598</v>
      </c>
      <c r="AU67" t="s">
        <v>600</v>
      </c>
      <c r="AW67" t="s">
        <v>601</v>
      </c>
    </row>
    <row r="68" spans="2:49" ht="14.65" thickBot="1" x14ac:dyDescent="0.5">
      <c r="B68" s="781"/>
      <c r="D68" s="90"/>
      <c r="E68" s="91"/>
      <c r="F68" s="92" t="s">
        <v>222</v>
      </c>
      <c r="G68" s="93" t="s">
        <v>222</v>
      </c>
      <c r="H68" s="93" t="s">
        <v>222</v>
      </c>
      <c r="I68" s="115" t="s">
        <v>222</v>
      </c>
      <c r="J68" s="886" t="s">
        <v>222</v>
      </c>
      <c r="K68" s="903" t="s">
        <v>222</v>
      </c>
      <c r="L68" s="903" t="s">
        <v>222</v>
      </c>
      <c r="M68" s="903" t="s">
        <v>222</v>
      </c>
      <c r="N68" s="903"/>
      <c r="O68" s="903"/>
      <c r="P68" s="904" t="s">
        <v>222</v>
      </c>
      <c r="Q68" s="905" t="s">
        <v>222</v>
      </c>
      <c r="R68" s="905" t="s">
        <v>222</v>
      </c>
      <c r="S68" s="904" t="s">
        <v>222</v>
      </c>
      <c r="T68" s="906" t="s">
        <v>222</v>
      </c>
      <c r="U68" s="923" t="s">
        <v>488</v>
      </c>
      <c r="V68" s="923" t="s">
        <v>488</v>
      </c>
      <c r="W68" s="924" t="s">
        <v>488</v>
      </c>
      <c r="X68" s="923" t="s">
        <v>488</v>
      </c>
      <c r="Y68" s="923" t="s">
        <v>488</v>
      </c>
      <c r="Z68" s="925" t="s">
        <v>488</v>
      </c>
      <c r="AA68" s="116" t="s">
        <v>222</v>
      </c>
      <c r="AB68" s="117" t="s">
        <v>222</v>
      </c>
      <c r="AC68" s="118"/>
      <c r="AD68" s="119" t="s">
        <v>222</v>
      </c>
      <c r="AE68" s="95" t="s">
        <v>222</v>
      </c>
      <c r="AF68" s="96" t="s">
        <v>222</v>
      </c>
      <c r="AG68" s="96" t="s">
        <v>222</v>
      </c>
      <c r="AH68" s="120" t="str">
        <f>IF(AG68="","",AG68-AE68)</f>
        <v/>
      </c>
      <c r="AI68" s="121" t="str">
        <f>IFERROR(AH68/SUMIFS([1]!Table2[New FOB],[1]!Table2[No],#REF!,[1]!Table2[Material],#REF!),"")</f>
        <v/>
      </c>
      <c r="AJ68" s="120"/>
      <c r="AK68" s="121" t="str">
        <f>IFERROR(AJ68/SUMIFS([1]!Table2[New FOB],[1]!Table2[No],#REF!,[1]!Table2[Material],#REF!),"")</f>
        <v/>
      </c>
      <c r="AL68" s="121"/>
      <c r="AM68" s="121"/>
      <c r="AN68" s="121"/>
    </row>
    <row r="69" spans="2:49" x14ac:dyDescent="0.45">
      <c r="F69" t="s">
        <v>592</v>
      </c>
      <c r="G69" t="s">
        <v>592</v>
      </c>
      <c r="H69" t="s">
        <v>592</v>
      </c>
      <c r="I69" t="s">
        <v>592</v>
      </c>
      <c r="AB69" t="s">
        <v>592</v>
      </c>
      <c r="AD69" t="s">
        <v>592</v>
      </c>
      <c r="AH69" t="s">
        <v>592</v>
      </c>
      <c r="AI69" t="s">
        <v>592</v>
      </c>
      <c r="AK69" t="s">
        <v>592</v>
      </c>
    </row>
    <row r="70" spans="2:49" ht="14.65" thickBot="1" x14ac:dyDescent="0.5">
      <c r="D70" s="592" t="s">
        <v>560</v>
      </c>
      <c r="E70" s="592"/>
      <c r="F70" s="592"/>
      <c r="G70" s="593" t="s">
        <v>488</v>
      </c>
      <c r="H70" s="593" t="s">
        <v>488</v>
      </c>
      <c r="I70" s="593" t="s">
        <v>488</v>
      </c>
      <c r="J70" s="593" t="s">
        <v>488</v>
      </c>
      <c r="K70" s="593" t="s">
        <v>488</v>
      </c>
      <c r="L70" s="593" t="s">
        <v>488</v>
      </c>
      <c r="M70" s="594"/>
      <c r="N70" s="592" t="s">
        <v>488</v>
      </c>
      <c r="O70" s="592" t="s">
        <v>488</v>
      </c>
      <c r="P70" s="55"/>
    </row>
    <row r="71" spans="2:49" ht="14.25" customHeight="1" x14ac:dyDescent="0.45">
      <c r="B71" s="779" t="s">
        <v>576</v>
      </c>
      <c r="D71" s="741" t="s">
        <v>142</v>
      </c>
      <c r="E71" s="742"/>
      <c r="F71" s="595" t="s">
        <v>153</v>
      </c>
      <c r="G71" s="595" t="s">
        <v>183</v>
      </c>
      <c r="H71" s="595" t="s">
        <v>122</v>
      </c>
      <c r="I71" s="595" t="s">
        <v>184</v>
      </c>
      <c r="J71" s="595" t="s">
        <v>185</v>
      </c>
      <c r="K71" s="888" t="s">
        <v>186</v>
      </c>
      <c r="L71" s="888"/>
      <c r="M71" s="888" t="s">
        <v>187</v>
      </c>
      <c r="N71" s="888"/>
      <c r="O71" s="888"/>
      <c r="P71" s="888"/>
      <c r="Q71" s="889" t="s">
        <v>188</v>
      </c>
      <c r="R71" s="890"/>
      <c r="S71" s="888" t="s">
        <v>189</v>
      </c>
      <c r="T71" s="888"/>
      <c r="U71" s="743" t="s">
        <v>607</v>
      </c>
      <c r="V71" s="767" t="s">
        <v>491</v>
      </c>
      <c r="W71" s="748"/>
      <c r="X71" s="743" t="s">
        <v>492</v>
      </c>
      <c r="Y71" s="747" t="s">
        <v>608</v>
      </c>
      <c r="Z71" s="748"/>
      <c r="AA71" s="927" t="s">
        <v>147</v>
      </c>
      <c r="AB71" s="890"/>
      <c r="AC71" s="889" t="s">
        <v>203</v>
      </c>
      <c r="AD71" s="890"/>
      <c r="AE71" s="881" t="s">
        <v>204</v>
      </c>
      <c r="AF71" s="889" t="s">
        <v>205</v>
      </c>
      <c r="AG71" s="890"/>
      <c r="AH71" s="928" t="s">
        <v>189</v>
      </c>
      <c r="AI71" s="929"/>
      <c r="AJ71" s="930" t="s">
        <v>537</v>
      </c>
      <c r="AK71" s="931"/>
      <c r="AL71" s="932" t="s">
        <v>538</v>
      </c>
      <c r="AM71" s="933"/>
      <c r="AN71" s="934" t="s">
        <v>488</v>
      </c>
      <c r="AO71" s="935"/>
      <c r="AP71" s="936" t="s">
        <v>481</v>
      </c>
      <c r="AQ71" s="937" t="s">
        <v>482</v>
      </c>
      <c r="AR71" s="938" t="s">
        <v>483</v>
      </c>
      <c r="AS71" s="939"/>
      <c r="AT71" s="940"/>
      <c r="AU71" s="941" t="s">
        <v>484</v>
      </c>
      <c r="AV71" s="942" t="s">
        <v>485</v>
      </c>
      <c r="AW71" s="943"/>
    </row>
    <row r="72" spans="2:49" x14ac:dyDescent="0.45">
      <c r="B72" s="780"/>
      <c r="D72" s="775" t="s">
        <v>183</v>
      </c>
      <c r="E72" s="707"/>
      <c r="F72" s="66" t="s">
        <v>488</v>
      </c>
      <c r="G72" s="67" t="s">
        <v>488</v>
      </c>
      <c r="H72" s="67" t="s">
        <v>488</v>
      </c>
      <c r="I72" s="67" t="s">
        <v>190</v>
      </c>
      <c r="J72" s="67" t="s">
        <v>191</v>
      </c>
      <c r="K72" s="881" t="s">
        <v>148</v>
      </c>
      <c r="L72" s="881">
        <v>40</v>
      </c>
      <c r="M72" s="881" t="s">
        <v>182</v>
      </c>
      <c r="N72" s="881" t="s">
        <v>182</v>
      </c>
      <c r="O72" s="881" t="s">
        <v>192</v>
      </c>
      <c r="P72" s="881" t="s">
        <v>192</v>
      </c>
      <c r="Q72" s="891" t="s">
        <v>193</v>
      </c>
      <c r="R72" s="891" t="s">
        <v>194</v>
      </c>
      <c r="S72" s="881" t="s">
        <v>195</v>
      </c>
      <c r="T72" s="881" t="s">
        <v>196</v>
      </c>
      <c r="U72" s="766"/>
      <c r="V72" s="658" t="s">
        <v>555</v>
      </c>
      <c r="W72" s="658" t="s">
        <v>556</v>
      </c>
      <c r="X72" s="766"/>
      <c r="Y72" s="658" t="s">
        <v>195</v>
      </c>
      <c r="Z72" s="667" t="s">
        <v>196</v>
      </c>
      <c r="AA72" s="882" t="s">
        <v>207</v>
      </c>
      <c r="AB72" s="882" t="s">
        <v>207</v>
      </c>
      <c r="AC72" s="881" t="s">
        <v>196</v>
      </c>
      <c r="AD72" s="881" t="s">
        <v>208</v>
      </c>
      <c r="AE72" s="882" t="s">
        <v>209</v>
      </c>
      <c r="AF72" s="891" t="s">
        <v>193</v>
      </c>
      <c r="AG72" s="891" t="s">
        <v>210</v>
      </c>
      <c r="AH72" s="881" t="s">
        <v>195</v>
      </c>
      <c r="AI72" s="881" t="s">
        <v>196</v>
      </c>
      <c r="AJ72" s="944" t="s">
        <v>195</v>
      </c>
      <c r="AK72" s="881" t="s">
        <v>196</v>
      </c>
      <c r="AL72" s="945" t="s">
        <v>532</v>
      </c>
      <c r="AM72" s="946" t="s">
        <v>196</v>
      </c>
      <c r="AN72" s="947" t="s">
        <v>541</v>
      </c>
      <c r="AO72" s="935"/>
      <c r="AP72" s="948"/>
      <c r="AQ72" s="949"/>
      <c r="AR72" s="950" t="s">
        <v>434</v>
      </c>
      <c r="AS72" s="912" t="s">
        <v>555</v>
      </c>
      <c r="AT72" s="912" t="s">
        <v>556</v>
      </c>
      <c r="AU72" s="951"/>
      <c r="AV72" s="952" t="s">
        <v>487</v>
      </c>
      <c r="AW72" s="953" t="s">
        <v>196</v>
      </c>
    </row>
    <row r="73" spans="2:49" x14ac:dyDescent="0.45">
      <c r="B73" s="780"/>
      <c r="D73" s="668" t="s">
        <v>488</v>
      </c>
      <c r="E73" s="669" t="s">
        <v>488</v>
      </c>
      <c r="F73" s="596" t="s">
        <v>488</v>
      </c>
      <c r="G73" s="597" t="s">
        <v>488</v>
      </c>
      <c r="H73" s="597" t="s">
        <v>488</v>
      </c>
      <c r="I73" s="597" t="s">
        <v>488</v>
      </c>
      <c r="J73" s="597"/>
      <c r="K73" s="883"/>
      <c r="L73" s="883" t="s">
        <v>197</v>
      </c>
      <c r="M73" s="883" t="s">
        <v>198</v>
      </c>
      <c r="N73" s="883" t="s">
        <v>199</v>
      </c>
      <c r="O73" s="883" t="s">
        <v>198</v>
      </c>
      <c r="P73" s="883" t="s">
        <v>199</v>
      </c>
      <c r="Q73" s="892" t="s">
        <v>200</v>
      </c>
      <c r="R73" s="882" t="s">
        <v>200</v>
      </c>
      <c r="S73" s="883"/>
      <c r="T73" s="883" t="s">
        <v>201</v>
      </c>
      <c r="U73" s="744"/>
      <c r="V73" s="599" t="s">
        <v>558</v>
      </c>
      <c r="W73" s="599" t="s">
        <v>559</v>
      </c>
      <c r="X73" s="744"/>
      <c r="Y73" s="599" t="s">
        <v>488</v>
      </c>
      <c r="Z73" s="600" t="s">
        <v>488</v>
      </c>
      <c r="AA73" s="883" t="s">
        <v>211</v>
      </c>
      <c r="AB73" s="883" t="s">
        <v>212</v>
      </c>
      <c r="AC73" s="883" t="s">
        <v>213</v>
      </c>
      <c r="AD73" s="883" t="s">
        <v>192</v>
      </c>
      <c r="AE73" s="883" t="s">
        <v>214</v>
      </c>
      <c r="AF73" s="954" t="s">
        <v>200</v>
      </c>
      <c r="AG73" s="954" t="s">
        <v>200</v>
      </c>
      <c r="AH73" s="883"/>
      <c r="AI73" s="883" t="s">
        <v>201</v>
      </c>
      <c r="AJ73" s="955"/>
      <c r="AK73" s="883" t="s">
        <v>201</v>
      </c>
      <c r="AL73" s="956" t="s">
        <v>488</v>
      </c>
      <c r="AM73" s="957" t="s">
        <v>541</v>
      </c>
      <c r="AN73" s="958" t="s">
        <v>488</v>
      </c>
      <c r="AO73" s="935"/>
      <c r="AP73" s="959"/>
      <c r="AQ73" s="960"/>
      <c r="AR73" s="961" t="s">
        <v>557</v>
      </c>
      <c r="AS73" s="915" t="s">
        <v>558</v>
      </c>
      <c r="AT73" s="915" t="s">
        <v>559</v>
      </c>
      <c r="AU73" s="962"/>
      <c r="AV73" s="963"/>
      <c r="AW73" s="964"/>
    </row>
    <row r="74" spans="2:49" x14ac:dyDescent="0.45">
      <c r="B74" s="780"/>
      <c r="D74" s="571" t="s">
        <v>202</v>
      </c>
      <c r="E74" s="602" t="s">
        <v>488</v>
      </c>
      <c r="F74" s="602" t="s">
        <v>488</v>
      </c>
      <c r="G74" s="574" t="s">
        <v>488</v>
      </c>
      <c r="H74" s="574" t="s">
        <v>488</v>
      </c>
      <c r="I74" s="574" t="s">
        <v>488</v>
      </c>
      <c r="J74" s="574" t="s">
        <v>488</v>
      </c>
      <c r="K74" s="893"/>
      <c r="L74" s="893"/>
      <c r="M74" s="893"/>
      <c r="N74" s="893"/>
      <c r="O74" s="893"/>
      <c r="P74" s="894"/>
      <c r="Q74" s="895"/>
      <c r="R74" s="895"/>
      <c r="S74" s="894"/>
      <c r="T74" s="896"/>
      <c r="U74" s="574" t="s">
        <v>488</v>
      </c>
      <c r="V74" s="574" t="s">
        <v>488</v>
      </c>
      <c r="W74" s="574" t="s">
        <v>488</v>
      </c>
      <c r="X74" s="574" t="s">
        <v>488</v>
      </c>
      <c r="Y74" s="574" t="s">
        <v>488</v>
      </c>
      <c r="Z74" s="575" t="s">
        <v>488</v>
      </c>
      <c r="AA74" s="885"/>
      <c r="AB74" s="897"/>
      <c r="AC74" s="897"/>
      <c r="AD74" s="897"/>
      <c r="AE74" s="900"/>
      <c r="AF74" s="901"/>
      <c r="AG74" s="901"/>
      <c r="AH74" s="900"/>
      <c r="AI74" s="965"/>
      <c r="AJ74" s="900"/>
      <c r="AK74" s="965"/>
      <c r="AL74" s="966" t="s">
        <v>488</v>
      </c>
      <c r="AM74" s="917" t="s">
        <v>488</v>
      </c>
      <c r="AN74" s="918" t="s">
        <v>488</v>
      </c>
      <c r="AO74" s="935"/>
      <c r="AP74" s="967"/>
      <c r="AQ74" s="935"/>
      <c r="AR74" s="935"/>
      <c r="AS74" s="935"/>
      <c r="AT74" s="935"/>
      <c r="AU74" s="935"/>
      <c r="AV74" s="935"/>
      <c r="AW74" s="935"/>
    </row>
    <row r="75" spans="2:49" x14ac:dyDescent="0.45">
      <c r="B75" s="780"/>
      <c r="D75" s="649">
        <v>438179</v>
      </c>
      <c r="E75" s="670"/>
      <c r="F75" s="670" t="s">
        <v>459</v>
      </c>
      <c r="G75" s="670" t="s">
        <v>460</v>
      </c>
      <c r="H75" s="671" t="s">
        <v>461</v>
      </c>
      <c r="I75" s="607" t="s">
        <v>462</v>
      </c>
      <c r="J75" s="672">
        <v>40</v>
      </c>
      <c r="K75" s="897" t="s">
        <v>222</v>
      </c>
      <c r="L75" s="897">
        <v>4305</v>
      </c>
      <c r="M75" s="897">
        <v>1413</v>
      </c>
      <c r="N75" s="898">
        <f>M75*40</f>
        <v>56520</v>
      </c>
      <c r="O75" s="899">
        <f>P75/40</f>
        <v>8.5636363636363635E-2</v>
      </c>
      <c r="P75" s="900">
        <f>N75/16500</f>
        <v>3.4254545454545453</v>
      </c>
      <c r="Q75" s="901" t="s">
        <v>222</v>
      </c>
      <c r="R75" s="901">
        <v>6</v>
      </c>
      <c r="S75" s="900">
        <v>2.5745454545454547</v>
      </c>
      <c r="T75" s="902">
        <v>0.42909090909090913</v>
      </c>
      <c r="U75" s="607">
        <v>7.15</v>
      </c>
      <c r="V75" s="608">
        <v>0.6</v>
      </c>
      <c r="W75" s="577">
        <v>1.1000000000000001</v>
      </c>
      <c r="X75" s="564">
        <f>U75-V75-W75</f>
        <v>5.4500000000000011</v>
      </c>
      <c r="Y75" s="608">
        <v>2.6931207289293813</v>
      </c>
      <c r="Z75" s="609">
        <f>Y75/U75</f>
        <v>0.37666024180830504</v>
      </c>
      <c r="AA75" s="897">
        <v>5000</v>
      </c>
      <c r="AB75" s="968">
        <f>AA75/L66</f>
        <v>1.1614401858304297</v>
      </c>
      <c r="AC75" s="969">
        <v>4.2500000000000003E-4</v>
      </c>
      <c r="AD75" s="899">
        <f>AC75*AG75</f>
        <v>3.0387500000000002E-3</v>
      </c>
      <c r="AE75" s="900">
        <f>AD75+AB75+P66</f>
        <v>4.5899334812849748</v>
      </c>
      <c r="AF75" s="901" t="s">
        <v>222</v>
      </c>
      <c r="AG75" s="901">
        <v>7.15</v>
      </c>
      <c r="AH75" s="970">
        <f>AG75-AE75</f>
        <v>2.5600665187150256</v>
      </c>
      <c r="AI75" s="971">
        <f>AH75/R66</f>
        <v>0.42667775311917094</v>
      </c>
      <c r="AJ75" s="972">
        <v>0.145362019014185</v>
      </c>
      <c r="AK75" s="971">
        <f>AJ75/R66</f>
        <v>2.4227003169030831E-2</v>
      </c>
      <c r="AL75" s="973">
        <v>46706.68</v>
      </c>
      <c r="AM75" s="974">
        <f>AL75/AN75</f>
        <v>0.22841686228482003</v>
      </c>
      <c r="AN75" s="975">
        <v>204480</v>
      </c>
      <c r="AO75" s="935"/>
      <c r="AP75" s="967" t="s">
        <v>598</v>
      </c>
      <c r="AQ75" s="935"/>
      <c r="AR75" s="935"/>
      <c r="AS75" s="935"/>
      <c r="AT75" s="935"/>
      <c r="AU75" s="935" t="s">
        <v>600</v>
      </c>
      <c r="AV75" s="935" t="s">
        <v>610</v>
      </c>
      <c r="AW75" s="935" t="s">
        <v>601</v>
      </c>
    </row>
    <row r="76" spans="2:49" x14ac:dyDescent="0.45">
      <c r="B76" s="780"/>
      <c r="D76" s="649">
        <v>438178</v>
      </c>
      <c r="E76" s="670"/>
      <c r="F76" s="670" t="s">
        <v>463</v>
      </c>
      <c r="G76" s="670" t="s">
        <v>464</v>
      </c>
      <c r="H76" s="671" t="s">
        <v>461</v>
      </c>
      <c r="I76" s="607" t="s">
        <v>462</v>
      </c>
      <c r="J76" s="672">
        <v>40</v>
      </c>
      <c r="K76" s="897" t="s">
        <v>222</v>
      </c>
      <c r="L76" s="897">
        <v>4305</v>
      </c>
      <c r="M76" s="897">
        <v>1444</v>
      </c>
      <c r="N76" s="898">
        <f>M76*40</f>
        <v>57760</v>
      </c>
      <c r="O76" s="899">
        <f>P76/40</f>
        <v>8.7515151515151518E-2</v>
      </c>
      <c r="P76" s="900">
        <f>N76/16500</f>
        <v>3.5006060606060605</v>
      </c>
      <c r="Q76" s="901" t="s">
        <v>222</v>
      </c>
      <c r="R76" s="901">
        <v>6</v>
      </c>
      <c r="S76" s="900">
        <v>2.4993939393939391</v>
      </c>
      <c r="T76" s="902">
        <v>0.41656565656565653</v>
      </c>
      <c r="U76" s="607">
        <v>7.15</v>
      </c>
      <c r="V76" s="608">
        <v>0.6</v>
      </c>
      <c r="W76" s="577">
        <v>1.1000000000000001</v>
      </c>
      <c r="X76" s="564">
        <f>U76-V76-W76</f>
        <v>5.4500000000000011</v>
      </c>
      <c r="Y76" s="608">
        <v>2.9664692482915713</v>
      </c>
      <c r="Z76" s="609">
        <f>Y76/U76</f>
        <v>0.41489080395686312</v>
      </c>
      <c r="AA76" s="897">
        <v>5000</v>
      </c>
      <c r="AB76" s="968">
        <f>AA76/L67</f>
        <v>1.1614401858304297</v>
      </c>
      <c r="AC76" s="969">
        <v>4.2500000000000003E-4</v>
      </c>
      <c r="AD76" s="899">
        <f>AC76*AG76</f>
        <v>3.0387500000000002E-3</v>
      </c>
      <c r="AE76" s="900">
        <f>AD76+AB76+P67</f>
        <v>4.66508499643649</v>
      </c>
      <c r="AF76" s="901" t="s">
        <v>222</v>
      </c>
      <c r="AG76" s="901">
        <v>7.15</v>
      </c>
      <c r="AH76" s="970">
        <f>AG76-AE76</f>
        <v>2.4849150035635104</v>
      </c>
      <c r="AI76" s="971">
        <f>AH76/R67</f>
        <v>0.41415250059391839</v>
      </c>
      <c r="AJ76" s="972">
        <v>7.1899871405695495E-2</v>
      </c>
      <c r="AK76" s="971">
        <f>AJ76/R67</f>
        <v>1.1983311900949249E-2</v>
      </c>
      <c r="AL76" s="973">
        <v>24066.68</v>
      </c>
      <c r="AM76" s="974">
        <f>AL76/AN76</f>
        <v>0.11769698748043819</v>
      </c>
      <c r="AN76" s="975">
        <v>204480</v>
      </c>
      <c r="AO76" s="935"/>
      <c r="AP76" s="967" t="s">
        <v>598</v>
      </c>
      <c r="AQ76" s="935"/>
      <c r="AR76" s="935"/>
      <c r="AS76" s="935"/>
      <c r="AT76" s="935"/>
      <c r="AU76" s="935" t="s">
        <v>600</v>
      </c>
      <c r="AV76" s="935"/>
      <c r="AW76" s="935" t="s">
        <v>601</v>
      </c>
    </row>
    <row r="77" spans="2:49" ht="14.65" thickBot="1" x14ac:dyDescent="0.5">
      <c r="B77" s="781"/>
      <c r="D77" s="612" t="s">
        <v>488</v>
      </c>
      <c r="E77" s="613" t="s">
        <v>488</v>
      </c>
      <c r="F77" s="613" t="s">
        <v>488</v>
      </c>
      <c r="G77" s="613" t="s">
        <v>488</v>
      </c>
      <c r="H77" s="613" t="s">
        <v>488</v>
      </c>
      <c r="I77" s="613" t="s">
        <v>488</v>
      </c>
      <c r="J77" s="613" t="s">
        <v>488</v>
      </c>
      <c r="K77" s="903" t="s">
        <v>222</v>
      </c>
      <c r="L77" s="903" t="s">
        <v>222</v>
      </c>
      <c r="M77" s="903" t="s">
        <v>222</v>
      </c>
      <c r="N77" s="903"/>
      <c r="O77" s="903"/>
      <c r="P77" s="904" t="s">
        <v>222</v>
      </c>
      <c r="Q77" s="905" t="s">
        <v>222</v>
      </c>
      <c r="R77" s="905" t="s">
        <v>222</v>
      </c>
      <c r="S77" s="904" t="s">
        <v>222</v>
      </c>
      <c r="T77" s="906" t="s">
        <v>222</v>
      </c>
      <c r="U77" s="613" t="s">
        <v>488</v>
      </c>
      <c r="V77" s="613" t="s">
        <v>488</v>
      </c>
      <c r="W77" s="590" t="s">
        <v>488</v>
      </c>
      <c r="X77" s="613" t="s">
        <v>488</v>
      </c>
      <c r="Y77" s="613" t="s">
        <v>488</v>
      </c>
      <c r="Z77" s="614" t="s">
        <v>488</v>
      </c>
      <c r="AA77" s="976" t="s">
        <v>222</v>
      </c>
      <c r="AB77" s="977" t="s">
        <v>222</v>
      </c>
      <c r="AC77" s="978"/>
      <c r="AD77" s="979" t="s">
        <v>222</v>
      </c>
      <c r="AE77" s="904" t="s">
        <v>222</v>
      </c>
      <c r="AF77" s="905" t="s">
        <v>222</v>
      </c>
      <c r="AG77" s="905" t="s">
        <v>222</v>
      </c>
      <c r="AH77" s="980" t="str">
        <f>IF(AG77="","",AG77-AE77)</f>
        <v/>
      </c>
      <c r="AI77" s="981" t="str">
        <f>IFERROR(AH77/SUMIFS([1]!Table2[New FOB],[1]!Table2[No],#REF!,[1]!Table2[Material],#REF!),"")</f>
        <v/>
      </c>
      <c r="AJ77" s="980"/>
      <c r="AK77" s="981" t="str">
        <f>IFERROR(AJ77/SUMIFS([1]!Table2[New FOB],[1]!Table2[No],#REF!,[1]!Table2[Material],#REF!),"")</f>
        <v/>
      </c>
      <c r="AL77" s="981"/>
      <c r="AM77" s="981"/>
      <c r="AN77" s="981"/>
      <c r="AO77" s="935"/>
      <c r="AP77" s="935"/>
      <c r="AQ77" s="935"/>
      <c r="AR77" s="935"/>
      <c r="AS77" s="935"/>
      <c r="AT77" s="935"/>
      <c r="AU77" s="935"/>
      <c r="AV77" s="935"/>
      <c r="AW77" s="935"/>
    </row>
    <row r="78" spans="2:49" x14ac:dyDescent="0.45">
      <c r="F78" t="s">
        <v>592</v>
      </c>
      <c r="G78" t="s">
        <v>592</v>
      </c>
      <c r="H78" t="s">
        <v>592</v>
      </c>
      <c r="I78" t="s">
        <v>592</v>
      </c>
      <c r="J78" t="s">
        <v>592</v>
      </c>
      <c r="AA78" s="935"/>
      <c r="AB78" s="935" t="s">
        <v>592</v>
      </c>
      <c r="AC78" s="935"/>
      <c r="AD78" s="935" t="s">
        <v>592</v>
      </c>
      <c r="AE78" s="935"/>
      <c r="AF78" s="935"/>
      <c r="AG78" s="935"/>
      <c r="AH78" s="935" t="s">
        <v>592</v>
      </c>
      <c r="AI78" s="935" t="s">
        <v>592</v>
      </c>
      <c r="AJ78" s="935"/>
      <c r="AK78" s="935" t="s">
        <v>592</v>
      </c>
      <c r="AL78" s="935"/>
      <c r="AM78" s="935"/>
      <c r="AN78" s="935"/>
      <c r="AO78" s="935"/>
      <c r="AP78" s="935"/>
      <c r="AQ78" s="935"/>
      <c r="AR78" s="935"/>
      <c r="AS78" s="935"/>
      <c r="AT78" s="935"/>
      <c r="AU78" s="935"/>
      <c r="AV78" s="935"/>
      <c r="AW78" s="935"/>
    </row>
    <row r="85" spans="9:9" ht="14.25" customHeight="1" x14ac:dyDescent="0.45"/>
    <row r="93" spans="9:9" x14ac:dyDescent="0.45">
      <c r="I93" s="686"/>
    </row>
  </sheetData>
  <mergeCells count="48">
    <mergeCell ref="AQ53:AQ55"/>
    <mergeCell ref="AA71:AB71"/>
    <mergeCell ref="AC71:AD71"/>
    <mergeCell ref="AF71:AG71"/>
    <mergeCell ref="AH71:AI71"/>
    <mergeCell ref="AJ71:AK71"/>
    <mergeCell ref="AL71:AM71"/>
    <mergeCell ref="AP71:AP73"/>
    <mergeCell ref="AQ71:AQ73"/>
    <mergeCell ref="AQ62:AQ64"/>
    <mergeCell ref="AA53:AB53"/>
    <mergeCell ref="AC53:AD53"/>
    <mergeCell ref="AF53:AG53"/>
    <mergeCell ref="AH53:AI53"/>
    <mergeCell ref="AJ53:AK53"/>
    <mergeCell ref="AL53:AM53"/>
    <mergeCell ref="AP53:AP55"/>
    <mergeCell ref="AL62:AM62"/>
    <mergeCell ref="AF62:AG62"/>
    <mergeCell ref="AH62:AI62"/>
    <mergeCell ref="AJ62:AK62"/>
    <mergeCell ref="AP62:AP64"/>
    <mergeCell ref="B53:B59"/>
    <mergeCell ref="D62:E62"/>
    <mergeCell ref="B62:B68"/>
    <mergeCell ref="B71:B77"/>
    <mergeCell ref="D71:E71"/>
    <mergeCell ref="U71:U73"/>
    <mergeCell ref="V71:W71"/>
    <mergeCell ref="X71:X73"/>
    <mergeCell ref="Y71:Z71"/>
    <mergeCell ref="D72:E72"/>
    <mergeCell ref="D63:E63"/>
    <mergeCell ref="Q71:R71"/>
    <mergeCell ref="Q62:R62"/>
    <mergeCell ref="D53:E53"/>
    <mergeCell ref="Q53:R53"/>
    <mergeCell ref="D54:E54"/>
    <mergeCell ref="U53:U55"/>
    <mergeCell ref="V53:W53"/>
    <mergeCell ref="X53:X55"/>
    <mergeCell ref="Y53:Z53"/>
    <mergeCell ref="U62:U64"/>
    <mergeCell ref="X62:X64"/>
    <mergeCell ref="V62:W62"/>
    <mergeCell ref="Y62:Z62"/>
    <mergeCell ref="AA62:AB62"/>
    <mergeCell ref="AC62:AD62"/>
  </mergeCells>
  <pageMargins left="0.7" right="0.7" top="0.75" bottom="0.75" header="0.3" footer="0.3"/>
  <pageSetup paperSize="9" orientation="portrait" verticalDpi="597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D8B0-EF7B-458B-9695-A79BA97ED076}">
  <dimension ref="F1:O33"/>
  <sheetViews>
    <sheetView topLeftCell="A22" workbookViewId="0">
      <selection activeCell="I15" sqref="I15"/>
    </sheetView>
  </sheetViews>
  <sheetFormatPr defaultRowHeight="14.25" x14ac:dyDescent="0.45"/>
  <sheetData>
    <row r="1" spans="6:15" ht="15" customHeight="1" x14ac:dyDescent="0.75">
      <c r="F1" s="1"/>
      <c r="G1" s="1"/>
      <c r="H1" s="1"/>
      <c r="I1" s="1"/>
      <c r="J1" s="1"/>
    </row>
    <row r="2" spans="6:15" x14ac:dyDescent="0.45">
      <c r="F2">
        <v>1</v>
      </c>
      <c r="I2" t="s">
        <v>0</v>
      </c>
      <c r="J2" t="s">
        <v>1</v>
      </c>
    </row>
    <row r="3" spans="6:15" x14ac:dyDescent="0.45">
      <c r="I3">
        <v>1</v>
      </c>
      <c r="J3" t="s">
        <v>4</v>
      </c>
    </row>
    <row r="4" spans="6:15" x14ac:dyDescent="0.45">
      <c r="I4" s="2">
        <v>2</v>
      </c>
      <c r="J4" s="2" t="s">
        <v>2</v>
      </c>
      <c r="K4" s="2"/>
      <c r="L4" s="2"/>
      <c r="M4" s="2"/>
      <c r="N4" s="2"/>
      <c r="O4" s="2"/>
    </row>
    <row r="5" spans="6:15" x14ac:dyDescent="0.45">
      <c r="I5">
        <v>3</v>
      </c>
      <c r="J5" t="s">
        <v>3</v>
      </c>
    </row>
    <row r="6" spans="6:15" x14ac:dyDescent="0.45">
      <c r="I6">
        <v>4</v>
      </c>
      <c r="J6" t="s">
        <v>5</v>
      </c>
    </row>
    <row r="8" spans="6:15" x14ac:dyDescent="0.45">
      <c r="F8">
        <v>2</v>
      </c>
    </row>
    <row r="14" spans="6:15" x14ac:dyDescent="0.45">
      <c r="F14">
        <v>3</v>
      </c>
    </row>
    <row r="15" spans="6:15" x14ac:dyDescent="0.45">
      <c r="I15" t="s">
        <v>6</v>
      </c>
    </row>
    <row r="21" spans="6:6" x14ac:dyDescent="0.45">
      <c r="F21">
        <v>4</v>
      </c>
    </row>
    <row r="27" spans="6:6" x14ac:dyDescent="0.45">
      <c r="F27">
        <v>5</v>
      </c>
    </row>
    <row r="33" spans="6:6" x14ac:dyDescent="0.45">
      <c r="F33">
        <v>6</v>
      </c>
    </row>
  </sheetData>
  <pageMargins left="0.7" right="0.7" top="0.75" bottom="0.75" header="0.3" footer="0.3"/>
  <pageSetup paperSize="9" orientation="portrait" verticalDpi="597" r:id="rId1"/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D187-057F-4C48-8F49-3D318498BB0D}">
  <dimension ref="A1:QQ153"/>
  <sheetViews>
    <sheetView workbookViewId="0">
      <selection sqref="A1:QQ1048576"/>
    </sheetView>
  </sheetViews>
  <sheetFormatPr defaultRowHeight="14.25" outlineLevelCol="1" x14ac:dyDescent="0.45"/>
  <cols>
    <col min="1" max="1" width="7" customWidth="1"/>
    <col min="2" max="2" width="26.796875" customWidth="1"/>
    <col min="3" max="3" width="6.265625" customWidth="1"/>
    <col min="4" max="4" width="11.53125" customWidth="1"/>
    <col min="5" max="5" width="1" hidden="1" customWidth="1"/>
    <col min="6" max="6" width="8.19921875" hidden="1" customWidth="1"/>
    <col min="7" max="7" width="10.06640625" hidden="1" customWidth="1"/>
    <col min="8" max="8" width="8.19921875" hidden="1" customWidth="1"/>
    <col min="9" max="9" width="10.06640625" hidden="1" customWidth="1"/>
    <col min="10" max="10" width="8.19921875" hidden="1" customWidth="1"/>
    <col min="11" max="11" width="10.06640625" hidden="1" customWidth="1"/>
    <col min="12" max="12" width="8.19921875" hidden="1" customWidth="1"/>
    <col min="13" max="13" width="10.06640625" hidden="1" customWidth="1"/>
    <col min="14" max="14" width="8.19921875" hidden="1" customWidth="1"/>
    <col min="15" max="15" width="10.06640625" hidden="1" customWidth="1"/>
    <col min="16" max="16" width="8.19921875" hidden="1" customWidth="1"/>
    <col min="17" max="17" width="10.06640625" hidden="1" customWidth="1"/>
    <col min="18" max="18" width="8.19921875" hidden="1" customWidth="1"/>
    <col min="19" max="19" width="10.06640625" hidden="1" customWidth="1"/>
    <col min="20" max="20" width="8.19921875" hidden="1" customWidth="1"/>
    <col min="21" max="21" width="10.06640625" hidden="1" customWidth="1"/>
    <col min="22" max="22" width="8.19921875" hidden="1" customWidth="1"/>
    <col min="23" max="23" width="10.06640625" hidden="1" customWidth="1"/>
    <col min="24" max="24" width="8.19921875" hidden="1" customWidth="1"/>
    <col min="25" max="25" width="10.06640625" hidden="1" customWidth="1"/>
    <col min="26" max="26" width="8.19921875" hidden="1" customWidth="1"/>
    <col min="27" max="27" width="10.06640625" hidden="1" customWidth="1"/>
    <col min="28" max="28" width="8.19921875" hidden="1" customWidth="1"/>
    <col min="29" max="29" width="11.46484375" hidden="1" customWidth="1"/>
    <col min="30" max="30" width="8.19921875" hidden="1" customWidth="1"/>
    <col min="31" max="31" width="10.06640625" hidden="1" customWidth="1"/>
    <col min="32" max="32" width="8.19921875" hidden="1" customWidth="1"/>
    <col min="33" max="33" width="10.06640625" hidden="1" customWidth="1"/>
    <col min="34" max="34" width="8.19921875" hidden="1" customWidth="1"/>
    <col min="35" max="35" width="10.06640625" hidden="1" customWidth="1"/>
    <col min="36" max="36" width="8.19921875" hidden="1" customWidth="1" outlineLevel="1"/>
    <col min="37" max="37" width="10.06640625" hidden="1" customWidth="1" outlineLevel="1"/>
    <col min="38" max="38" width="8.19921875" hidden="1" customWidth="1" outlineLevel="1"/>
    <col min="39" max="39" width="10.06640625" hidden="1" customWidth="1" outlineLevel="1"/>
    <col min="40" max="40" width="8.19921875" hidden="1" customWidth="1" outlineLevel="1"/>
    <col min="41" max="41" width="10.06640625" hidden="1" customWidth="1" outlineLevel="1"/>
    <col min="42" max="42" width="8.19921875" hidden="1" customWidth="1" outlineLevel="1"/>
    <col min="43" max="43" width="10.06640625" hidden="1" customWidth="1" outlineLevel="1"/>
    <col min="44" max="44" width="8.19921875" hidden="1" customWidth="1" outlineLevel="1"/>
    <col min="45" max="45" width="10.06640625" hidden="1" customWidth="1" outlineLevel="1"/>
    <col min="46" max="46" width="8.19921875" hidden="1" customWidth="1" outlineLevel="1"/>
    <col min="47" max="47" width="10.06640625" hidden="1" customWidth="1" outlineLevel="1"/>
    <col min="48" max="48" width="8.19921875" hidden="1" customWidth="1" outlineLevel="1"/>
    <col min="49" max="49" width="10.06640625" hidden="1" customWidth="1" outlineLevel="1"/>
    <col min="50" max="50" width="8.19921875" hidden="1" customWidth="1" outlineLevel="1"/>
    <col min="51" max="51" width="10.06640625" hidden="1" customWidth="1" outlineLevel="1"/>
    <col min="52" max="52" width="8.19921875" hidden="1" customWidth="1" outlineLevel="1"/>
    <col min="53" max="53" width="10.06640625" hidden="1" customWidth="1" outlineLevel="1"/>
    <col min="54" max="54" width="8.19921875" hidden="1" customWidth="1" outlineLevel="1"/>
    <col min="55" max="55" width="10.06640625" hidden="1" customWidth="1" outlineLevel="1"/>
    <col min="56" max="56" width="8.19921875" hidden="1" customWidth="1" outlineLevel="1"/>
    <col min="57" max="57" width="10.06640625" hidden="1" customWidth="1" outlineLevel="1"/>
    <col min="58" max="58" width="8.19921875" hidden="1" customWidth="1" outlineLevel="1"/>
    <col min="59" max="59" width="10.06640625" hidden="1" customWidth="1" outlineLevel="1"/>
    <col min="60" max="60" width="8.19921875" hidden="1" customWidth="1" outlineLevel="1"/>
    <col min="61" max="61" width="10.06640625" hidden="1" customWidth="1" outlineLevel="1"/>
    <col min="62" max="62" width="8.19921875" hidden="1" customWidth="1" outlineLevel="1"/>
    <col min="63" max="63" width="10.06640625" hidden="1" customWidth="1" outlineLevel="1"/>
    <col min="64" max="64" width="8.19921875" hidden="1" customWidth="1" collapsed="1"/>
    <col min="65" max="65" width="10.06640625" hidden="1" customWidth="1"/>
    <col min="66" max="66" width="8.19921875" hidden="1" customWidth="1" outlineLevel="1"/>
    <col min="67" max="67" width="10.06640625" hidden="1" customWidth="1" outlineLevel="1"/>
    <col min="68" max="68" width="8.19921875" hidden="1" customWidth="1" outlineLevel="1"/>
    <col min="69" max="69" width="10.06640625" hidden="1" customWidth="1" outlineLevel="1"/>
    <col min="70" max="70" width="8.19921875" hidden="1" customWidth="1" outlineLevel="1"/>
    <col min="71" max="71" width="10.06640625" hidden="1" customWidth="1" outlineLevel="1"/>
    <col min="72" max="72" width="8.19921875" hidden="1" customWidth="1" outlineLevel="1"/>
    <col min="73" max="73" width="10.06640625" hidden="1" customWidth="1" outlineLevel="1"/>
    <col min="74" max="74" width="8.19921875" hidden="1" customWidth="1" outlineLevel="1"/>
    <col min="75" max="75" width="10.06640625" hidden="1" customWidth="1" outlineLevel="1"/>
    <col min="76" max="76" width="8.19921875" hidden="1" customWidth="1" outlineLevel="1"/>
    <col min="77" max="77" width="10.06640625" hidden="1" customWidth="1" outlineLevel="1"/>
    <col min="78" max="78" width="8.19921875" hidden="1" customWidth="1" outlineLevel="1"/>
    <col min="79" max="79" width="10.06640625" hidden="1" customWidth="1" outlineLevel="1"/>
    <col min="80" max="80" width="8.19921875" hidden="1" customWidth="1" outlineLevel="1"/>
    <col min="81" max="81" width="10.06640625" hidden="1" customWidth="1" outlineLevel="1"/>
    <col min="82" max="82" width="8.19921875" hidden="1" customWidth="1" outlineLevel="1"/>
    <col min="83" max="83" width="10.06640625" hidden="1" customWidth="1" outlineLevel="1"/>
    <col min="84" max="84" width="8.19921875" hidden="1" customWidth="1" outlineLevel="1"/>
    <col min="85" max="85" width="10.06640625" hidden="1" customWidth="1" outlineLevel="1"/>
    <col min="86" max="86" width="8.19921875" hidden="1" customWidth="1" outlineLevel="1"/>
    <col min="87" max="87" width="10.06640625" hidden="1" customWidth="1" outlineLevel="1"/>
    <col min="88" max="88" width="8.19921875" hidden="1" customWidth="1" outlineLevel="1"/>
    <col min="89" max="89" width="10.06640625" hidden="1" customWidth="1" outlineLevel="1"/>
    <col min="90" max="90" width="8.19921875" hidden="1" customWidth="1" collapsed="1"/>
    <col min="91" max="91" width="10.06640625" hidden="1" customWidth="1"/>
    <col min="92" max="92" width="8.19921875" hidden="1" customWidth="1"/>
    <col min="93" max="93" width="10.06640625" hidden="1" customWidth="1"/>
    <col min="94" max="94" width="8.19921875" hidden="1" customWidth="1"/>
    <col min="95" max="95" width="10.06640625" hidden="1" customWidth="1"/>
    <col min="96" max="96" width="8.19921875" hidden="1" customWidth="1"/>
    <col min="97" max="97" width="10.06640625" hidden="1" customWidth="1"/>
    <col min="98" max="98" width="1" hidden="1" customWidth="1"/>
    <col min="99" max="99" width="6.59765625" hidden="1" customWidth="1" outlineLevel="1"/>
    <col min="100" max="100" width="10.06640625" hidden="1" customWidth="1" outlineLevel="1"/>
    <col min="101" max="101" width="6.59765625" hidden="1" customWidth="1" outlineLevel="1"/>
    <col min="102" max="102" width="10.06640625" hidden="1" customWidth="1" outlineLevel="1"/>
    <col min="103" max="103" width="6.59765625" hidden="1" customWidth="1" outlineLevel="1"/>
    <col min="104" max="104" width="10.06640625" hidden="1" customWidth="1" outlineLevel="1"/>
    <col min="105" max="105" width="6.59765625" hidden="1" customWidth="1" outlineLevel="1"/>
    <col min="106" max="106" width="10.06640625" hidden="1" customWidth="1" outlineLevel="1"/>
    <col min="107" max="107" width="6.59765625" hidden="1" customWidth="1" outlineLevel="1"/>
    <col min="108" max="108" width="10.06640625" hidden="1" customWidth="1" outlineLevel="1"/>
    <col min="109" max="109" width="6.59765625" hidden="1" customWidth="1" outlineLevel="1"/>
    <col min="110" max="110" width="10.06640625" hidden="1" customWidth="1" outlineLevel="1"/>
    <col min="111" max="111" width="6.59765625" hidden="1" customWidth="1" outlineLevel="1"/>
    <col min="112" max="112" width="10.06640625" hidden="1" customWidth="1" outlineLevel="1"/>
    <col min="113" max="113" width="6.59765625" hidden="1" customWidth="1" outlineLevel="1"/>
    <col min="114" max="114" width="10.06640625" hidden="1" customWidth="1" outlineLevel="1"/>
    <col min="115" max="115" width="6.59765625" hidden="1" customWidth="1" outlineLevel="1"/>
    <col min="116" max="116" width="10.06640625" hidden="1" customWidth="1" outlineLevel="1"/>
    <col min="117" max="117" width="6.59765625" hidden="1" customWidth="1" outlineLevel="1"/>
    <col min="118" max="118" width="10.06640625" hidden="1" customWidth="1" outlineLevel="1"/>
    <col min="119" max="119" width="6.59765625" hidden="1" customWidth="1" outlineLevel="1"/>
    <col min="120" max="120" width="10.06640625" hidden="1" customWidth="1" outlineLevel="1"/>
    <col min="121" max="121" width="6.59765625" hidden="1" customWidth="1" outlineLevel="1"/>
    <col min="122" max="122" width="10.06640625" hidden="1" customWidth="1" outlineLevel="1"/>
    <col min="123" max="123" width="6.59765625" hidden="1" customWidth="1" outlineLevel="1"/>
    <col min="124" max="124" width="10.06640625" hidden="1" customWidth="1" outlineLevel="1"/>
    <col min="125" max="125" width="6.59765625" hidden="1" customWidth="1" outlineLevel="1"/>
    <col min="126" max="126" width="10.06640625" hidden="1" customWidth="1" outlineLevel="1"/>
    <col min="127" max="127" width="6.59765625" hidden="1" customWidth="1" outlineLevel="1"/>
    <col min="128" max="128" width="10.06640625" hidden="1" customWidth="1" outlineLevel="1"/>
    <col min="129" max="129" width="6.59765625" hidden="1" customWidth="1" outlineLevel="1"/>
    <col min="130" max="130" width="10.06640625" hidden="1" customWidth="1" outlineLevel="1"/>
    <col min="131" max="131" width="6.59765625" hidden="1" customWidth="1" outlineLevel="1"/>
    <col min="132" max="132" width="10.06640625" hidden="1" customWidth="1" outlineLevel="1"/>
    <col min="133" max="133" width="6.59765625" hidden="1" customWidth="1" outlineLevel="1"/>
    <col min="134" max="134" width="10.06640625" hidden="1" customWidth="1" outlineLevel="1"/>
    <col min="135" max="135" width="6.59765625" hidden="1" customWidth="1" outlineLevel="1"/>
    <col min="136" max="136" width="10.06640625" hidden="1" customWidth="1" outlineLevel="1"/>
    <col min="137" max="137" width="6.59765625" hidden="1" customWidth="1" outlineLevel="1"/>
    <col min="138" max="138" width="10.06640625" hidden="1" customWidth="1" outlineLevel="1"/>
    <col min="139" max="139" width="7" hidden="1" customWidth="1" outlineLevel="1"/>
    <col min="140" max="140" width="10.46484375" hidden="1" customWidth="1" outlineLevel="1"/>
    <col min="141" max="141" width="7" hidden="1" customWidth="1" collapsed="1"/>
    <col min="142" max="142" width="10.46484375" hidden="1" customWidth="1"/>
    <col min="143" max="143" width="7" hidden="1" customWidth="1" outlineLevel="1"/>
    <col min="144" max="144" width="10.06640625" hidden="1" customWidth="1" outlineLevel="1"/>
    <col min="145" max="145" width="7" hidden="1" customWidth="1" outlineLevel="1"/>
    <col min="146" max="146" width="10.06640625" hidden="1" customWidth="1" outlineLevel="1"/>
    <col min="147" max="147" width="7" hidden="1" customWidth="1" outlineLevel="1"/>
    <col min="148" max="148" width="10.06640625" hidden="1" customWidth="1" outlineLevel="1"/>
    <col min="149" max="149" width="7" hidden="1" customWidth="1" outlineLevel="1"/>
    <col min="150" max="150" width="10.06640625" hidden="1" customWidth="1" outlineLevel="1"/>
    <col min="151" max="151" width="7" hidden="1" customWidth="1" outlineLevel="1"/>
    <col min="152" max="152" width="10.06640625" hidden="1" customWidth="1" outlineLevel="1"/>
    <col min="153" max="153" width="7" hidden="1" customWidth="1" outlineLevel="1"/>
    <col min="154" max="154" width="10.06640625" hidden="1" customWidth="1" outlineLevel="1"/>
    <col min="155" max="155" width="7" hidden="1" customWidth="1" outlineLevel="1"/>
    <col min="156" max="156" width="10.06640625" hidden="1" customWidth="1" outlineLevel="1"/>
    <col min="157" max="157" width="7" hidden="1" customWidth="1" outlineLevel="1"/>
    <col min="158" max="158" width="10.06640625" hidden="1" customWidth="1" outlineLevel="1"/>
    <col min="159" max="159" width="7" hidden="1" customWidth="1" outlineLevel="1"/>
    <col min="160" max="160" width="10.06640625" hidden="1" customWidth="1" outlineLevel="1"/>
    <col min="161" max="161" width="7" hidden="1" customWidth="1" outlineLevel="1"/>
    <col min="162" max="162" width="10.06640625" hidden="1" customWidth="1" outlineLevel="1"/>
    <col min="163" max="163" width="7" hidden="1" customWidth="1" outlineLevel="1"/>
    <col min="164" max="164" width="10.06640625" hidden="1" customWidth="1" outlineLevel="1"/>
    <col min="165" max="165" width="7" hidden="1" customWidth="1" outlineLevel="1"/>
    <col min="166" max="166" width="10.06640625" hidden="1" customWidth="1" outlineLevel="1"/>
    <col min="167" max="167" width="7" hidden="1" customWidth="1" collapsed="1"/>
    <col min="168" max="168" width="10.06640625" hidden="1" customWidth="1"/>
    <col min="169" max="169" width="7" hidden="1" customWidth="1"/>
    <col min="170" max="170" width="10.06640625" hidden="1" customWidth="1"/>
    <col min="171" max="171" width="7" hidden="1" customWidth="1"/>
    <col min="172" max="172" width="10.06640625" hidden="1" customWidth="1"/>
    <col min="173" max="173" width="1.06640625" hidden="1" customWidth="1"/>
    <col min="174" max="174" width="8.19921875" hidden="1" customWidth="1"/>
    <col min="175" max="175" width="10.06640625" hidden="1" customWidth="1"/>
    <col min="176" max="176" width="8.19921875" hidden="1" customWidth="1"/>
    <col min="177" max="177" width="10.06640625" hidden="1" customWidth="1"/>
    <col min="178" max="178" width="8.19921875" hidden="1" customWidth="1"/>
    <col min="179" max="179" width="10.06640625" hidden="1" customWidth="1"/>
    <col min="180" max="180" width="8.19921875" hidden="1" customWidth="1"/>
    <col min="181" max="181" width="10.06640625" hidden="1" customWidth="1"/>
    <col min="182" max="182" width="8.19921875" hidden="1" customWidth="1"/>
    <col min="183" max="183" width="10.06640625" hidden="1" customWidth="1"/>
    <col min="184" max="184" width="8.19921875" hidden="1" customWidth="1"/>
    <col min="185" max="185" width="10.06640625" hidden="1" customWidth="1"/>
    <col min="186" max="186" width="8.19921875" hidden="1" customWidth="1"/>
    <col min="187" max="187" width="10.06640625" hidden="1" customWidth="1"/>
    <col min="188" max="188" width="8.19921875" hidden="1" customWidth="1"/>
    <col min="189" max="189" width="10.06640625" hidden="1" customWidth="1"/>
    <col min="190" max="190" width="8.19921875" hidden="1" customWidth="1"/>
    <col min="191" max="191" width="10.06640625" hidden="1" customWidth="1"/>
    <col min="192" max="192" width="8.19921875" hidden="1" customWidth="1"/>
    <col min="193" max="193" width="10.06640625" hidden="1" customWidth="1"/>
    <col min="194" max="194" width="8.19921875" hidden="1" customWidth="1"/>
    <col min="195" max="195" width="10.06640625" hidden="1" customWidth="1"/>
    <col min="196" max="196" width="8.19921875" hidden="1" customWidth="1"/>
    <col min="197" max="197" width="10.06640625" hidden="1" customWidth="1"/>
    <col min="198" max="198" width="8.19921875" hidden="1" customWidth="1" outlineLevel="1"/>
    <col min="199" max="199" width="10.06640625" hidden="1" customWidth="1" outlineLevel="1"/>
    <col min="200" max="200" width="8.19921875" hidden="1" customWidth="1" outlineLevel="1"/>
    <col min="201" max="201" width="10.06640625" hidden="1" customWidth="1" outlineLevel="1"/>
    <col min="202" max="202" width="8.19921875" hidden="1" customWidth="1" outlineLevel="1"/>
    <col min="203" max="203" width="10.06640625" hidden="1" customWidth="1" outlineLevel="1"/>
    <col min="204" max="204" width="8.19921875" hidden="1" customWidth="1" outlineLevel="1"/>
    <col min="205" max="205" width="10.06640625" hidden="1" customWidth="1" outlineLevel="1"/>
    <col min="206" max="206" width="8.19921875" hidden="1" customWidth="1" outlineLevel="1"/>
    <col min="207" max="207" width="10.06640625" hidden="1" customWidth="1" outlineLevel="1"/>
    <col min="208" max="208" width="8.19921875" hidden="1" customWidth="1" outlineLevel="1"/>
    <col min="209" max="209" width="10.06640625" hidden="1" customWidth="1" outlineLevel="1"/>
    <col min="210" max="210" width="8.19921875" hidden="1" customWidth="1" outlineLevel="1"/>
    <col min="211" max="211" width="10.06640625" hidden="1" customWidth="1" outlineLevel="1"/>
    <col min="212" max="212" width="8.19921875" hidden="1" customWidth="1" outlineLevel="1"/>
    <col min="213" max="213" width="10.06640625" hidden="1" customWidth="1" outlineLevel="1"/>
    <col min="214" max="214" width="8.19921875" hidden="1" customWidth="1" outlineLevel="1"/>
    <col min="215" max="215" width="10.06640625" hidden="1" customWidth="1" outlineLevel="1"/>
    <col min="216" max="216" width="8.19921875" hidden="1" customWidth="1" outlineLevel="1"/>
    <col min="217" max="217" width="10.06640625" hidden="1" customWidth="1" outlineLevel="1"/>
    <col min="218" max="218" width="8.19921875" hidden="1" customWidth="1" outlineLevel="1"/>
    <col min="219" max="219" width="10.06640625" hidden="1" customWidth="1" outlineLevel="1"/>
    <col min="220" max="220" width="8.19921875" hidden="1" customWidth="1" outlineLevel="1"/>
    <col min="221" max="221" width="10.06640625" hidden="1" customWidth="1" outlineLevel="1"/>
    <col min="222" max="222" width="8.19921875" hidden="1" customWidth="1" outlineLevel="1"/>
    <col min="223" max="223" width="10.06640625" hidden="1" customWidth="1" outlineLevel="1"/>
    <col min="224" max="224" width="8.19921875" hidden="1" customWidth="1" outlineLevel="1"/>
    <col min="225" max="225" width="10.06640625" hidden="1" customWidth="1" outlineLevel="1"/>
    <col min="226" max="226" width="8.19921875" hidden="1" customWidth="1" collapsed="1"/>
    <col min="227" max="227" width="10.06640625" hidden="1" customWidth="1"/>
    <col min="228" max="228" width="8.19921875" hidden="1" customWidth="1" outlineLevel="1"/>
    <col min="229" max="229" width="10.06640625" hidden="1" customWidth="1" outlineLevel="1"/>
    <col min="230" max="230" width="8.19921875" hidden="1" customWidth="1" outlineLevel="1"/>
    <col min="231" max="231" width="10.06640625" hidden="1" customWidth="1" outlineLevel="1"/>
    <col min="232" max="232" width="8.19921875" hidden="1" customWidth="1" outlineLevel="1"/>
    <col min="233" max="233" width="10.06640625" hidden="1" customWidth="1" outlineLevel="1"/>
    <col min="234" max="234" width="8.19921875" hidden="1" customWidth="1" outlineLevel="1"/>
    <col min="235" max="235" width="10.06640625" hidden="1" customWidth="1" outlineLevel="1"/>
    <col min="236" max="236" width="8.19921875" hidden="1" customWidth="1" outlineLevel="1"/>
    <col min="237" max="237" width="10.06640625" hidden="1" customWidth="1" outlineLevel="1"/>
    <col min="238" max="238" width="8.19921875" hidden="1" customWidth="1" outlineLevel="1"/>
    <col min="239" max="239" width="10.06640625" hidden="1" customWidth="1" outlineLevel="1"/>
    <col min="240" max="240" width="8.19921875" hidden="1" customWidth="1" outlineLevel="1"/>
    <col min="241" max="241" width="10.06640625" hidden="1" customWidth="1" outlineLevel="1"/>
    <col min="242" max="242" width="8.19921875" hidden="1" customWidth="1" outlineLevel="1"/>
    <col min="243" max="243" width="10.06640625" hidden="1" customWidth="1" outlineLevel="1"/>
    <col min="244" max="244" width="8.19921875" hidden="1" customWidth="1" outlineLevel="1"/>
    <col min="245" max="245" width="10.06640625" hidden="1" customWidth="1" outlineLevel="1"/>
    <col min="246" max="246" width="8.19921875" hidden="1" customWidth="1" outlineLevel="1"/>
    <col min="247" max="247" width="10.06640625" hidden="1" customWidth="1" outlineLevel="1"/>
    <col min="248" max="248" width="8.19921875" hidden="1" customWidth="1" outlineLevel="1"/>
    <col min="249" max="249" width="10.06640625" hidden="1" customWidth="1" outlineLevel="1"/>
    <col min="250" max="250" width="8.19921875" hidden="1" customWidth="1" outlineLevel="1"/>
    <col min="251" max="251" width="10.06640625" hidden="1" customWidth="1" outlineLevel="1"/>
    <col min="252" max="252" width="8.19921875" hidden="1" customWidth="1" outlineLevel="1"/>
    <col min="253" max="253" width="10.06640625" hidden="1" customWidth="1" outlineLevel="1"/>
    <col min="254" max="254" width="8.19921875" hidden="1" customWidth="1" collapsed="1"/>
    <col min="255" max="255" width="10.06640625" hidden="1" customWidth="1"/>
    <col min="256" max="256" width="8.19921875" hidden="1" customWidth="1" outlineLevel="1"/>
    <col min="257" max="257" width="10.06640625" hidden="1" customWidth="1" outlineLevel="1"/>
    <col min="258" max="258" width="8.19921875" hidden="1" customWidth="1" outlineLevel="1"/>
    <col min="259" max="259" width="10.06640625" hidden="1" customWidth="1" outlineLevel="1"/>
    <col min="260" max="260" width="1.796875" hidden="1" customWidth="1" collapsed="1"/>
    <col min="261" max="261" width="8.19921875" hidden="1" customWidth="1"/>
    <col min="262" max="262" width="10.06640625" hidden="1" customWidth="1"/>
    <col min="263" max="263" width="8.19921875" hidden="1" customWidth="1"/>
    <col min="264" max="264" width="10.06640625" hidden="1" customWidth="1"/>
    <col min="265" max="265" width="1.06640625" hidden="1" customWidth="1"/>
    <col min="266" max="266" width="8.19921875" hidden="1" customWidth="1"/>
    <col min="267" max="267" width="10.06640625" hidden="1" customWidth="1"/>
    <col min="268" max="268" width="8.19921875" hidden="1" customWidth="1"/>
    <col min="269" max="269" width="10.06640625" hidden="1" customWidth="1"/>
    <col min="270" max="270" width="8.19921875" hidden="1" customWidth="1"/>
    <col min="271" max="271" width="10.06640625" hidden="1" customWidth="1"/>
    <col min="272" max="272" width="8.19921875" hidden="1" customWidth="1"/>
    <col min="273" max="273" width="10.06640625" hidden="1" customWidth="1"/>
    <col min="274" max="274" width="8.19921875" hidden="1" customWidth="1"/>
    <col min="275" max="275" width="10.06640625" hidden="1" customWidth="1"/>
    <col min="276" max="276" width="8.19921875" hidden="1" customWidth="1"/>
    <col min="277" max="277" width="10.06640625" hidden="1" customWidth="1"/>
    <col min="278" max="278" width="8.19921875" hidden="1" customWidth="1"/>
    <col min="279" max="279" width="10.06640625" hidden="1" customWidth="1"/>
    <col min="280" max="280" width="8.19921875" hidden="1" customWidth="1"/>
    <col min="281" max="281" width="10.06640625" hidden="1" customWidth="1"/>
    <col min="282" max="282" width="8.19921875" hidden="1" customWidth="1" outlineLevel="1"/>
    <col min="283" max="283" width="10.06640625" hidden="1" customWidth="1" outlineLevel="1"/>
    <col min="284" max="284" width="8.19921875" hidden="1" customWidth="1" outlineLevel="1"/>
    <col min="285" max="285" width="10.06640625" hidden="1" customWidth="1" outlineLevel="1"/>
    <col min="286" max="286" width="8.19921875" hidden="1" customWidth="1" outlineLevel="1"/>
    <col min="287" max="287" width="10.06640625" hidden="1" customWidth="1" outlineLevel="1"/>
    <col min="288" max="288" width="8.19921875" hidden="1" customWidth="1" outlineLevel="1"/>
    <col min="289" max="289" width="10.06640625" hidden="1" customWidth="1" outlineLevel="1"/>
    <col min="290" max="290" width="8.19921875" hidden="1" customWidth="1" outlineLevel="1"/>
    <col min="291" max="291" width="10.06640625" hidden="1" customWidth="1" outlineLevel="1"/>
    <col min="292" max="292" width="8.19921875" hidden="1" customWidth="1" outlineLevel="1"/>
    <col min="293" max="293" width="10.06640625" hidden="1" customWidth="1" outlineLevel="1"/>
    <col min="294" max="294" width="8.19921875" hidden="1" customWidth="1" outlineLevel="1"/>
    <col min="295" max="295" width="10.06640625" hidden="1" customWidth="1" outlineLevel="1"/>
    <col min="296" max="296" width="8.19921875" hidden="1" customWidth="1" outlineLevel="1"/>
    <col min="297" max="297" width="10.06640625" hidden="1" customWidth="1" outlineLevel="1"/>
    <col min="298" max="298" width="8.19921875" hidden="1" customWidth="1" outlineLevel="1"/>
    <col min="299" max="299" width="10.06640625" hidden="1" customWidth="1" outlineLevel="1"/>
    <col min="300" max="300" width="8.19921875" hidden="1" customWidth="1" outlineLevel="1"/>
    <col min="301" max="301" width="10.06640625" hidden="1" customWidth="1" outlineLevel="1"/>
    <col min="302" max="302" width="8.19921875" hidden="1" customWidth="1" outlineLevel="1"/>
    <col min="303" max="303" width="10.06640625" hidden="1" customWidth="1" outlineLevel="1"/>
    <col min="304" max="304" width="8.19921875" hidden="1" customWidth="1" outlineLevel="1"/>
    <col min="305" max="305" width="10.06640625" hidden="1" customWidth="1" outlineLevel="1"/>
    <col min="306" max="306" width="8.19921875" hidden="1" customWidth="1" outlineLevel="1"/>
    <col min="307" max="307" width="10.06640625" hidden="1" customWidth="1" outlineLevel="1"/>
    <col min="308" max="308" width="8.19921875" hidden="1" customWidth="1" outlineLevel="1"/>
    <col min="309" max="309" width="10.06640625" hidden="1" customWidth="1" outlineLevel="1"/>
    <col min="310" max="310" width="8.19921875" hidden="1" customWidth="1" outlineLevel="1"/>
    <col min="311" max="311" width="10.06640625" hidden="1" customWidth="1" outlineLevel="1"/>
    <col min="312" max="312" width="8.19921875" hidden="1" customWidth="1" outlineLevel="1"/>
    <col min="313" max="313" width="10.06640625" hidden="1" customWidth="1" outlineLevel="1"/>
    <col min="314" max="314" width="8.19921875" hidden="1" customWidth="1" collapsed="1"/>
    <col min="315" max="315" width="10.06640625" hidden="1" customWidth="1"/>
    <col min="316" max="316" width="8.19921875" hidden="1" customWidth="1" outlineLevel="1"/>
    <col min="317" max="317" width="10.06640625" hidden="1" customWidth="1" outlineLevel="1"/>
    <col min="318" max="318" width="8.19921875" hidden="1" customWidth="1" outlineLevel="1"/>
    <col min="319" max="319" width="10.06640625" hidden="1" customWidth="1" outlineLevel="1"/>
    <col min="320" max="320" width="8.19921875" hidden="1" customWidth="1" outlineLevel="1"/>
    <col min="321" max="321" width="10.06640625" hidden="1" customWidth="1" outlineLevel="1"/>
    <col min="322" max="322" width="8.19921875" hidden="1" customWidth="1" outlineLevel="1"/>
    <col min="323" max="323" width="10.06640625" hidden="1" customWidth="1" outlineLevel="1"/>
    <col min="324" max="324" width="8.19921875" hidden="1" customWidth="1" outlineLevel="1"/>
    <col min="325" max="325" width="10.06640625" hidden="1" customWidth="1" outlineLevel="1"/>
    <col min="326" max="326" width="8.19921875" hidden="1" customWidth="1" outlineLevel="1"/>
    <col min="327" max="327" width="10.06640625" hidden="1" customWidth="1" outlineLevel="1"/>
    <col min="328" max="328" width="8.19921875" hidden="1" customWidth="1" outlineLevel="1"/>
    <col min="329" max="329" width="10.06640625" hidden="1" customWidth="1" outlineLevel="1"/>
    <col min="330" max="330" width="8.19921875" hidden="1" customWidth="1" outlineLevel="1"/>
    <col min="331" max="331" width="10.06640625" hidden="1" customWidth="1" outlineLevel="1"/>
    <col min="332" max="332" width="8.19921875" hidden="1" customWidth="1" outlineLevel="1"/>
    <col min="333" max="333" width="10.06640625" hidden="1" customWidth="1" outlineLevel="1"/>
    <col min="334" max="334" width="8.19921875" hidden="1" customWidth="1" outlineLevel="1"/>
    <col min="335" max="335" width="10.06640625" hidden="1" customWidth="1" outlineLevel="1"/>
    <col min="336" max="336" width="8.19921875" hidden="1" customWidth="1" outlineLevel="1"/>
    <col min="337" max="337" width="10.06640625" hidden="1" customWidth="1" outlineLevel="1"/>
    <col min="338" max="338" width="8.19921875" hidden="1" customWidth="1" outlineLevel="1"/>
    <col min="339" max="339" width="10.06640625" hidden="1" customWidth="1" outlineLevel="1"/>
    <col min="340" max="340" width="8.19921875" hidden="1" customWidth="1" collapsed="1"/>
    <col min="341" max="341" width="10.06640625" hidden="1" customWidth="1"/>
    <col min="342" max="342" width="8.19921875" hidden="1" customWidth="1" outlineLevel="1"/>
    <col min="343" max="343" width="10.06640625" hidden="1" customWidth="1" outlineLevel="1"/>
    <col min="344" max="344" width="8.19921875" hidden="1" customWidth="1" collapsed="1"/>
    <col min="345" max="345" width="10.06640625" hidden="1" customWidth="1"/>
    <col min="346" max="346" width="1.06640625" hidden="1" customWidth="1"/>
    <col min="347" max="347" width="8.19921875" hidden="1" customWidth="1"/>
    <col min="348" max="348" width="10.06640625" hidden="1" customWidth="1"/>
    <col min="349" max="349" width="8.19921875" hidden="1" customWidth="1"/>
    <col min="350" max="350" width="10.06640625" hidden="1" customWidth="1"/>
    <col min="351" max="351" width="8.19921875" hidden="1" customWidth="1"/>
    <col min="352" max="352" width="10.06640625" hidden="1" customWidth="1"/>
    <col min="353" max="353" width="8.19921875" hidden="1" customWidth="1"/>
    <col min="354" max="354" width="10.06640625" hidden="1" customWidth="1"/>
    <col min="355" max="355" width="8.19921875" hidden="1" customWidth="1"/>
    <col min="356" max="356" width="10.06640625" hidden="1" customWidth="1"/>
    <col min="357" max="357" width="8.19921875" hidden="1" customWidth="1"/>
    <col min="358" max="358" width="10.06640625" hidden="1" customWidth="1"/>
    <col min="359" max="359" width="8.19921875" hidden="1" customWidth="1"/>
    <col min="360" max="360" width="10.06640625" hidden="1" customWidth="1"/>
    <col min="361" max="361" width="8.19921875" hidden="1" customWidth="1"/>
    <col min="362" max="362" width="10.06640625" hidden="1" customWidth="1"/>
    <col min="363" max="363" width="8.19921875" hidden="1" customWidth="1"/>
    <col min="364" max="364" width="10.06640625" hidden="1" customWidth="1"/>
    <col min="365" max="365" width="8.19921875" hidden="1" customWidth="1"/>
    <col min="366" max="366" width="10.06640625" hidden="1" customWidth="1"/>
    <col min="367" max="367" width="9.06640625" hidden="1" customWidth="1" outlineLevel="1"/>
    <col min="368" max="368" width="12.53125" hidden="1" customWidth="1" outlineLevel="1"/>
    <col min="369" max="369" width="9.06640625" hidden="1" customWidth="1" outlineLevel="1"/>
    <col min="370" max="370" width="12.53125" hidden="1" customWidth="1" outlineLevel="1"/>
    <col min="371" max="371" width="9.06640625" hidden="1" customWidth="1" outlineLevel="1"/>
    <col min="372" max="372" width="12.53125" hidden="1" customWidth="1" outlineLevel="1"/>
    <col min="373" max="373" width="9.06640625" hidden="1" customWidth="1" outlineLevel="1"/>
    <col min="374" max="374" width="12.53125" hidden="1" customWidth="1" outlineLevel="1"/>
    <col min="375" max="375" width="9.06640625" hidden="1" customWidth="1" outlineLevel="1"/>
    <col min="376" max="376" width="12.53125" hidden="1" customWidth="1" outlineLevel="1"/>
    <col min="377" max="377" width="9.06640625" hidden="1" customWidth="1" outlineLevel="1"/>
    <col min="378" max="378" width="12.53125" hidden="1" customWidth="1" outlineLevel="1"/>
    <col min="379" max="379" width="9.06640625" hidden="1" customWidth="1" outlineLevel="1"/>
    <col min="380" max="380" width="12.53125" hidden="1" customWidth="1" outlineLevel="1"/>
    <col min="381" max="381" width="9.06640625" hidden="1" customWidth="1" outlineLevel="1"/>
    <col min="382" max="382" width="12.53125" hidden="1" customWidth="1" outlineLevel="1"/>
    <col min="383" max="383" width="9.06640625" hidden="1" customWidth="1" outlineLevel="1"/>
    <col min="384" max="384" width="12.53125" hidden="1" customWidth="1" outlineLevel="1"/>
    <col min="385" max="385" width="9.06640625" hidden="1" customWidth="1" outlineLevel="1"/>
    <col min="386" max="386" width="12.53125" hidden="1" customWidth="1" outlineLevel="1"/>
    <col min="387" max="387" width="9.06640625" hidden="1" customWidth="1" outlineLevel="1"/>
    <col min="388" max="388" width="12.53125" hidden="1" customWidth="1" outlineLevel="1"/>
    <col min="389" max="389" width="9.06640625" hidden="1" customWidth="1" outlineLevel="1"/>
    <col min="390" max="390" width="12.53125" hidden="1" customWidth="1" outlineLevel="1"/>
    <col min="391" max="391" width="9.06640625" hidden="1" customWidth="1" outlineLevel="1"/>
    <col min="392" max="392" width="12.53125" hidden="1" customWidth="1" outlineLevel="1"/>
    <col min="393" max="393" width="9.06640625" hidden="1" customWidth="1" outlineLevel="1"/>
    <col min="394" max="394" width="12.53125" hidden="1" customWidth="1" outlineLevel="1"/>
    <col min="395" max="395" width="9.06640625" hidden="1" customWidth="1" collapsed="1"/>
    <col min="396" max="396" width="12.53125" hidden="1" customWidth="1"/>
    <col min="397" max="397" width="9.06640625" hidden="1" customWidth="1" outlineLevel="1"/>
    <col min="398" max="398" width="12.53125" hidden="1" customWidth="1" outlineLevel="1"/>
    <col min="399" max="399" width="9.06640625" hidden="1" customWidth="1" outlineLevel="1"/>
    <col min="400" max="400" width="12.53125" hidden="1" customWidth="1" outlineLevel="1"/>
    <col min="401" max="401" width="9.06640625" hidden="1" customWidth="1" outlineLevel="1"/>
    <col min="402" max="402" width="12.53125" hidden="1" customWidth="1" outlineLevel="1"/>
    <col min="403" max="403" width="9.06640625" hidden="1" customWidth="1" outlineLevel="1"/>
    <col min="404" max="404" width="12.53125" hidden="1" customWidth="1" outlineLevel="1"/>
    <col min="405" max="405" width="9.06640625" hidden="1" customWidth="1" outlineLevel="1"/>
    <col min="406" max="406" width="12.53125" hidden="1" customWidth="1" outlineLevel="1"/>
    <col min="407" max="407" width="9.06640625" hidden="1" customWidth="1" outlineLevel="1"/>
    <col min="408" max="408" width="12.53125" hidden="1" customWidth="1" outlineLevel="1"/>
    <col min="409" max="409" width="9.06640625" hidden="1" customWidth="1" outlineLevel="1"/>
    <col min="410" max="410" width="12.53125" hidden="1" customWidth="1" outlineLevel="1"/>
    <col min="411" max="411" width="9.06640625" hidden="1" customWidth="1" outlineLevel="1"/>
    <col min="412" max="412" width="12.53125" hidden="1" customWidth="1" outlineLevel="1"/>
    <col min="413" max="413" width="9.06640625" hidden="1" customWidth="1" outlineLevel="1"/>
    <col min="414" max="414" width="12.53125" hidden="1" customWidth="1" outlineLevel="1"/>
    <col min="415" max="415" width="9.06640625" hidden="1" customWidth="1" outlineLevel="1"/>
    <col min="416" max="416" width="12.53125" hidden="1" customWidth="1" outlineLevel="1"/>
    <col min="417" max="417" width="9.06640625" hidden="1" customWidth="1" outlineLevel="1"/>
    <col min="418" max="418" width="12.53125" hidden="1" customWidth="1" outlineLevel="1"/>
    <col min="419" max="419" width="9.06640625" hidden="1" customWidth="1" outlineLevel="1"/>
    <col min="420" max="420" width="12.53125" hidden="1" customWidth="1" outlineLevel="1"/>
    <col min="421" max="421" width="9.06640625" hidden="1" customWidth="1" collapsed="1"/>
    <col min="422" max="422" width="12.53125" hidden="1" customWidth="1"/>
    <col min="423" max="423" width="9.06640625" hidden="1" customWidth="1" outlineLevel="1"/>
    <col min="424" max="424" width="12.53125" hidden="1" customWidth="1" outlineLevel="1"/>
    <col min="425" max="425" width="8.19921875" hidden="1" customWidth="1" collapsed="1"/>
    <col min="426" max="426" width="10.796875" hidden="1" customWidth="1"/>
    <col min="427" max="427" width="8.19921875" hidden="1" customWidth="1"/>
    <col min="428" max="428" width="10.796875" hidden="1" customWidth="1"/>
    <col min="429" max="429" width="8.19921875" hidden="1" customWidth="1"/>
    <col min="430" max="430" width="10.796875" hidden="1" customWidth="1"/>
    <col min="431" max="431" width="8.19921875" hidden="1" customWidth="1"/>
    <col min="432" max="432" width="10.796875" hidden="1" customWidth="1"/>
    <col min="433" max="433" width="1.33203125" customWidth="1"/>
    <col min="434" max="437" width="13" customWidth="1"/>
    <col min="439" max="439" width="12.53125" customWidth="1"/>
    <col min="441" max="441" width="12.53125" customWidth="1"/>
    <col min="442" max="442" width="9.06640625" hidden="1" customWidth="1"/>
    <col min="443" max="443" width="12.53125" hidden="1" customWidth="1"/>
    <col min="444" max="444" width="9.06640625" hidden="1" customWidth="1"/>
    <col min="445" max="445" width="12.53125" hidden="1" customWidth="1"/>
    <col min="446" max="446" width="2" customWidth="1"/>
    <col min="447" max="447" width="2" hidden="1" customWidth="1"/>
    <col min="448" max="448" width="9.06640625" hidden="1" customWidth="1"/>
    <col min="449" max="449" width="12.53125" hidden="1" customWidth="1"/>
    <col min="450" max="450" width="9.06640625" hidden="1" customWidth="1"/>
    <col min="451" max="451" width="12.53125" hidden="1" customWidth="1"/>
    <col min="452" max="452" width="9.06640625" hidden="1" customWidth="1"/>
    <col min="453" max="453" width="12.53125" hidden="1" customWidth="1"/>
    <col min="454" max="454" width="9.06640625" hidden="1" customWidth="1"/>
    <col min="455" max="455" width="12.53125" hidden="1" customWidth="1"/>
    <col min="457" max="457" width="12.53125" customWidth="1"/>
    <col min="459" max="459" width="12.53125" customWidth="1"/>
  </cols>
  <sheetData>
    <row r="1" spans="1:459" ht="25.15" x14ac:dyDescent="0.45">
      <c r="A1" s="135" t="s">
        <v>226</v>
      </c>
      <c r="B1" s="136"/>
      <c r="C1" s="136"/>
      <c r="D1" s="136"/>
      <c r="E1" s="136"/>
      <c r="F1" s="137"/>
      <c r="G1" s="136"/>
      <c r="H1" s="137"/>
      <c r="I1" s="136"/>
      <c r="J1" s="137"/>
      <c r="K1" s="136"/>
      <c r="L1" s="137"/>
      <c r="M1" s="136"/>
      <c r="N1" s="137"/>
      <c r="O1" s="136"/>
      <c r="P1" s="137"/>
      <c r="Q1" s="136"/>
      <c r="R1" s="137"/>
      <c r="S1" s="136"/>
      <c r="T1" s="137"/>
      <c r="U1" s="136"/>
      <c r="V1" s="137"/>
      <c r="W1" s="136"/>
      <c r="X1" s="137"/>
      <c r="Y1" s="136"/>
      <c r="Z1" s="137"/>
      <c r="AA1" s="136"/>
      <c r="AB1" s="137"/>
      <c r="AC1" s="136"/>
      <c r="AD1" s="137"/>
      <c r="AE1" s="136"/>
      <c r="AF1" s="137"/>
      <c r="AG1" s="136"/>
      <c r="AH1" s="137"/>
      <c r="AI1" s="136"/>
      <c r="AJ1" s="137"/>
      <c r="AK1" s="136"/>
      <c r="AL1" s="137"/>
      <c r="AM1" s="136"/>
      <c r="AN1" s="137"/>
      <c r="AO1" s="136"/>
      <c r="AP1" s="137"/>
      <c r="AQ1" s="136"/>
      <c r="AR1" s="137"/>
      <c r="AS1" s="136"/>
      <c r="AT1" s="137"/>
      <c r="AU1" s="136"/>
      <c r="AV1" s="137"/>
      <c r="AW1" s="136"/>
      <c r="AX1" s="137"/>
      <c r="AY1" s="136"/>
      <c r="AZ1" s="137"/>
      <c r="BA1" s="136"/>
      <c r="BB1" s="137"/>
      <c r="BC1" s="136"/>
      <c r="BD1" s="137"/>
      <c r="BE1" s="136"/>
      <c r="BF1" s="137"/>
      <c r="BG1" s="136"/>
      <c r="BH1" s="137"/>
      <c r="BI1" s="136"/>
      <c r="BJ1" s="137"/>
      <c r="BK1" s="136"/>
      <c r="BL1" s="137"/>
      <c r="BM1" s="136"/>
      <c r="BN1" s="137"/>
      <c r="BO1" s="136"/>
      <c r="BP1" s="137"/>
      <c r="BQ1" s="136"/>
      <c r="BR1" s="137"/>
      <c r="BS1" s="136"/>
      <c r="BT1" s="137"/>
      <c r="BU1" s="136"/>
      <c r="BV1" s="137"/>
      <c r="BW1" s="136"/>
      <c r="BX1" s="137"/>
      <c r="BY1" s="136"/>
      <c r="BZ1" s="137"/>
      <c r="CA1" s="136"/>
      <c r="CB1" s="137"/>
      <c r="CC1" s="136"/>
      <c r="CD1" s="137"/>
      <c r="CE1" s="136"/>
      <c r="CF1" s="137"/>
      <c r="CG1" s="136"/>
      <c r="CH1" s="137"/>
      <c r="CI1" s="136"/>
      <c r="CJ1" s="137"/>
      <c r="CK1" s="136"/>
      <c r="CL1" s="137"/>
      <c r="CM1" s="136"/>
      <c r="CN1" s="137"/>
      <c r="CO1" s="136"/>
      <c r="CP1" s="137"/>
      <c r="CQ1" s="136"/>
      <c r="CR1" s="137"/>
      <c r="CS1" s="136"/>
      <c r="CT1" s="136"/>
      <c r="CU1" s="137"/>
      <c r="CV1" s="136"/>
      <c r="CW1" s="138"/>
      <c r="CX1" s="136"/>
      <c r="CY1" s="137"/>
      <c r="CZ1" s="136"/>
      <c r="DA1" s="137"/>
      <c r="DB1" s="136"/>
      <c r="DC1" s="137"/>
      <c r="DD1" s="136"/>
      <c r="DE1" s="137"/>
      <c r="DF1" s="136"/>
      <c r="DG1" s="137"/>
      <c r="DH1" s="136"/>
      <c r="DI1" s="137"/>
      <c r="DJ1" s="136"/>
      <c r="DK1" s="137"/>
      <c r="DL1" s="136"/>
      <c r="DM1" s="137"/>
      <c r="DN1" s="136"/>
      <c r="DO1" s="137"/>
      <c r="DP1" s="136"/>
      <c r="DQ1" s="137"/>
      <c r="DR1" s="136"/>
      <c r="DS1" s="137"/>
      <c r="DT1" s="136"/>
      <c r="DU1" s="137"/>
      <c r="DV1" s="136"/>
      <c r="DW1" s="137"/>
      <c r="DX1" s="136"/>
      <c r="DY1" s="137"/>
      <c r="DZ1" s="136"/>
      <c r="EA1" s="137"/>
      <c r="EB1" s="136"/>
      <c r="EC1" s="137"/>
      <c r="ED1" s="136"/>
      <c r="EE1" s="137"/>
      <c r="EF1" s="136"/>
      <c r="EG1" s="137"/>
      <c r="EH1" s="136"/>
      <c r="EI1" s="137"/>
      <c r="EJ1" s="136"/>
      <c r="EK1" s="137"/>
      <c r="EL1" s="136"/>
      <c r="EM1" s="137"/>
      <c r="EN1" s="136"/>
      <c r="EO1" s="137"/>
      <c r="EP1" s="136"/>
      <c r="EQ1" s="137"/>
      <c r="ER1" s="136"/>
      <c r="ES1" s="137"/>
      <c r="ET1" s="136"/>
      <c r="EU1" s="137"/>
      <c r="EV1" s="136"/>
      <c r="EW1" s="137"/>
      <c r="EX1" s="136"/>
      <c r="EY1" s="137"/>
      <c r="EZ1" s="136"/>
      <c r="FA1" s="137"/>
      <c r="FB1" s="136"/>
      <c r="FC1" s="137"/>
      <c r="FD1" s="136"/>
      <c r="FE1" s="137"/>
      <c r="FF1" s="136"/>
      <c r="FG1" s="137"/>
      <c r="FH1" s="136"/>
      <c r="FI1" s="137"/>
      <c r="FJ1" s="136"/>
      <c r="FK1" s="137"/>
      <c r="FL1" s="136"/>
      <c r="FM1" s="137"/>
      <c r="FN1" s="136"/>
      <c r="FO1" s="137"/>
      <c r="FP1" s="136"/>
      <c r="FQ1" s="136"/>
      <c r="FR1" s="136"/>
      <c r="FS1" s="136"/>
      <c r="FT1" s="136"/>
      <c r="FU1" s="136"/>
      <c r="FV1" s="136"/>
      <c r="FW1" s="136"/>
      <c r="FX1" s="136"/>
      <c r="FY1" s="136"/>
      <c r="FZ1" s="136"/>
      <c r="GA1" s="136"/>
      <c r="GB1" s="136"/>
      <c r="GC1" s="136"/>
      <c r="GD1" s="136"/>
      <c r="GE1" s="136"/>
      <c r="GF1" s="136"/>
      <c r="GG1" s="136"/>
      <c r="GH1" s="136"/>
      <c r="GI1" s="136"/>
      <c r="GJ1" s="136"/>
      <c r="GK1" s="136"/>
      <c r="GL1" s="136"/>
      <c r="GM1" s="136"/>
      <c r="GN1" s="136"/>
      <c r="GO1" s="136"/>
      <c r="GP1" s="136"/>
      <c r="GQ1" s="136"/>
      <c r="GR1" s="136"/>
      <c r="GS1" s="136"/>
      <c r="GT1" s="136"/>
      <c r="GU1" s="136"/>
      <c r="GV1" s="136"/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6"/>
      <c r="HM1" s="136"/>
      <c r="HN1" s="136"/>
      <c r="HO1" s="136"/>
      <c r="HP1" s="136"/>
      <c r="HQ1" s="136"/>
      <c r="HR1" s="136"/>
      <c r="HS1" s="136"/>
      <c r="HT1" s="136"/>
      <c r="HU1" s="136"/>
      <c r="HV1" s="136"/>
      <c r="HW1" s="136"/>
      <c r="HX1" s="136"/>
      <c r="HY1" s="136"/>
      <c r="HZ1" s="136"/>
      <c r="IA1" s="136"/>
      <c r="IB1" s="136"/>
      <c r="IC1" s="136"/>
      <c r="ID1" s="136"/>
      <c r="IE1" s="136"/>
      <c r="IF1" s="136"/>
      <c r="IG1" s="136"/>
      <c r="IH1" s="136"/>
      <c r="II1" s="136"/>
      <c r="IJ1" s="136"/>
      <c r="IK1" s="136"/>
      <c r="IL1" s="136"/>
      <c r="IM1" s="136"/>
      <c r="IN1" s="136"/>
      <c r="IO1" s="136"/>
      <c r="IP1" s="136"/>
      <c r="IQ1" s="136"/>
      <c r="IR1" s="136"/>
      <c r="IS1" s="136"/>
      <c r="IT1" s="136"/>
      <c r="IU1" s="136"/>
      <c r="IV1" s="136"/>
      <c r="IW1" s="136"/>
      <c r="IX1" s="136"/>
      <c r="IY1" s="136"/>
      <c r="IZ1" s="136"/>
      <c r="JA1" s="136"/>
      <c r="JB1" s="136"/>
      <c r="JC1" s="136"/>
      <c r="JD1" s="136"/>
      <c r="JE1" s="136"/>
      <c r="JF1" s="136"/>
      <c r="JG1" s="136"/>
      <c r="JH1" s="136"/>
      <c r="JI1" s="136"/>
      <c r="JJ1" s="136"/>
      <c r="JK1" s="136"/>
      <c r="JL1" s="136"/>
      <c r="JM1" s="136"/>
      <c r="JN1" s="136"/>
      <c r="JO1" s="136"/>
      <c r="JP1" s="136"/>
      <c r="JQ1" s="136"/>
      <c r="JR1" s="136"/>
      <c r="JS1" s="136"/>
      <c r="JT1" s="136"/>
      <c r="JU1" s="136"/>
      <c r="JV1" s="136"/>
      <c r="JW1" s="136"/>
      <c r="JX1" s="136"/>
      <c r="JY1" s="136"/>
      <c r="JZ1" s="136"/>
      <c r="KA1" s="136"/>
      <c r="KB1" s="136"/>
      <c r="KC1" s="136"/>
      <c r="KD1" s="136"/>
      <c r="KE1" s="136"/>
      <c r="KF1" s="136"/>
      <c r="KG1" s="136"/>
      <c r="KH1" s="136"/>
      <c r="KI1" s="136"/>
      <c r="KJ1" s="136"/>
      <c r="KK1" s="136"/>
      <c r="KL1" s="136"/>
      <c r="KM1" s="136"/>
      <c r="KN1" s="136"/>
      <c r="KO1" s="136"/>
      <c r="KP1" s="136"/>
      <c r="KQ1" s="136"/>
      <c r="KR1" s="136"/>
      <c r="KS1" s="136"/>
      <c r="KT1" s="136"/>
      <c r="KU1" s="136"/>
      <c r="KV1" s="136"/>
      <c r="KW1" s="136"/>
      <c r="KX1" s="136"/>
      <c r="KY1" s="136"/>
      <c r="KZ1" s="136"/>
      <c r="LA1" s="136"/>
      <c r="LB1" s="136"/>
      <c r="LC1" s="136"/>
      <c r="LD1" s="136"/>
      <c r="LE1" s="136"/>
      <c r="LF1" s="136"/>
      <c r="LG1" s="136"/>
      <c r="LH1" s="136"/>
      <c r="LI1" s="136"/>
      <c r="LJ1" s="136"/>
      <c r="LK1" s="136"/>
      <c r="LL1" s="136"/>
      <c r="LM1" s="136"/>
      <c r="LN1" s="136"/>
      <c r="LO1" s="136"/>
      <c r="LP1" s="136"/>
      <c r="LQ1" s="136"/>
      <c r="LR1" s="136"/>
      <c r="LS1" s="136"/>
      <c r="LT1" s="136"/>
      <c r="LU1" s="136"/>
      <c r="LV1" s="136"/>
      <c r="LW1" s="136"/>
      <c r="LX1" s="136"/>
      <c r="LY1" s="136"/>
      <c r="LZ1" s="136"/>
      <c r="MA1" s="136"/>
      <c r="MB1" s="136"/>
      <c r="MC1" s="136"/>
      <c r="MD1" s="136"/>
      <c r="ME1" s="136"/>
      <c r="MF1" s="136"/>
      <c r="MG1" s="136"/>
      <c r="MH1" s="136"/>
      <c r="MI1" s="136"/>
      <c r="MJ1" s="136"/>
      <c r="MK1" s="136"/>
      <c r="ML1" s="136"/>
      <c r="MM1" s="136"/>
      <c r="MN1" s="136"/>
      <c r="MO1" s="136"/>
      <c r="MP1" s="136"/>
      <c r="MQ1" s="136"/>
      <c r="MR1" s="136"/>
      <c r="MS1" s="136"/>
      <c r="MT1" s="136"/>
      <c r="MU1" s="136"/>
      <c r="MV1" s="136"/>
      <c r="MW1" s="136"/>
      <c r="MX1" s="136"/>
      <c r="MY1" s="136"/>
      <c r="MZ1" s="136"/>
      <c r="NA1" s="136"/>
      <c r="NB1" s="136"/>
      <c r="NC1" s="136"/>
      <c r="ND1" s="136"/>
      <c r="NE1" s="136"/>
      <c r="NF1" s="136"/>
      <c r="NG1" s="136"/>
      <c r="NH1" s="136"/>
      <c r="NI1" s="136"/>
      <c r="NJ1" s="136"/>
      <c r="NK1" s="136"/>
      <c r="NL1" s="136"/>
      <c r="NM1" s="136"/>
      <c r="NN1" s="136"/>
      <c r="NO1" s="136"/>
      <c r="NP1" s="136"/>
      <c r="NQ1" s="136"/>
      <c r="NR1" s="136"/>
      <c r="NS1" s="136"/>
      <c r="NT1" s="136"/>
      <c r="NU1" s="136"/>
      <c r="NV1" s="136"/>
      <c r="NW1" s="136"/>
      <c r="NX1" s="136"/>
      <c r="NY1" s="136"/>
      <c r="NZ1" s="136"/>
      <c r="OA1" s="136"/>
      <c r="OB1" s="136"/>
      <c r="OC1" s="136"/>
      <c r="OD1" s="136"/>
      <c r="OE1" s="136"/>
      <c r="OF1" s="136"/>
      <c r="OG1" s="136"/>
      <c r="OH1" s="136"/>
      <c r="OI1" s="136"/>
      <c r="OJ1" s="136"/>
      <c r="OK1" s="136"/>
      <c r="OL1" s="136"/>
      <c r="OM1" s="136"/>
      <c r="ON1" s="136"/>
      <c r="OO1" s="136"/>
      <c r="OP1" s="136"/>
      <c r="OQ1" s="136"/>
      <c r="OR1" s="136"/>
      <c r="OS1" s="136"/>
      <c r="OT1" s="136"/>
      <c r="OU1" s="136"/>
      <c r="OV1" s="136"/>
      <c r="OW1" s="136"/>
      <c r="OX1" s="136"/>
      <c r="OY1" s="136"/>
      <c r="OZ1" s="136"/>
      <c r="PA1" s="136"/>
      <c r="PB1" s="136"/>
      <c r="PC1" s="136"/>
      <c r="PD1" s="136"/>
      <c r="PE1" s="136"/>
      <c r="PF1" s="136"/>
      <c r="PG1" s="136"/>
      <c r="PH1" s="136"/>
      <c r="PI1" s="136"/>
      <c r="PJ1" s="136"/>
      <c r="PK1" s="136"/>
      <c r="PL1" s="136"/>
      <c r="PM1" s="136"/>
      <c r="PN1" s="136"/>
      <c r="PO1" s="136"/>
      <c r="PP1" s="136"/>
      <c r="PQ1" s="136"/>
      <c r="PR1" s="136"/>
      <c r="PS1" s="136"/>
      <c r="PT1" s="136"/>
      <c r="PU1" s="136"/>
      <c r="PV1" s="136"/>
      <c r="PW1" s="136"/>
      <c r="PX1" s="136"/>
      <c r="PY1" s="136"/>
      <c r="PZ1" s="136"/>
      <c r="QA1" s="136"/>
      <c r="QB1" s="136"/>
      <c r="QC1" s="136"/>
      <c r="QD1" s="136"/>
      <c r="QE1" s="136"/>
      <c r="QF1" s="136"/>
      <c r="QG1" s="136"/>
      <c r="QH1" s="136"/>
      <c r="QI1" s="136"/>
      <c r="QJ1" s="136"/>
      <c r="QK1" s="136"/>
      <c r="QL1" s="136"/>
      <c r="QM1" s="136"/>
      <c r="QN1" s="136"/>
      <c r="QO1" s="136"/>
      <c r="QP1" s="136"/>
      <c r="QQ1" s="136"/>
    </row>
    <row r="2" spans="1:459" ht="21" x14ac:dyDescent="0.45">
      <c r="A2" s="135" t="s">
        <v>227</v>
      </c>
      <c r="B2" s="136"/>
      <c r="C2" s="136"/>
      <c r="D2" s="139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782" t="s">
        <v>228</v>
      </c>
      <c r="S2" s="783"/>
      <c r="T2" s="782" t="s">
        <v>229</v>
      </c>
      <c r="U2" s="782"/>
      <c r="V2" s="782" t="s">
        <v>230</v>
      </c>
      <c r="W2" s="782"/>
      <c r="X2" s="782" t="s">
        <v>231</v>
      </c>
      <c r="Y2" s="782"/>
      <c r="Z2" s="782" t="s">
        <v>232</v>
      </c>
      <c r="AA2" s="782"/>
      <c r="AB2" s="782" t="s">
        <v>232</v>
      </c>
      <c r="AC2" s="782"/>
      <c r="AD2" s="782" t="s">
        <v>232</v>
      </c>
      <c r="AE2" s="782"/>
      <c r="AF2" s="782" t="s">
        <v>232</v>
      </c>
      <c r="AG2" s="782"/>
      <c r="AH2" s="782" t="s">
        <v>232</v>
      </c>
      <c r="AI2" s="782"/>
      <c r="AJ2" s="782" t="s">
        <v>232</v>
      </c>
      <c r="AK2" s="782"/>
      <c r="AL2" s="782" t="s">
        <v>232</v>
      </c>
      <c r="AM2" s="782"/>
      <c r="AN2" s="782" t="s">
        <v>232</v>
      </c>
      <c r="AO2" s="782"/>
      <c r="AP2" s="782" t="s">
        <v>232</v>
      </c>
      <c r="AQ2" s="782"/>
      <c r="AR2" s="784" t="s">
        <v>232</v>
      </c>
      <c r="AS2" s="785"/>
      <c r="AT2" s="784" t="s">
        <v>232</v>
      </c>
      <c r="AU2" s="785"/>
      <c r="AV2" s="784" t="s">
        <v>232</v>
      </c>
      <c r="AW2" s="785"/>
      <c r="AX2" s="784" t="s">
        <v>232</v>
      </c>
      <c r="AY2" s="785"/>
      <c r="AZ2" s="784" t="s">
        <v>232</v>
      </c>
      <c r="BA2" s="785"/>
      <c r="BB2" s="784" t="s">
        <v>232</v>
      </c>
      <c r="BC2" s="785"/>
      <c r="BD2" s="784" t="s">
        <v>232</v>
      </c>
      <c r="BE2" s="785"/>
      <c r="BF2" s="784" t="s">
        <v>232</v>
      </c>
      <c r="BG2" s="785"/>
      <c r="BH2" s="784" t="s">
        <v>232</v>
      </c>
      <c r="BI2" s="785"/>
      <c r="BJ2" s="784" t="s">
        <v>232</v>
      </c>
      <c r="BK2" s="785"/>
      <c r="BL2" s="784" t="s">
        <v>232</v>
      </c>
      <c r="BM2" s="785"/>
      <c r="BN2" s="784" t="s">
        <v>232</v>
      </c>
      <c r="BO2" s="785"/>
      <c r="BP2" s="784" t="s">
        <v>232</v>
      </c>
      <c r="BQ2" s="785"/>
      <c r="BR2" s="784" t="s">
        <v>232</v>
      </c>
      <c r="BS2" s="785"/>
      <c r="BT2" s="784" t="s">
        <v>232</v>
      </c>
      <c r="BU2" s="785"/>
      <c r="BV2" s="784" t="s">
        <v>232</v>
      </c>
      <c r="BW2" s="785"/>
      <c r="BX2" s="784" t="s">
        <v>232</v>
      </c>
      <c r="BY2" s="785"/>
      <c r="BZ2" s="784" t="s">
        <v>232</v>
      </c>
      <c r="CA2" s="785"/>
      <c r="CB2" s="784" t="s">
        <v>232</v>
      </c>
      <c r="CC2" s="785"/>
      <c r="CD2" s="784" t="s">
        <v>232</v>
      </c>
      <c r="CE2" s="785"/>
      <c r="CF2" s="784" t="s">
        <v>232</v>
      </c>
      <c r="CG2" s="785"/>
      <c r="CH2" s="784" t="s">
        <v>232</v>
      </c>
      <c r="CI2" s="785"/>
      <c r="CJ2" s="784" t="s">
        <v>232</v>
      </c>
      <c r="CK2" s="785"/>
      <c r="CL2" s="784" t="s">
        <v>232</v>
      </c>
      <c r="CM2" s="785"/>
      <c r="CN2" s="784" t="s">
        <v>232</v>
      </c>
      <c r="CO2" s="785"/>
      <c r="CP2" s="784" t="s">
        <v>232</v>
      </c>
      <c r="CQ2" s="785"/>
      <c r="CR2" s="784" t="s">
        <v>232</v>
      </c>
      <c r="CS2" s="785"/>
      <c r="CT2" s="139"/>
      <c r="CU2" s="136"/>
      <c r="CV2" s="136"/>
      <c r="CW2" s="782" t="s">
        <v>228</v>
      </c>
      <c r="CX2" s="783"/>
      <c r="CY2" s="782" t="s">
        <v>229</v>
      </c>
      <c r="CZ2" s="782"/>
      <c r="DA2" s="782" t="s">
        <v>230</v>
      </c>
      <c r="DB2" s="782"/>
      <c r="DC2" s="786" t="s">
        <v>230</v>
      </c>
      <c r="DD2" s="786"/>
      <c r="DE2" s="782" t="s">
        <v>230</v>
      </c>
      <c r="DF2" s="782"/>
      <c r="DG2" s="787" t="s">
        <v>230</v>
      </c>
      <c r="DH2" s="787"/>
      <c r="DI2" s="787" t="s">
        <v>230</v>
      </c>
      <c r="DJ2" s="787"/>
      <c r="DK2" s="787" t="s">
        <v>230</v>
      </c>
      <c r="DL2" s="787"/>
      <c r="DM2" s="787" t="s">
        <v>230</v>
      </c>
      <c r="DN2" s="787"/>
      <c r="DO2" s="787" t="s">
        <v>230</v>
      </c>
      <c r="DP2" s="787"/>
      <c r="DQ2" s="787" t="s">
        <v>230</v>
      </c>
      <c r="DR2" s="787"/>
      <c r="DS2" s="787" t="s">
        <v>230</v>
      </c>
      <c r="DT2" s="787"/>
      <c r="DU2" s="788" t="s">
        <v>230</v>
      </c>
      <c r="DV2" s="789"/>
      <c r="DW2" s="787" t="s">
        <v>230</v>
      </c>
      <c r="DX2" s="787"/>
      <c r="DY2" s="787" t="s">
        <v>230</v>
      </c>
      <c r="DZ2" s="787"/>
      <c r="EA2" s="787" t="s">
        <v>230</v>
      </c>
      <c r="EB2" s="787"/>
      <c r="EC2" s="787" t="s">
        <v>230</v>
      </c>
      <c r="ED2" s="787"/>
      <c r="EE2" s="787" t="s">
        <v>230</v>
      </c>
      <c r="EF2" s="787"/>
      <c r="EG2" s="787" t="s">
        <v>230</v>
      </c>
      <c r="EH2" s="787"/>
      <c r="EI2" s="787" t="s">
        <v>230</v>
      </c>
      <c r="EJ2" s="787"/>
      <c r="EK2" s="787" t="s">
        <v>230</v>
      </c>
      <c r="EL2" s="787"/>
      <c r="EM2" s="787" t="s">
        <v>230</v>
      </c>
      <c r="EN2" s="787"/>
      <c r="EO2" s="787" t="s">
        <v>230</v>
      </c>
      <c r="EP2" s="787"/>
      <c r="EQ2" s="787" t="s">
        <v>230</v>
      </c>
      <c r="ER2" s="787"/>
      <c r="ES2" s="787" t="s">
        <v>230</v>
      </c>
      <c r="ET2" s="787"/>
      <c r="EU2" s="787" t="s">
        <v>230</v>
      </c>
      <c r="EV2" s="787"/>
      <c r="EW2" s="787" t="s">
        <v>230</v>
      </c>
      <c r="EX2" s="787"/>
      <c r="EY2" s="787" t="s">
        <v>230</v>
      </c>
      <c r="EZ2" s="787"/>
      <c r="FA2" s="788" t="s">
        <v>230</v>
      </c>
      <c r="FB2" s="789"/>
      <c r="FC2" s="787" t="s">
        <v>230</v>
      </c>
      <c r="FD2" s="787"/>
      <c r="FE2" s="787" t="s">
        <v>230</v>
      </c>
      <c r="FF2" s="787"/>
      <c r="FG2" s="787" t="s">
        <v>230</v>
      </c>
      <c r="FH2" s="787"/>
      <c r="FI2" s="787" t="s">
        <v>230</v>
      </c>
      <c r="FJ2" s="787"/>
      <c r="FK2" s="787" t="s">
        <v>230</v>
      </c>
      <c r="FL2" s="787"/>
      <c r="FM2" s="787" t="s">
        <v>230</v>
      </c>
      <c r="FN2" s="787"/>
      <c r="FO2" s="787" t="s">
        <v>230</v>
      </c>
      <c r="FP2" s="787"/>
      <c r="FQ2" s="136"/>
      <c r="FR2" s="136"/>
      <c r="FS2" s="136"/>
      <c r="FT2" s="136"/>
      <c r="FU2" s="136"/>
      <c r="FV2" s="136"/>
      <c r="FW2" s="136"/>
      <c r="FX2" s="782" t="s">
        <v>228</v>
      </c>
      <c r="FY2" s="783"/>
      <c r="FZ2" s="782" t="s">
        <v>229</v>
      </c>
      <c r="GA2" s="782"/>
      <c r="GB2" s="782" t="s">
        <v>230</v>
      </c>
      <c r="GC2" s="782"/>
      <c r="GD2" s="782" t="s">
        <v>231</v>
      </c>
      <c r="GE2" s="782"/>
      <c r="GF2" s="782" t="s">
        <v>231</v>
      </c>
      <c r="GG2" s="782"/>
      <c r="GH2" s="782" t="s">
        <v>231</v>
      </c>
      <c r="GI2" s="782"/>
      <c r="GJ2" s="782" t="s">
        <v>231</v>
      </c>
      <c r="GK2" s="782"/>
      <c r="GL2" s="782" t="s">
        <v>231</v>
      </c>
      <c r="GM2" s="782"/>
      <c r="GN2" s="782" t="s">
        <v>231</v>
      </c>
      <c r="GO2" s="782"/>
      <c r="GP2" s="782" t="s">
        <v>231</v>
      </c>
      <c r="GQ2" s="782"/>
      <c r="GR2" s="782" t="s">
        <v>231</v>
      </c>
      <c r="GS2" s="782"/>
      <c r="GT2" s="782" t="s">
        <v>231</v>
      </c>
      <c r="GU2" s="782"/>
      <c r="GV2" s="782" t="s">
        <v>231</v>
      </c>
      <c r="GW2" s="782"/>
      <c r="GX2" s="784" t="s">
        <v>231</v>
      </c>
      <c r="GY2" s="785"/>
      <c r="GZ2" s="784" t="s">
        <v>231</v>
      </c>
      <c r="HA2" s="785"/>
      <c r="HB2" s="784" t="s">
        <v>231</v>
      </c>
      <c r="HC2" s="785"/>
      <c r="HD2" s="784" t="s">
        <v>231</v>
      </c>
      <c r="HE2" s="785"/>
      <c r="HF2" s="784" t="s">
        <v>231</v>
      </c>
      <c r="HG2" s="785"/>
      <c r="HH2" s="784" t="s">
        <v>231</v>
      </c>
      <c r="HI2" s="785"/>
      <c r="HJ2" s="784" t="s">
        <v>231</v>
      </c>
      <c r="HK2" s="785"/>
      <c r="HL2" s="784" t="s">
        <v>231</v>
      </c>
      <c r="HM2" s="785"/>
      <c r="HN2" s="784" t="s">
        <v>231</v>
      </c>
      <c r="HO2" s="785"/>
      <c r="HP2" s="784" t="s">
        <v>231</v>
      </c>
      <c r="HQ2" s="785"/>
      <c r="HR2" s="784" t="s">
        <v>231</v>
      </c>
      <c r="HS2" s="785"/>
      <c r="HT2" s="784" t="s">
        <v>231</v>
      </c>
      <c r="HU2" s="785"/>
      <c r="HV2" s="784" t="s">
        <v>231</v>
      </c>
      <c r="HW2" s="785"/>
      <c r="HX2" s="784" t="s">
        <v>231</v>
      </c>
      <c r="HY2" s="785"/>
      <c r="HZ2" s="784" t="s">
        <v>231</v>
      </c>
      <c r="IA2" s="785"/>
      <c r="IB2" s="784" t="s">
        <v>231</v>
      </c>
      <c r="IC2" s="785"/>
      <c r="ID2" s="784" t="s">
        <v>231</v>
      </c>
      <c r="IE2" s="785"/>
      <c r="IF2" s="784" t="s">
        <v>231</v>
      </c>
      <c r="IG2" s="785"/>
      <c r="IH2" s="784" t="s">
        <v>231</v>
      </c>
      <c r="II2" s="785"/>
      <c r="IJ2" s="784" t="s">
        <v>231</v>
      </c>
      <c r="IK2" s="785"/>
      <c r="IL2" s="784" t="s">
        <v>231</v>
      </c>
      <c r="IM2" s="785"/>
      <c r="IN2" s="784" t="s">
        <v>231</v>
      </c>
      <c r="IO2" s="785"/>
      <c r="IP2" s="784" t="s">
        <v>231</v>
      </c>
      <c r="IQ2" s="785"/>
      <c r="IR2" s="784" t="s">
        <v>231</v>
      </c>
      <c r="IS2" s="785"/>
      <c r="IT2" s="784" t="s">
        <v>231</v>
      </c>
      <c r="IU2" s="785"/>
      <c r="IV2" s="784" t="s">
        <v>231</v>
      </c>
      <c r="IW2" s="785"/>
      <c r="IX2" s="784" t="s">
        <v>231</v>
      </c>
      <c r="IY2" s="785"/>
      <c r="IZ2" s="140"/>
      <c r="JA2" s="784" t="s">
        <v>231</v>
      </c>
      <c r="JB2" s="785"/>
      <c r="JC2" s="784" t="s">
        <v>231</v>
      </c>
      <c r="JD2" s="785"/>
      <c r="JE2" s="136"/>
      <c r="JF2" s="136"/>
      <c r="JG2" s="136"/>
      <c r="JH2" s="136"/>
      <c r="JI2" s="136"/>
      <c r="JJ2" s="136"/>
      <c r="JK2" s="136"/>
      <c r="JL2" s="782" t="s">
        <v>228</v>
      </c>
      <c r="JM2" s="783"/>
      <c r="JN2" s="782" t="s">
        <v>229</v>
      </c>
      <c r="JO2" s="782"/>
      <c r="JP2" s="782" t="s">
        <v>230</v>
      </c>
      <c r="JQ2" s="782"/>
      <c r="JR2" s="782" t="s">
        <v>230</v>
      </c>
      <c r="JS2" s="782"/>
      <c r="JT2" s="782" t="s">
        <v>230</v>
      </c>
      <c r="JU2" s="782"/>
      <c r="JV2" s="782" t="s">
        <v>230</v>
      </c>
      <c r="JW2" s="782"/>
      <c r="JX2" s="782" t="s">
        <v>230</v>
      </c>
      <c r="JY2" s="782"/>
      <c r="JZ2" s="782" t="s">
        <v>230</v>
      </c>
      <c r="KA2" s="782"/>
      <c r="KB2" s="782" t="s">
        <v>230</v>
      </c>
      <c r="KC2" s="782"/>
      <c r="KD2" s="782" t="s">
        <v>230</v>
      </c>
      <c r="KE2" s="782"/>
      <c r="KF2" s="782" t="s">
        <v>230</v>
      </c>
      <c r="KG2" s="782"/>
      <c r="KH2" s="784" t="s">
        <v>230</v>
      </c>
      <c r="KI2" s="785"/>
      <c r="KJ2" s="784" t="s">
        <v>230</v>
      </c>
      <c r="KK2" s="785"/>
      <c r="KL2" s="784" t="s">
        <v>230</v>
      </c>
      <c r="KM2" s="785"/>
      <c r="KN2" s="784" t="s">
        <v>230</v>
      </c>
      <c r="KO2" s="785"/>
      <c r="KP2" s="784" t="s">
        <v>230</v>
      </c>
      <c r="KQ2" s="785"/>
      <c r="KR2" s="784" t="s">
        <v>230</v>
      </c>
      <c r="KS2" s="785"/>
      <c r="KT2" s="784" t="s">
        <v>230</v>
      </c>
      <c r="KU2" s="785"/>
      <c r="KV2" s="784" t="s">
        <v>230</v>
      </c>
      <c r="KW2" s="785"/>
      <c r="KX2" s="784" t="s">
        <v>230</v>
      </c>
      <c r="KY2" s="785"/>
      <c r="KZ2" s="784" t="s">
        <v>230</v>
      </c>
      <c r="LA2" s="785"/>
      <c r="LB2" s="784" t="s">
        <v>230</v>
      </c>
      <c r="LC2" s="785"/>
      <c r="LD2" s="784" t="s">
        <v>230</v>
      </c>
      <c r="LE2" s="785"/>
      <c r="LF2" s="784" t="s">
        <v>230</v>
      </c>
      <c r="LG2" s="785"/>
      <c r="LH2" s="784" t="s">
        <v>230</v>
      </c>
      <c r="LI2" s="785"/>
      <c r="LJ2" s="784" t="s">
        <v>230</v>
      </c>
      <c r="LK2" s="785"/>
      <c r="LL2" s="784" t="s">
        <v>230</v>
      </c>
      <c r="LM2" s="785"/>
      <c r="LN2" s="784" t="s">
        <v>230</v>
      </c>
      <c r="LO2" s="785"/>
      <c r="LP2" s="784" t="s">
        <v>230</v>
      </c>
      <c r="LQ2" s="785"/>
      <c r="LR2" s="784" t="s">
        <v>230</v>
      </c>
      <c r="LS2" s="785"/>
      <c r="LT2" s="784" t="s">
        <v>230</v>
      </c>
      <c r="LU2" s="785"/>
      <c r="LV2" s="784" t="s">
        <v>230</v>
      </c>
      <c r="LW2" s="785"/>
      <c r="LX2" s="784" t="s">
        <v>230</v>
      </c>
      <c r="LY2" s="785"/>
      <c r="LZ2" s="784" t="s">
        <v>230</v>
      </c>
      <c r="MA2" s="785"/>
      <c r="MB2" s="784" t="s">
        <v>230</v>
      </c>
      <c r="MC2" s="785"/>
      <c r="MD2" s="784" t="s">
        <v>230</v>
      </c>
      <c r="ME2" s="785"/>
      <c r="MF2" s="784" t="s">
        <v>230</v>
      </c>
      <c r="MG2" s="785"/>
      <c r="MH2" s="136"/>
      <c r="MI2" s="136"/>
      <c r="MJ2" s="136"/>
      <c r="MK2" s="136"/>
      <c r="ML2" s="136"/>
      <c r="MM2" s="136"/>
      <c r="MN2" s="136"/>
      <c r="MO2" s="782" t="s">
        <v>228</v>
      </c>
      <c r="MP2" s="783"/>
      <c r="MQ2" s="782" t="s">
        <v>229</v>
      </c>
      <c r="MR2" s="782"/>
      <c r="MS2" s="782" t="s">
        <v>230</v>
      </c>
      <c r="MT2" s="782"/>
      <c r="MU2" s="782" t="s">
        <v>230</v>
      </c>
      <c r="MV2" s="782"/>
      <c r="MW2" s="782" t="s">
        <v>230</v>
      </c>
      <c r="MX2" s="782"/>
      <c r="MY2" s="782" t="s">
        <v>230</v>
      </c>
      <c r="MZ2" s="782"/>
      <c r="NA2" s="782" t="s">
        <v>230</v>
      </c>
      <c r="NB2" s="782"/>
      <c r="NC2" s="782" t="s">
        <v>230</v>
      </c>
      <c r="ND2" s="782"/>
      <c r="NE2" s="782" t="s">
        <v>230</v>
      </c>
      <c r="NF2" s="782"/>
      <c r="NG2" s="782" t="s">
        <v>230</v>
      </c>
      <c r="NH2" s="782"/>
      <c r="NI2" s="782" t="s">
        <v>230</v>
      </c>
      <c r="NJ2" s="782"/>
      <c r="NK2" s="784" t="s">
        <v>230</v>
      </c>
      <c r="NL2" s="785"/>
      <c r="NM2" s="784" t="s">
        <v>230</v>
      </c>
      <c r="NN2" s="785"/>
      <c r="NO2" s="784" t="s">
        <v>230</v>
      </c>
      <c r="NP2" s="785"/>
      <c r="NQ2" s="784" t="s">
        <v>230</v>
      </c>
      <c r="NR2" s="785"/>
      <c r="NS2" s="784" t="s">
        <v>230</v>
      </c>
      <c r="NT2" s="785"/>
      <c r="NU2" s="784" t="s">
        <v>230</v>
      </c>
      <c r="NV2" s="785"/>
      <c r="NW2" s="784" t="s">
        <v>230</v>
      </c>
      <c r="NX2" s="785"/>
      <c r="NY2" s="784" t="s">
        <v>230</v>
      </c>
      <c r="NZ2" s="785"/>
      <c r="OA2" s="784" t="s">
        <v>230</v>
      </c>
      <c r="OB2" s="785"/>
      <c r="OC2" s="784" t="s">
        <v>230</v>
      </c>
      <c r="OD2" s="785"/>
      <c r="OE2" s="784" t="s">
        <v>230</v>
      </c>
      <c r="OF2" s="785"/>
      <c r="OG2" s="784" t="s">
        <v>230</v>
      </c>
      <c r="OH2" s="785"/>
      <c r="OI2" s="784" t="s">
        <v>230</v>
      </c>
      <c r="OJ2" s="785"/>
      <c r="OK2" s="784" t="s">
        <v>230</v>
      </c>
      <c r="OL2" s="785"/>
      <c r="OM2" s="784" t="s">
        <v>230</v>
      </c>
      <c r="ON2" s="785"/>
      <c r="OO2" s="784" t="s">
        <v>230</v>
      </c>
      <c r="OP2" s="785"/>
      <c r="OQ2" s="784" t="s">
        <v>230</v>
      </c>
      <c r="OR2" s="785"/>
      <c r="OS2" s="784" t="s">
        <v>230</v>
      </c>
      <c r="OT2" s="785"/>
      <c r="OU2" s="784" t="s">
        <v>230</v>
      </c>
      <c r="OV2" s="785"/>
      <c r="OW2" s="784" t="s">
        <v>230</v>
      </c>
      <c r="OX2" s="785"/>
      <c r="OY2" s="784" t="s">
        <v>230</v>
      </c>
      <c r="OZ2" s="785"/>
      <c r="PA2" s="784" t="s">
        <v>230</v>
      </c>
      <c r="PB2" s="785"/>
      <c r="PC2" s="784" t="s">
        <v>230</v>
      </c>
      <c r="PD2" s="785"/>
      <c r="PE2" s="784" t="s">
        <v>230</v>
      </c>
      <c r="PF2" s="785"/>
      <c r="PG2" s="784" t="s">
        <v>230</v>
      </c>
      <c r="PH2" s="785"/>
      <c r="PI2" s="784" t="s">
        <v>230</v>
      </c>
      <c r="PJ2" s="785"/>
      <c r="PK2" s="784" t="s">
        <v>230</v>
      </c>
      <c r="PL2" s="785"/>
      <c r="PM2" s="784" t="s">
        <v>230</v>
      </c>
      <c r="PN2" s="785"/>
      <c r="PO2" s="784" t="s">
        <v>230</v>
      </c>
      <c r="PP2" s="785"/>
      <c r="PQ2" s="136"/>
      <c r="PR2" s="784" t="s">
        <v>233</v>
      </c>
      <c r="PS2" s="785"/>
      <c r="PT2" s="784" t="s">
        <v>233</v>
      </c>
      <c r="PU2" s="785"/>
      <c r="PV2" s="784" t="s">
        <v>234</v>
      </c>
      <c r="PW2" s="785"/>
      <c r="PX2" s="784" t="s">
        <v>234</v>
      </c>
      <c r="PY2" s="785"/>
      <c r="PZ2" s="784" t="s">
        <v>230</v>
      </c>
      <c r="QA2" s="785"/>
      <c r="QB2" s="784" t="s">
        <v>230</v>
      </c>
      <c r="QC2" s="785"/>
      <c r="QD2" s="136"/>
      <c r="QE2" s="136"/>
      <c r="QF2" s="784" t="s">
        <v>230</v>
      </c>
      <c r="QG2" s="785"/>
      <c r="QH2" s="784" t="s">
        <v>230</v>
      </c>
      <c r="QI2" s="785"/>
      <c r="QJ2" s="784" t="s">
        <v>230</v>
      </c>
      <c r="QK2" s="785"/>
      <c r="QL2" s="784" t="s">
        <v>230</v>
      </c>
      <c r="QM2" s="785"/>
      <c r="QN2" s="784" t="s">
        <v>235</v>
      </c>
      <c r="QO2" s="785"/>
      <c r="QP2" s="784" t="s">
        <v>235</v>
      </c>
      <c r="QQ2" s="785"/>
    </row>
    <row r="3" spans="1:459" ht="21.4" thickBot="1" x14ac:dyDescent="0.5">
      <c r="A3" s="135"/>
      <c r="B3" s="136"/>
      <c r="C3" s="136"/>
      <c r="D3" s="136"/>
      <c r="E3" s="136"/>
      <c r="F3" s="790" t="s">
        <v>236</v>
      </c>
      <c r="G3" s="790"/>
      <c r="H3" s="790" t="s">
        <v>237</v>
      </c>
      <c r="I3" s="790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791" t="s">
        <v>238</v>
      </c>
      <c r="AE3" s="791"/>
      <c r="AF3" s="136"/>
      <c r="AG3" s="136"/>
      <c r="AH3" s="790" t="s">
        <v>239</v>
      </c>
      <c r="AI3" s="790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791" t="s">
        <v>238</v>
      </c>
      <c r="DD3" s="791"/>
      <c r="DE3" s="136"/>
      <c r="DF3" s="136"/>
      <c r="DG3" s="790"/>
      <c r="DH3" s="790"/>
      <c r="DI3" s="790"/>
      <c r="DJ3" s="790"/>
      <c r="DK3" s="790"/>
      <c r="DL3" s="790"/>
      <c r="DM3" s="790"/>
      <c r="DN3" s="790"/>
      <c r="DO3" s="790"/>
      <c r="DP3" s="790"/>
      <c r="DQ3" s="790"/>
      <c r="DR3" s="790"/>
      <c r="DS3" s="790"/>
      <c r="DT3" s="790"/>
      <c r="DU3" s="790"/>
      <c r="DV3" s="790"/>
      <c r="DW3" s="790"/>
      <c r="DX3" s="790"/>
      <c r="DY3" s="790"/>
      <c r="DZ3" s="790"/>
      <c r="EA3" s="790"/>
      <c r="EB3" s="790"/>
      <c r="EC3" s="790"/>
      <c r="ED3" s="790"/>
      <c r="EE3" s="790"/>
      <c r="EF3" s="790"/>
      <c r="EG3" s="790"/>
      <c r="EH3" s="790"/>
      <c r="EI3" s="790"/>
      <c r="EJ3" s="790"/>
      <c r="EK3" s="790"/>
      <c r="EL3" s="790"/>
      <c r="EM3" s="790"/>
      <c r="EN3" s="790"/>
      <c r="EO3" s="790"/>
      <c r="EP3" s="790"/>
      <c r="EQ3" s="790"/>
      <c r="ER3" s="790"/>
      <c r="ES3" s="790"/>
      <c r="ET3" s="790"/>
      <c r="EU3" s="790"/>
      <c r="EV3" s="790"/>
      <c r="EW3" s="790"/>
      <c r="EX3" s="790"/>
      <c r="EY3" s="790"/>
      <c r="EZ3" s="790"/>
      <c r="FA3" s="790"/>
      <c r="FB3" s="790"/>
      <c r="FC3" s="790"/>
      <c r="FD3" s="790"/>
      <c r="FE3" s="790"/>
      <c r="FF3" s="790"/>
      <c r="FG3" s="790"/>
      <c r="FH3" s="790"/>
      <c r="FI3" s="790"/>
      <c r="FJ3" s="790"/>
      <c r="FK3" s="790"/>
      <c r="FL3" s="790"/>
      <c r="FM3" s="790"/>
      <c r="FN3" s="790"/>
      <c r="FO3" s="790"/>
      <c r="FP3" s="790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791" t="s">
        <v>238</v>
      </c>
      <c r="GK3" s="791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797" t="s">
        <v>240</v>
      </c>
      <c r="HY3" s="797"/>
      <c r="HZ3" s="797" t="s">
        <v>240</v>
      </c>
      <c r="IA3" s="797"/>
      <c r="IB3" s="797" t="s">
        <v>240</v>
      </c>
      <c r="IC3" s="797"/>
      <c r="ID3" s="797" t="s">
        <v>240</v>
      </c>
      <c r="IE3" s="797"/>
      <c r="IF3" s="797" t="s">
        <v>240</v>
      </c>
      <c r="IG3" s="797"/>
      <c r="IH3" s="797" t="s">
        <v>240</v>
      </c>
      <c r="II3" s="797"/>
      <c r="IJ3" s="796" t="s">
        <v>240</v>
      </c>
      <c r="IK3" s="796"/>
      <c r="IL3" s="796" t="s">
        <v>240</v>
      </c>
      <c r="IM3" s="796"/>
      <c r="IN3" s="796" t="s">
        <v>240</v>
      </c>
      <c r="IO3" s="796"/>
      <c r="IP3" s="796" t="s">
        <v>240</v>
      </c>
      <c r="IQ3" s="796"/>
      <c r="IR3" s="796" t="s">
        <v>240</v>
      </c>
      <c r="IS3" s="796"/>
      <c r="IT3" s="796" t="s">
        <v>240</v>
      </c>
      <c r="IU3" s="796"/>
      <c r="IV3" s="796" t="s">
        <v>240</v>
      </c>
      <c r="IW3" s="796"/>
      <c r="IX3" s="796" t="s">
        <v>240</v>
      </c>
      <c r="IY3" s="79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791" t="s">
        <v>238</v>
      </c>
      <c r="JU3" s="791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791" t="s">
        <v>238</v>
      </c>
      <c r="MX3" s="791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</row>
    <row r="4" spans="1:459" ht="14.65" thickTop="1" x14ac:dyDescent="0.45">
      <c r="A4" s="792" t="s">
        <v>241</v>
      </c>
      <c r="B4" s="141" t="s">
        <v>242</v>
      </c>
      <c r="C4" s="142"/>
      <c r="D4" s="143"/>
      <c r="E4" s="144"/>
      <c r="F4" s="794" t="s">
        <v>243</v>
      </c>
      <c r="G4" s="795"/>
      <c r="H4" s="794" t="s">
        <v>244</v>
      </c>
      <c r="I4" s="795"/>
      <c r="J4" s="794" t="s">
        <v>245</v>
      </c>
      <c r="K4" s="795"/>
      <c r="L4" s="794">
        <v>2019</v>
      </c>
      <c r="M4" s="795"/>
      <c r="N4" s="794">
        <v>2020</v>
      </c>
      <c r="O4" s="795"/>
      <c r="P4" s="794">
        <v>2021</v>
      </c>
      <c r="Q4" s="795"/>
      <c r="R4" s="798">
        <v>2022</v>
      </c>
      <c r="S4" s="799"/>
      <c r="T4" s="798">
        <v>2022</v>
      </c>
      <c r="U4" s="799"/>
      <c r="V4" s="798">
        <v>2022</v>
      </c>
      <c r="W4" s="799"/>
      <c r="X4" s="798">
        <v>2022</v>
      </c>
      <c r="Y4" s="799"/>
      <c r="Z4" s="798">
        <v>2022</v>
      </c>
      <c r="AA4" s="799"/>
      <c r="AB4" s="802">
        <v>2022</v>
      </c>
      <c r="AC4" s="803"/>
      <c r="AD4" s="804">
        <v>2022</v>
      </c>
      <c r="AE4" s="805"/>
      <c r="AF4" s="800">
        <v>2022</v>
      </c>
      <c r="AG4" s="801"/>
      <c r="AH4" s="806">
        <v>2023</v>
      </c>
      <c r="AI4" s="807"/>
      <c r="AJ4" s="800">
        <v>2023</v>
      </c>
      <c r="AK4" s="801"/>
      <c r="AL4" s="800">
        <v>2023</v>
      </c>
      <c r="AM4" s="801"/>
      <c r="AN4" s="800">
        <v>2023</v>
      </c>
      <c r="AO4" s="801"/>
      <c r="AP4" s="800">
        <v>2023</v>
      </c>
      <c r="AQ4" s="801"/>
      <c r="AR4" s="800">
        <v>2023</v>
      </c>
      <c r="AS4" s="801"/>
      <c r="AT4" s="800">
        <v>2023</v>
      </c>
      <c r="AU4" s="801"/>
      <c r="AV4" s="800">
        <v>2023</v>
      </c>
      <c r="AW4" s="801"/>
      <c r="AX4" s="800">
        <v>2023</v>
      </c>
      <c r="AY4" s="801"/>
      <c r="AZ4" s="800">
        <v>2023</v>
      </c>
      <c r="BA4" s="801"/>
      <c r="BB4" s="800">
        <v>2023</v>
      </c>
      <c r="BC4" s="801"/>
      <c r="BD4" s="800">
        <v>2023</v>
      </c>
      <c r="BE4" s="801"/>
      <c r="BF4" s="800">
        <v>2023</v>
      </c>
      <c r="BG4" s="801"/>
      <c r="BH4" s="800">
        <v>2023</v>
      </c>
      <c r="BI4" s="801"/>
      <c r="BJ4" s="800">
        <v>2023</v>
      </c>
      <c r="BK4" s="801"/>
      <c r="BL4" s="808">
        <v>2023</v>
      </c>
      <c r="BM4" s="809"/>
      <c r="BN4" s="800">
        <v>2024</v>
      </c>
      <c r="BO4" s="801"/>
      <c r="BP4" s="800">
        <v>2024</v>
      </c>
      <c r="BQ4" s="801"/>
      <c r="BR4" s="800">
        <v>2024</v>
      </c>
      <c r="BS4" s="801"/>
      <c r="BT4" s="800">
        <v>2024</v>
      </c>
      <c r="BU4" s="801"/>
      <c r="BV4" s="800">
        <v>2024</v>
      </c>
      <c r="BW4" s="801"/>
      <c r="BX4" s="800">
        <v>2024</v>
      </c>
      <c r="BY4" s="801"/>
      <c r="BZ4" s="800">
        <v>2024</v>
      </c>
      <c r="CA4" s="801"/>
      <c r="CB4" s="800">
        <v>2024</v>
      </c>
      <c r="CC4" s="801"/>
      <c r="CD4" s="800">
        <v>2024</v>
      </c>
      <c r="CE4" s="801"/>
      <c r="CF4" s="800">
        <v>2024</v>
      </c>
      <c r="CG4" s="801"/>
      <c r="CH4" s="800">
        <v>2024</v>
      </c>
      <c r="CI4" s="801"/>
      <c r="CJ4" s="800">
        <v>2024</v>
      </c>
      <c r="CK4" s="801"/>
      <c r="CL4" s="808">
        <v>2024</v>
      </c>
      <c r="CM4" s="809"/>
      <c r="CN4" s="800">
        <v>2024</v>
      </c>
      <c r="CO4" s="801"/>
      <c r="CP4" s="810">
        <v>2025</v>
      </c>
      <c r="CQ4" s="811"/>
      <c r="CR4" s="810">
        <v>2025</v>
      </c>
      <c r="CS4" s="811"/>
      <c r="CT4" s="145"/>
      <c r="CU4" s="802">
        <v>2021</v>
      </c>
      <c r="CV4" s="803"/>
      <c r="CW4" s="808">
        <v>2022</v>
      </c>
      <c r="CX4" s="809"/>
      <c r="CY4" s="808">
        <v>2022</v>
      </c>
      <c r="CZ4" s="809"/>
      <c r="DA4" s="794">
        <v>2022</v>
      </c>
      <c r="DB4" s="795"/>
      <c r="DC4" s="804">
        <v>2022</v>
      </c>
      <c r="DD4" s="805"/>
      <c r="DE4" s="800">
        <v>2022</v>
      </c>
      <c r="DF4" s="801"/>
      <c r="DG4" s="806">
        <v>2023</v>
      </c>
      <c r="DH4" s="807"/>
      <c r="DI4" s="800">
        <v>2023</v>
      </c>
      <c r="DJ4" s="801"/>
      <c r="DK4" s="800">
        <v>2023</v>
      </c>
      <c r="DL4" s="801"/>
      <c r="DM4" s="800">
        <v>2023</v>
      </c>
      <c r="DN4" s="801"/>
      <c r="DO4" s="800">
        <v>2023</v>
      </c>
      <c r="DP4" s="801"/>
      <c r="DQ4" s="812" t="s">
        <v>246</v>
      </c>
      <c r="DR4" s="813"/>
      <c r="DS4" s="812">
        <v>2023</v>
      </c>
      <c r="DT4" s="813"/>
      <c r="DU4" s="800">
        <v>2023</v>
      </c>
      <c r="DV4" s="801"/>
      <c r="DW4" s="800">
        <v>2023</v>
      </c>
      <c r="DX4" s="801"/>
      <c r="DY4" s="800">
        <v>2023</v>
      </c>
      <c r="DZ4" s="801"/>
      <c r="EA4" s="800">
        <v>2023</v>
      </c>
      <c r="EB4" s="801"/>
      <c r="EC4" s="800">
        <v>2023</v>
      </c>
      <c r="ED4" s="801"/>
      <c r="EE4" s="800">
        <v>2023</v>
      </c>
      <c r="EF4" s="801"/>
      <c r="EG4" s="800">
        <v>2023</v>
      </c>
      <c r="EH4" s="801"/>
      <c r="EI4" s="800">
        <v>2023</v>
      </c>
      <c r="EJ4" s="801"/>
      <c r="EK4" s="808">
        <v>2023</v>
      </c>
      <c r="EL4" s="809"/>
      <c r="EM4" s="800">
        <v>2024</v>
      </c>
      <c r="EN4" s="801"/>
      <c r="EO4" s="800">
        <v>2024</v>
      </c>
      <c r="EP4" s="801"/>
      <c r="EQ4" s="800">
        <v>2024</v>
      </c>
      <c r="ER4" s="801"/>
      <c r="ES4" s="800">
        <v>2024</v>
      </c>
      <c r="ET4" s="801"/>
      <c r="EU4" s="800">
        <v>2024</v>
      </c>
      <c r="EV4" s="801"/>
      <c r="EW4" s="800">
        <v>2024</v>
      </c>
      <c r="EX4" s="801"/>
      <c r="EY4" s="800">
        <v>2024</v>
      </c>
      <c r="EZ4" s="801"/>
      <c r="FA4" s="800">
        <v>2024</v>
      </c>
      <c r="FB4" s="801"/>
      <c r="FC4" s="800">
        <v>2024</v>
      </c>
      <c r="FD4" s="801"/>
      <c r="FE4" s="800">
        <v>2024</v>
      </c>
      <c r="FF4" s="801"/>
      <c r="FG4" s="800">
        <v>2024</v>
      </c>
      <c r="FH4" s="801"/>
      <c r="FI4" s="800">
        <v>2024</v>
      </c>
      <c r="FJ4" s="801"/>
      <c r="FK4" s="808">
        <v>2024</v>
      </c>
      <c r="FL4" s="809"/>
      <c r="FM4" s="800">
        <v>2025</v>
      </c>
      <c r="FN4" s="801"/>
      <c r="FO4" s="810">
        <v>2025</v>
      </c>
      <c r="FP4" s="811"/>
      <c r="FQ4" s="144"/>
      <c r="FR4" s="802">
        <v>2019</v>
      </c>
      <c r="FS4" s="803"/>
      <c r="FT4" s="802">
        <v>2020</v>
      </c>
      <c r="FU4" s="803"/>
      <c r="FV4" s="802">
        <v>2021</v>
      </c>
      <c r="FW4" s="803"/>
      <c r="FX4" s="798">
        <v>2022</v>
      </c>
      <c r="FY4" s="799"/>
      <c r="FZ4" s="798">
        <v>2022</v>
      </c>
      <c r="GA4" s="799"/>
      <c r="GB4" s="798">
        <v>2022</v>
      </c>
      <c r="GC4" s="799"/>
      <c r="GD4" s="798">
        <v>2022</v>
      </c>
      <c r="GE4" s="799"/>
      <c r="GF4" s="798">
        <v>2022</v>
      </c>
      <c r="GG4" s="799"/>
      <c r="GH4" s="802">
        <v>2022</v>
      </c>
      <c r="GI4" s="803"/>
      <c r="GJ4" s="804">
        <v>2022</v>
      </c>
      <c r="GK4" s="805"/>
      <c r="GL4" s="800">
        <v>2022</v>
      </c>
      <c r="GM4" s="801"/>
      <c r="GN4" s="806">
        <v>2023</v>
      </c>
      <c r="GO4" s="807"/>
      <c r="GP4" s="800">
        <v>2023</v>
      </c>
      <c r="GQ4" s="801"/>
      <c r="GR4" s="800">
        <v>2023</v>
      </c>
      <c r="GS4" s="801"/>
      <c r="GT4" s="800">
        <v>2023</v>
      </c>
      <c r="GU4" s="801"/>
      <c r="GV4" s="800">
        <v>2023</v>
      </c>
      <c r="GW4" s="801"/>
      <c r="GX4" s="800">
        <v>2023</v>
      </c>
      <c r="GY4" s="801"/>
      <c r="GZ4" s="800">
        <v>2023</v>
      </c>
      <c r="HA4" s="801"/>
      <c r="HB4" s="800">
        <v>2023</v>
      </c>
      <c r="HC4" s="801"/>
      <c r="HD4" s="800">
        <v>2023</v>
      </c>
      <c r="HE4" s="801"/>
      <c r="HF4" s="800">
        <v>2023</v>
      </c>
      <c r="HG4" s="801"/>
      <c r="HH4" s="800">
        <v>2023</v>
      </c>
      <c r="HI4" s="801"/>
      <c r="HJ4" s="800">
        <v>2023</v>
      </c>
      <c r="HK4" s="801"/>
      <c r="HL4" s="800">
        <v>2023</v>
      </c>
      <c r="HM4" s="801"/>
      <c r="HN4" s="800">
        <v>2023</v>
      </c>
      <c r="HO4" s="801"/>
      <c r="HP4" s="800">
        <v>2023</v>
      </c>
      <c r="HQ4" s="801"/>
      <c r="HR4" s="808">
        <v>2023</v>
      </c>
      <c r="HS4" s="809"/>
      <c r="HT4" s="800">
        <v>2024</v>
      </c>
      <c r="HU4" s="801"/>
      <c r="HV4" s="800">
        <v>2024</v>
      </c>
      <c r="HW4" s="801"/>
      <c r="HX4" s="814">
        <v>2024</v>
      </c>
      <c r="HY4" s="815"/>
      <c r="HZ4" s="814">
        <v>2024</v>
      </c>
      <c r="IA4" s="815"/>
      <c r="IB4" s="814">
        <v>2024</v>
      </c>
      <c r="IC4" s="815"/>
      <c r="ID4" s="814">
        <v>2024</v>
      </c>
      <c r="IE4" s="815"/>
      <c r="IF4" s="814">
        <v>2024</v>
      </c>
      <c r="IG4" s="815"/>
      <c r="IH4" s="814">
        <v>2024</v>
      </c>
      <c r="II4" s="815"/>
      <c r="IJ4" s="814">
        <v>2024</v>
      </c>
      <c r="IK4" s="815"/>
      <c r="IL4" s="814">
        <v>2024</v>
      </c>
      <c r="IM4" s="815"/>
      <c r="IN4" s="814">
        <v>2024</v>
      </c>
      <c r="IO4" s="815"/>
      <c r="IP4" s="814">
        <v>2024</v>
      </c>
      <c r="IQ4" s="815"/>
      <c r="IR4" s="814">
        <v>2024</v>
      </c>
      <c r="IS4" s="815"/>
      <c r="IT4" s="816">
        <v>2024</v>
      </c>
      <c r="IU4" s="817"/>
      <c r="IV4" s="814">
        <v>2024</v>
      </c>
      <c r="IW4" s="815"/>
      <c r="IX4" s="810">
        <v>2025</v>
      </c>
      <c r="IY4" s="811"/>
      <c r="IZ4" s="144"/>
      <c r="JA4" s="810">
        <v>2024</v>
      </c>
      <c r="JB4" s="811"/>
      <c r="JC4" s="810">
        <v>2024</v>
      </c>
      <c r="JD4" s="811"/>
      <c r="JE4" s="144"/>
      <c r="JF4" s="794">
        <v>2019</v>
      </c>
      <c r="JG4" s="795"/>
      <c r="JH4" s="794">
        <v>2020</v>
      </c>
      <c r="JI4" s="795"/>
      <c r="JJ4" s="794">
        <v>2021</v>
      </c>
      <c r="JK4" s="795"/>
      <c r="JL4" s="798">
        <v>2022</v>
      </c>
      <c r="JM4" s="799"/>
      <c r="JN4" s="798">
        <v>2022</v>
      </c>
      <c r="JO4" s="799"/>
      <c r="JP4" s="798">
        <v>2022</v>
      </c>
      <c r="JQ4" s="799"/>
      <c r="JR4" s="802">
        <v>2022</v>
      </c>
      <c r="JS4" s="803"/>
      <c r="JT4" s="804">
        <v>2022</v>
      </c>
      <c r="JU4" s="805"/>
      <c r="JV4" s="800">
        <v>2022</v>
      </c>
      <c r="JW4" s="801"/>
      <c r="JX4" s="806">
        <v>2023</v>
      </c>
      <c r="JY4" s="807"/>
      <c r="JZ4" s="800">
        <v>2023</v>
      </c>
      <c r="KA4" s="801"/>
      <c r="KB4" s="800">
        <v>2023</v>
      </c>
      <c r="KC4" s="801"/>
      <c r="KD4" s="800">
        <v>2023</v>
      </c>
      <c r="KE4" s="801"/>
      <c r="KF4" s="800">
        <v>2023</v>
      </c>
      <c r="KG4" s="801"/>
      <c r="KH4" s="818" t="s">
        <v>246</v>
      </c>
      <c r="KI4" s="819"/>
      <c r="KJ4" s="818">
        <v>2023</v>
      </c>
      <c r="KK4" s="819"/>
      <c r="KL4" s="800">
        <v>2023</v>
      </c>
      <c r="KM4" s="801"/>
      <c r="KN4" s="800">
        <v>2023</v>
      </c>
      <c r="KO4" s="801"/>
      <c r="KP4" s="800">
        <v>2023</v>
      </c>
      <c r="KQ4" s="801"/>
      <c r="KR4" s="800">
        <v>2023</v>
      </c>
      <c r="KS4" s="801"/>
      <c r="KT4" s="800">
        <v>2023</v>
      </c>
      <c r="KU4" s="801"/>
      <c r="KV4" s="800">
        <v>2023</v>
      </c>
      <c r="KW4" s="801"/>
      <c r="KX4" s="800">
        <v>2023</v>
      </c>
      <c r="KY4" s="801"/>
      <c r="KZ4" s="800">
        <v>2023</v>
      </c>
      <c r="LA4" s="801"/>
      <c r="LB4" s="808">
        <v>2023</v>
      </c>
      <c r="LC4" s="809"/>
      <c r="LD4" s="800">
        <v>2023</v>
      </c>
      <c r="LE4" s="801"/>
      <c r="LF4" s="800">
        <v>2023</v>
      </c>
      <c r="LG4" s="801"/>
      <c r="LH4" s="800">
        <v>2023</v>
      </c>
      <c r="LI4" s="801"/>
      <c r="LJ4" s="800">
        <v>2023</v>
      </c>
      <c r="LK4" s="801"/>
      <c r="LL4" s="800">
        <v>2023</v>
      </c>
      <c r="LM4" s="801"/>
      <c r="LN4" s="800">
        <v>2023</v>
      </c>
      <c r="LO4" s="801"/>
      <c r="LP4" s="800">
        <v>2023</v>
      </c>
      <c r="LQ4" s="801"/>
      <c r="LR4" s="800">
        <v>2024</v>
      </c>
      <c r="LS4" s="801"/>
      <c r="LT4" s="800">
        <v>2024</v>
      </c>
      <c r="LU4" s="801"/>
      <c r="LV4" s="800">
        <v>2024</v>
      </c>
      <c r="LW4" s="801"/>
      <c r="LX4" s="800">
        <v>2024</v>
      </c>
      <c r="LY4" s="801"/>
      <c r="LZ4" s="800">
        <v>2024</v>
      </c>
      <c r="MA4" s="801"/>
      <c r="MB4" s="808">
        <v>2024</v>
      </c>
      <c r="MC4" s="809"/>
      <c r="MD4" s="800">
        <v>2025</v>
      </c>
      <c r="ME4" s="801"/>
      <c r="MF4" s="810" t="s">
        <v>247</v>
      </c>
      <c r="MG4" s="811"/>
      <c r="MH4" s="144"/>
      <c r="MI4" s="802">
        <v>2019</v>
      </c>
      <c r="MJ4" s="803"/>
      <c r="MK4" s="802">
        <v>2020</v>
      </c>
      <c r="ML4" s="803"/>
      <c r="MM4" s="802">
        <v>2021</v>
      </c>
      <c r="MN4" s="803"/>
      <c r="MO4" s="798">
        <v>2022</v>
      </c>
      <c r="MP4" s="799"/>
      <c r="MQ4" s="798">
        <v>2022</v>
      </c>
      <c r="MR4" s="799"/>
      <c r="MS4" s="798">
        <v>2022</v>
      </c>
      <c r="MT4" s="799"/>
      <c r="MU4" s="802">
        <v>2022</v>
      </c>
      <c r="MV4" s="803"/>
      <c r="MW4" s="804">
        <v>2022</v>
      </c>
      <c r="MX4" s="805"/>
      <c r="MY4" s="800">
        <v>2022</v>
      </c>
      <c r="MZ4" s="801"/>
      <c r="NA4" s="806">
        <v>2022</v>
      </c>
      <c r="NB4" s="807"/>
      <c r="NC4" s="800">
        <v>2023</v>
      </c>
      <c r="ND4" s="801"/>
      <c r="NE4" s="800">
        <v>2023</v>
      </c>
      <c r="NF4" s="801"/>
      <c r="NG4" s="800">
        <v>2023</v>
      </c>
      <c r="NH4" s="801"/>
      <c r="NI4" s="800">
        <v>2023</v>
      </c>
      <c r="NJ4" s="801"/>
      <c r="NK4" s="818" t="s">
        <v>246</v>
      </c>
      <c r="NL4" s="819"/>
      <c r="NM4" s="818">
        <v>2022</v>
      </c>
      <c r="NN4" s="819"/>
      <c r="NO4" s="800">
        <v>2023</v>
      </c>
      <c r="NP4" s="801"/>
      <c r="NQ4" s="800">
        <v>2023</v>
      </c>
      <c r="NR4" s="801"/>
      <c r="NS4" s="800">
        <v>2023</v>
      </c>
      <c r="NT4" s="801"/>
      <c r="NU4" s="800">
        <v>2023</v>
      </c>
      <c r="NV4" s="801"/>
      <c r="NW4" s="800">
        <v>2023</v>
      </c>
      <c r="NX4" s="801"/>
      <c r="NY4" s="800">
        <v>2023</v>
      </c>
      <c r="NZ4" s="801"/>
      <c r="OA4" s="800">
        <v>2023</v>
      </c>
      <c r="OB4" s="801"/>
      <c r="OC4" s="800">
        <v>2023</v>
      </c>
      <c r="OD4" s="801"/>
      <c r="OE4" s="808">
        <v>2023</v>
      </c>
      <c r="OF4" s="809"/>
      <c r="OG4" s="800">
        <v>2024</v>
      </c>
      <c r="OH4" s="801"/>
      <c r="OI4" s="800">
        <v>2024</v>
      </c>
      <c r="OJ4" s="801"/>
      <c r="OK4" s="800">
        <v>2024</v>
      </c>
      <c r="OL4" s="801"/>
      <c r="OM4" s="800">
        <v>2024</v>
      </c>
      <c r="ON4" s="801"/>
      <c r="OO4" s="800">
        <v>2024</v>
      </c>
      <c r="OP4" s="801"/>
      <c r="OQ4" s="800">
        <v>2024</v>
      </c>
      <c r="OR4" s="801"/>
      <c r="OS4" s="800">
        <v>2024</v>
      </c>
      <c r="OT4" s="801"/>
      <c r="OU4" s="800">
        <v>2024</v>
      </c>
      <c r="OV4" s="801"/>
      <c r="OW4" s="800">
        <v>2024</v>
      </c>
      <c r="OX4" s="801"/>
      <c r="OY4" s="800">
        <v>2024</v>
      </c>
      <c r="OZ4" s="801"/>
      <c r="PA4" s="800">
        <v>2024</v>
      </c>
      <c r="PB4" s="801"/>
      <c r="PC4" s="800">
        <v>2024</v>
      </c>
      <c r="PD4" s="801"/>
      <c r="PE4" s="808">
        <v>2024</v>
      </c>
      <c r="PF4" s="809"/>
      <c r="PG4" s="800">
        <f>MD4</f>
        <v>2025</v>
      </c>
      <c r="PH4" s="801"/>
      <c r="PI4" s="822">
        <v>2023</v>
      </c>
      <c r="PJ4" s="823"/>
      <c r="PK4" s="822">
        <v>2023</v>
      </c>
      <c r="PL4" s="823"/>
      <c r="PM4" s="810">
        <v>2025</v>
      </c>
      <c r="PN4" s="811"/>
      <c r="PO4" s="810">
        <v>2025</v>
      </c>
      <c r="PP4" s="811"/>
      <c r="PQ4" s="145"/>
      <c r="PR4" s="814">
        <v>2025</v>
      </c>
      <c r="PS4" s="815"/>
      <c r="PT4" s="814">
        <v>2025</v>
      </c>
      <c r="PU4" s="815"/>
      <c r="PV4" s="820">
        <v>2025</v>
      </c>
      <c r="PW4" s="821"/>
      <c r="PX4" s="820">
        <v>2025</v>
      </c>
      <c r="PY4" s="821"/>
      <c r="PZ4" s="810">
        <v>2025</v>
      </c>
      <c r="QA4" s="811"/>
      <c r="QB4" s="810">
        <v>2025</v>
      </c>
      <c r="QC4" s="811"/>
      <c r="QD4" s="145"/>
      <c r="QE4" s="145"/>
      <c r="QF4" s="810">
        <v>2025</v>
      </c>
      <c r="QG4" s="811"/>
      <c r="QH4" s="810">
        <v>2025</v>
      </c>
      <c r="QI4" s="811"/>
      <c r="QJ4" s="810">
        <v>2025</v>
      </c>
      <c r="QK4" s="811"/>
      <c r="QL4" s="810">
        <v>2025</v>
      </c>
      <c r="QM4" s="811"/>
      <c r="QN4" s="810">
        <v>2025</v>
      </c>
      <c r="QO4" s="811"/>
      <c r="QP4" s="810">
        <v>2025</v>
      </c>
      <c r="QQ4" s="811"/>
    </row>
    <row r="5" spans="1:459" x14ac:dyDescent="0.45">
      <c r="A5" s="793"/>
      <c r="B5" s="146" t="s">
        <v>248</v>
      </c>
      <c r="C5" s="147"/>
      <c r="D5" s="148"/>
      <c r="E5" s="144"/>
      <c r="F5" s="149"/>
      <c r="G5" s="150"/>
      <c r="H5" s="149"/>
      <c r="I5" s="150"/>
      <c r="J5" s="149"/>
      <c r="K5" s="150"/>
      <c r="L5" s="149"/>
      <c r="M5" s="150"/>
      <c r="N5" s="149"/>
      <c r="O5" s="150"/>
      <c r="P5" s="828"/>
      <c r="Q5" s="829"/>
      <c r="R5" s="830" t="str">
        <f>CW5</f>
        <v>Jan - Mar</v>
      </c>
      <c r="S5" s="831"/>
      <c r="T5" s="151"/>
      <c r="U5" s="152"/>
      <c r="V5" s="151"/>
      <c r="W5" s="152"/>
      <c r="X5" s="151"/>
      <c r="Y5" s="152"/>
      <c r="Z5" s="830" t="s">
        <v>249</v>
      </c>
      <c r="AA5" s="831"/>
      <c r="AB5" s="828"/>
      <c r="AC5" s="829"/>
      <c r="AD5" s="832" t="s">
        <v>250</v>
      </c>
      <c r="AE5" s="833"/>
      <c r="AF5" s="824" t="s">
        <v>251</v>
      </c>
      <c r="AG5" s="825"/>
      <c r="AH5" s="834" t="s">
        <v>252</v>
      </c>
      <c r="AI5" s="835"/>
      <c r="AJ5" s="824" t="str">
        <f>DI5</f>
        <v>COGS Jan 2023</v>
      </c>
      <c r="AK5" s="825"/>
      <c r="AL5" s="824" t="str">
        <f>DK5</f>
        <v>COGS Feb 2023</v>
      </c>
      <c r="AM5" s="825"/>
      <c r="AN5" s="824" t="str">
        <f>DM5</f>
        <v>COGS Mar 2023</v>
      </c>
      <c r="AO5" s="825"/>
      <c r="AP5" s="824" t="str">
        <f>DO5</f>
        <v>COGS Apr 2023</v>
      </c>
      <c r="AQ5" s="825"/>
      <c r="AR5" s="826" t="str">
        <f>DQ5</f>
        <v>Old FOB New Situation</v>
      </c>
      <c r="AS5" s="827"/>
      <c r="AT5" s="826" t="str">
        <f>DS5</f>
        <v>Proposal new FOB</v>
      </c>
      <c r="AU5" s="827"/>
      <c r="AV5" s="824" t="str">
        <f>DU5</f>
        <v>COGS May 2023</v>
      </c>
      <c r="AW5" s="825"/>
      <c r="AX5" s="824" t="str">
        <f>DW5</f>
        <v>COGS Jun 2023</v>
      </c>
      <c r="AY5" s="825"/>
      <c r="AZ5" s="824" t="str">
        <f>DY5</f>
        <v>COGS Jul 2023</v>
      </c>
      <c r="BA5" s="825"/>
      <c r="BB5" s="824" t="str">
        <f>EA5</f>
        <v>COGS Aug 2023</v>
      </c>
      <c r="BC5" s="825"/>
      <c r="BD5" s="824" t="str">
        <f>EC5</f>
        <v>COGS Sep 2023</v>
      </c>
      <c r="BE5" s="825"/>
      <c r="BF5" s="824" t="str">
        <f>EE5</f>
        <v>COGS Oct 2023</v>
      </c>
      <c r="BG5" s="825"/>
      <c r="BH5" s="824" t="str">
        <f>EG5</f>
        <v>COGS Nov 2023</v>
      </c>
      <c r="BI5" s="825"/>
      <c r="BJ5" s="824" t="str">
        <f>EI5</f>
        <v>COGS Dec 2023</v>
      </c>
      <c r="BK5" s="825"/>
      <c r="BL5" s="830" t="str">
        <f>EK5</f>
        <v>FY 2023</v>
      </c>
      <c r="BM5" s="831"/>
      <c r="BN5" s="824" t="str">
        <f>EM5</f>
        <v>COGS Jan 2024</v>
      </c>
      <c r="BO5" s="825"/>
      <c r="BP5" s="824" t="str">
        <f>EO5</f>
        <v>COGS Feb 2024</v>
      </c>
      <c r="BQ5" s="825"/>
      <c r="BR5" s="824" t="str">
        <f>EQ5</f>
        <v>COGS Mar 2024</v>
      </c>
      <c r="BS5" s="825"/>
      <c r="BT5" s="824" t="str">
        <f>ES5</f>
        <v>COGS Apr 2024</v>
      </c>
      <c r="BU5" s="825"/>
      <c r="BV5" s="824" t="str">
        <f>EU5</f>
        <v>COGS May 2024</v>
      </c>
      <c r="BW5" s="825"/>
      <c r="BX5" s="824" t="str">
        <f>EW5</f>
        <v>COGS Jun 2024</v>
      </c>
      <c r="BY5" s="825"/>
      <c r="BZ5" s="824" t="str">
        <f>EY5</f>
        <v>COGS Jul 2024</v>
      </c>
      <c r="CA5" s="825"/>
      <c r="CB5" s="824" t="str">
        <f>FA5</f>
        <v>COGS Aug 2024</v>
      </c>
      <c r="CC5" s="825"/>
      <c r="CD5" s="824" t="str">
        <f>FC5</f>
        <v>COGS Sep 2024</v>
      </c>
      <c r="CE5" s="825"/>
      <c r="CF5" s="824" t="str">
        <f>FE5</f>
        <v>COGS Oct 2024</v>
      </c>
      <c r="CG5" s="825"/>
      <c r="CH5" s="824" t="str">
        <f>FG5</f>
        <v>COGS Nov 2024</v>
      </c>
      <c r="CI5" s="825"/>
      <c r="CJ5" s="824" t="str">
        <f>FI5</f>
        <v>COGS Dec 2024</v>
      </c>
      <c r="CK5" s="825"/>
      <c r="CL5" s="830" t="str">
        <f>FK5</f>
        <v>FY 2024</v>
      </c>
      <c r="CM5" s="831"/>
      <c r="CN5" s="824" t="str">
        <f>FM5</f>
        <v>COGS Jan 2025</v>
      </c>
      <c r="CO5" s="825"/>
      <c r="CP5" s="836" t="s">
        <v>253</v>
      </c>
      <c r="CQ5" s="837"/>
      <c r="CR5" s="836" t="s">
        <v>254</v>
      </c>
      <c r="CS5" s="837"/>
      <c r="CT5" s="145"/>
      <c r="CU5" s="828"/>
      <c r="CV5" s="829"/>
      <c r="CW5" s="830" t="s">
        <v>237</v>
      </c>
      <c r="CX5" s="831"/>
      <c r="CY5" s="151"/>
      <c r="CZ5" s="152"/>
      <c r="DA5" s="828"/>
      <c r="DB5" s="829"/>
      <c r="DC5" s="832" t="s">
        <v>250</v>
      </c>
      <c r="DD5" s="833"/>
      <c r="DE5" s="824" t="s">
        <v>251</v>
      </c>
      <c r="DF5" s="825"/>
      <c r="DG5" s="834" t="s">
        <v>255</v>
      </c>
      <c r="DH5" s="835"/>
      <c r="DI5" s="824" t="s">
        <v>256</v>
      </c>
      <c r="DJ5" s="825"/>
      <c r="DK5" s="824" t="s">
        <v>257</v>
      </c>
      <c r="DL5" s="825"/>
      <c r="DM5" s="824" t="s">
        <v>258</v>
      </c>
      <c r="DN5" s="825"/>
      <c r="DO5" s="824" t="s">
        <v>259</v>
      </c>
      <c r="DP5" s="825"/>
      <c r="DQ5" s="838" t="s">
        <v>260</v>
      </c>
      <c r="DR5" s="839"/>
      <c r="DS5" s="838" t="s">
        <v>261</v>
      </c>
      <c r="DT5" s="839"/>
      <c r="DU5" s="824" t="s">
        <v>262</v>
      </c>
      <c r="DV5" s="825"/>
      <c r="DW5" s="824" t="s">
        <v>263</v>
      </c>
      <c r="DX5" s="825"/>
      <c r="DY5" s="824" t="s">
        <v>264</v>
      </c>
      <c r="DZ5" s="825"/>
      <c r="EA5" s="824" t="s">
        <v>265</v>
      </c>
      <c r="EB5" s="825"/>
      <c r="EC5" s="824" t="s">
        <v>266</v>
      </c>
      <c r="ED5" s="825"/>
      <c r="EE5" s="824" t="s">
        <v>267</v>
      </c>
      <c r="EF5" s="825"/>
      <c r="EG5" s="824" t="s">
        <v>268</v>
      </c>
      <c r="EH5" s="825"/>
      <c r="EI5" s="824" t="s">
        <v>269</v>
      </c>
      <c r="EJ5" s="825"/>
      <c r="EK5" s="830" t="s">
        <v>270</v>
      </c>
      <c r="EL5" s="831"/>
      <c r="EM5" s="824" t="s">
        <v>271</v>
      </c>
      <c r="EN5" s="825"/>
      <c r="EO5" s="824" t="s">
        <v>272</v>
      </c>
      <c r="EP5" s="825"/>
      <c r="EQ5" s="824" t="s">
        <v>273</v>
      </c>
      <c r="ER5" s="825"/>
      <c r="ES5" s="824" t="s">
        <v>274</v>
      </c>
      <c r="ET5" s="825"/>
      <c r="EU5" s="824" t="s">
        <v>275</v>
      </c>
      <c r="EV5" s="825"/>
      <c r="EW5" s="824" t="s">
        <v>276</v>
      </c>
      <c r="EX5" s="825"/>
      <c r="EY5" s="824" t="s">
        <v>277</v>
      </c>
      <c r="EZ5" s="825"/>
      <c r="FA5" s="824" t="s">
        <v>278</v>
      </c>
      <c r="FB5" s="825"/>
      <c r="FC5" s="824" t="s">
        <v>279</v>
      </c>
      <c r="FD5" s="825"/>
      <c r="FE5" s="824" t="s">
        <v>280</v>
      </c>
      <c r="FF5" s="825"/>
      <c r="FG5" s="824" t="s">
        <v>281</v>
      </c>
      <c r="FH5" s="825"/>
      <c r="FI5" s="824" t="s">
        <v>282</v>
      </c>
      <c r="FJ5" s="825"/>
      <c r="FK5" s="830" t="s">
        <v>283</v>
      </c>
      <c r="FL5" s="831"/>
      <c r="FM5" s="824" t="s">
        <v>284</v>
      </c>
      <c r="FN5" s="825"/>
      <c r="FO5" s="836" t="s">
        <v>285</v>
      </c>
      <c r="FP5" s="837"/>
      <c r="FQ5" s="144"/>
      <c r="FR5" s="149"/>
      <c r="FS5" s="150"/>
      <c r="FT5" s="149"/>
      <c r="FU5" s="150"/>
      <c r="FV5" s="828"/>
      <c r="FW5" s="829"/>
      <c r="FX5" s="830" t="str">
        <f>R5</f>
        <v>Jan - Mar</v>
      </c>
      <c r="FY5" s="831"/>
      <c r="FZ5" s="151"/>
      <c r="GA5" s="152"/>
      <c r="GB5" s="151"/>
      <c r="GC5" s="152"/>
      <c r="GD5" s="151"/>
      <c r="GE5" s="152"/>
      <c r="GF5" s="830" t="s">
        <v>249</v>
      </c>
      <c r="GG5" s="831"/>
      <c r="GH5" s="828"/>
      <c r="GI5" s="829"/>
      <c r="GJ5" s="832" t="s">
        <v>250</v>
      </c>
      <c r="GK5" s="833"/>
      <c r="GL5" s="824" t="s">
        <v>286</v>
      </c>
      <c r="GM5" s="825"/>
      <c r="GN5" s="834" t="s">
        <v>252</v>
      </c>
      <c r="GO5" s="835"/>
      <c r="GP5" s="824" t="str">
        <f>AJ5</f>
        <v>COGS Jan 2023</v>
      </c>
      <c r="GQ5" s="825"/>
      <c r="GR5" s="824" t="str">
        <f>AL5</f>
        <v>COGS Feb 2023</v>
      </c>
      <c r="GS5" s="825"/>
      <c r="GT5" s="824" t="str">
        <f>AN5</f>
        <v>COGS Mar 2023</v>
      </c>
      <c r="GU5" s="825"/>
      <c r="GV5" s="824" t="str">
        <f>AP5</f>
        <v>COGS Apr 2023</v>
      </c>
      <c r="GW5" s="825"/>
      <c r="GX5" s="826" t="s">
        <v>260</v>
      </c>
      <c r="GY5" s="827"/>
      <c r="GZ5" s="826" t="str">
        <f>AT5</f>
        <v>Proposal new FOB</v>
      </c>
      <c r="HA5" s="827"/>
      <c r="HB5" s="824" t="str">
        <f>AV5</f>
        <v>COGS May 2023</v>
      </c>
      <c r="HC5" s="825"/>
      <c r="HD5" s="824" t="str">
        <f>AX5</f>
        <v>COGS Jun 2023</v>
      </c>
      <c r="HE5" s="825"/>
      <c r="HF5" s="824" t="str">
        <f>AZ5</f>
        <v>COGS Jul 2023</v>
      </c>
      <c r="HG5" s="825"/>
      <c r="HH5" s="824" t="str">
        <f>BB5</f>
        <v>COGS Aug 2023</v>
      </c>
      <c r="HI5" s="825"/>
      <c r="HJ5" s="824" t="str">
        <f>BD5</f>
        <v>COGS Sep 2023</v>
      </c>
      <c r="HK5" s="825"/>
      <c r="HL5" s="824" t="str">
        <f>BF5</f>
        <v>COGS Oct 2023</v>
      </c>
      <c r="HM5" s="825"/>
      <c r="HN5" s="824" t="str">
        <f>BH5</f>
        <v>COGS Nov 2023</v>
      </c>
      <c r="HO5" s="825"/>
      <c r="HP5" s="824" t="str">
        <f>BJ5</f>
        <v>COGS Dec 2023</v>
      </c>
      <c r="HQ5" s="825"/>
      <c r="HR5" s="830" t="str">
        <f>BL5</f>
        <v>FY 2023</v>
      </c>
      <c r="HS5" s="831"/>
      <c r="HT5" s="824" t="str">
        <f>BN5</f>
        <v>COGS Jan 2024</v>
      </c>
      <c r="HU5" s="825"/>
      <c r="HV5" s="824" t="str">
        <f>EO5</f>
        <v>COGS Feb 2024</v>
      </c>
      <c r="HW5" s="825"/>
      <c r="HX5" s="840" t="str">
        <f>EQ5</f>
        <v>COGS Mar 2024</v>
      </c>
      <c r="HY5" s="841"/>
      <c r="HZ5" s="840" t="str">
        <f>ES5</f>
        <v>COGS Apr 2024</v>
      </c>
      <c r="IA5" s="841"/>
      <c r="IB5" s="840" t="str">
        <f>EU5</f>
        <v>COGS May 2024</v>
      </c>
      <c r="IC5" s="841"/>
      <c r="ID5" s="840" t="str">
        <f>EW5</f>
        <v>COGS Jun 2024</v>
      </c>
      <c r="IE5" s="841"/>
      <c r="IF5" s="840" t="str">
        <f>EY5</f>
        <v>COGS Jul 2024</v>
      </c>
      <c r="IG5" s="841"/>
      <c r="IH5" s="840" t="str">
        <f>FA5</f>
        <v>COGS Aug 2024</v>
      </c>
      <c r="II5" s="841"/>
      <c r="IJ5" s="840" t="str">
        <f>FA5</f>
        <v>COGS Aug 2024</v>
      </c>
      <c r="IK5" s="841"/>
      <c r="IL5" s="840" t="str">
        <f>FC5</f>
        <v>COGS Sep 2024</v>
      </c>
      <c r="IM5" s="841"/>
      <c r="IN5" s="840" t="str">
        <f>FE5</f>
        <v>COGS Oct 2024</v>
      </c>
      <c r="IO5" s="841"/>
      <c r="IP5" s="840" t="str">
        <f>FG5</f>
        <v>COGS Nov 2024</v>
      </c>
      <c r="IQ5" s="841"/>
      <c r="IR5" s="840" t="str">
        <f>FI5</f>
        <v>COGS Dec 2024</v>
      </c>
      <c r="IS5" s="841"/>
      <c r="IT5" s="842" t="str">
        <f>FK5</f>
        <v>FY 2024</v>
      </c>
      <c r="IU5" s="843"/>
      <c r="IV5" s="840" t="str">
        <f>FM5</f>
        <v>COGS Jan 2025</v>
      </c>
      <c r="IW5" s="841"/>
      <c r="IX5" s="836" t="s">
        <v>287</v>
      </c>
      <c r="IY5" s="837"/>
      <c r="IZ5" s="144"/>
      <c r="JA5" s="836" t="s">
        <v>288</v>
      </c>
      <c r="JB5" s="837"/>
      <c r="JC5" s="836" t="s">
        <v>289</v>
      </c>
      <c r="JD5" s="837"/>
      <c r="JE5" s="144"/>
      <c r="JF5" s="149"/>
      <c r="JG5" s="150"/>
      <c r="JH5" s="149"/>
      <c r="JI5" s="150"/>
      <c r="JJ5" s="828"/>
      <c r="JK5" s="829"/>
      <c r="JL5" s="830" t="str">
        <f>FX5</f>
        <v>Jan - Mar</v>
      </c>
      <c r="JM5" s="831"/>
      <c r="JN5" s="151"/>
      <c r="JO5" s="152"/>
      <c r="JP5" s="830" t="s">
        <v>249</v>
      </c>
      <c r="JQ5" s="831"/>
      <c r="JR5" s="828"/>
      <c r="JS5" s="829"/>
      <c r="JT5" s="832" t="s">
        <v>250</v>
      </c>
      <c r="JU5" s="833"/>
      <c r="JV5" s="824" t="s">
        <v>286</v>
      </c>
      <c r="JW5" s="825"/>
      <c r="JX5" s="834" t="s">
        <v>252</v>
      </c>
      <c r="JY5" s="835"/>
      <c r="JZ5" s="824" t="str">
        <f>GP5</f>
        <v>COGS Jan 2023</v>
      </c>
      <c r="KA5" s="825"/>
      <c r="KB5" s="824" t="str">
        <f>GR5</f>
        <v>COGS Feb 2023</v>
      </c>
      <c r="KC5" s="825"/>
      <c r="KD5" s="824" t="str">
        <f>GT5</f>
        <v>COGS Mar 2023</v>
      </c>
      <c r="KE5" s="825"/>
      <c r="KF5" s="824" t="str">
        <f>GV5</f>
        <v>COGS Apr 2023</v>
      </c>
      <c r="KG5" s="825"/>
      <c r="KH5" s="826" t="s">
        <v>260</v>
      </c>
      <c r="KI5" s="827"/>
      <c r="KJ5" s="826" t="str">
        <f>GZ5</f>
        <v>Proposal new FOB</v>
      </c>
      <c r="KK5" s="827"/>
      <c r="KL5" s="824" t="str">
        <f>HB5</f>
        <v>COGS May 2023</v>
      </c>
      <c r="KM5" s="825"/>
      <c r="KN5" s="824" t="str">
        <f>HD5</f>
        <v>COGS Jun 2023</v>
      </c>
      <c r="KO5" s="825"/>
      <c r="KP5" s="824" t="str">
        <f>HF5</f>
        <v>COGS Jul 2023</v>
      </c>
      <c r="KQ5" s="825"/>
      <c r="KR5" s="824" t="str">
        <f>HH5</f>
        <v>COGS Aug 2023</v>
      </c>
      <c r="KS5" s="825"/>
      <c r="KT5" s="824" t="str">
        <f>HJ5</f>
        <v>COGS Sep 2023</v>
      </c>
      <c r="KU5" s="825"/>
      <c r="KV5" s="824" t="str">
        <f>HL5</f>
        <v>COGS Oct 2023</v>
      </c>
      <c r="KW5" s="825"/>
      <c r="KX5" s="824" t="str">
        <f>HN5</f>
        <v>COGS Nov 2023</v>
      </c>
      <c r="KY5" s="825"/>
      <c r="KZ5" s="824" t="str">
        <f>HP5</f>
        <v>COGS Dec 2023</v>
      </c>
      <c r="LA5" s="825"/>
      <c r="LB5" s="830" t="s">
        <v>270</v>
      </c>
      <c r="LC5" s="831"/>
      <c r="LD5" s="824" t="str">
        <f>EM5</f>
        <v>COGS Jan 2024</v>
      </c>
      <c r="LE5" s="825"/>
      <c r="LF5" s="824" t="str">
        <f>EO5</f>
        <v>COGS Feb 2024</v>
      </c>
      <c r="LG5" s="825"/>
      <c r="LH5" s="824" t="str">
        <f>EQ5</f>
        <v>COGS Mar 2024</v>
      </c>
      <c r="LI5" s="825"/>
      <c r="LJ5" s="824" t="str">
        <f>ES5</f>
        <v>COGS Apr 2024</v>
      </c>
      <c r="LK5" s="825"/>
      <c r="LL5" s="824" t="str">
        <f>EU5</f>
        <v>COGS May 2024</v>
      </c>
      <c r="LM5" s="825"/>
      <c r="LN5" s="824" t="str">
        <f>EW5</f>
        <v>COGS Jun 2024</v>
      </c>
      <c r="LO5" s="825"/>
      <c r="LP5" s="824" t="str">
        <f>EY5</f>
        <v>COGS Jul 2024</v>
      </c>
      <c r="LQ5" s="825"/>
      <c r="LR5" s="824" t="str">
        <f>FA5</f>
        <v>COGS Aug 2024</v>
      </c>
      <c r="LS5" s="825"/>
      <c r="LT5" s="824" t="str">
        <f>FC5</f>
        <v>COGS Sep 2024</v>
      </c>
      <c r="LU5" s="825"/>
      <c r="LV5" s="824" t="str">
        <f>FE5</f>
        <v>COGS Oct 2024</v>
      </c>
      <c r="LW5" s="825"/>
      <c r="LX5" s="824" t="str">
        <f>FG5</f>
        <v>COGS Nov 2024</v>
      </c>
      <c r="LY5" s="825"/>
      <c r="LZ5" s="824" t="str">
        <f>FI5</f>
        <v>COGS Dec 2024</v>
      </c>
      <c r="MA5" s="825"/>
      <c r="MB5" s="830" t="str">
        <f>FK5</f>
        <v>FY 2024</v>
      </c>
      <c r="MC5" s="831"/>
      <c r="MD5" s="824" t="str">
        <f>FM5</f>
        <v>COGS Jan 2025</v>
      </c>
      <c r="ME5" s="825"/>
      <c r="MF5" s="836" t="s">
        <v>290</v>
      </c>
      <c r="MG5" s="837"/>
      <c r="MH5" s="144"/>
      <c r="MI5" s="149"/>
      <c r="MJ5" s="150"/>
      <c r="MK5" s="149"/>
      <c r="ML5" s="150"/>
      <c r="MM5" s="828"/>
      <c r="MN5" s="829"/>
      <c r="MO5" s="830" t="str">
        <f>JL5</f>
        <v>Jan - Mar</v>
      </c>
      <c r="MP5" s="831"/>
      <c r="MQ5" s="151"/>
      <c r="MR5" s="152"/>
      <c r="MS5" s="830" t="s">
        <v>249</v>
      </c>
      <c r="MT5" s="831"/>
      <c r="MU5" s="828"/>
      <c r="MV5" s="829"/>
      <c r="MW5" s="832" t="s">
        <v>250</v>
      </c>
      <c r="MX5" s="833"/>
      <c r="MY5" s="824" t="s">
        <v>286</v>
      </c>
      <c r="MZ5" s="825"/>
      <c r="NA5" s="834" t="s">
        <v>252</v>
      </c>
      <c r="NB5" s="835"/>
      <c r="NC5" s="824" t="str">
        <f>JZ5</f>
        <v>COGS Jan 2023</v>
      </c>
      <c r="ND5" s="825"/>
      <c r="NE5" s="824" t="str">
        <f>KB5</f>
        <v>COGS Feb 2023</v>
      </c>
      <c r="NF5" s="825"/>
      <c r="NG5" s="824" t="str">
        <f>KD5</f>
        <v>COGS Mar 2023</v>
      </c>
      <c r="NH5" s="825"/>
      <c r="NI5" s="824" t="str">
        <f>KF5</f>
        <v>COGS Apr 2023</v>
      </c>
      <c r="NJ5" s="825"/>
      <c r="NK5" s="826" t="s">
        <v>260</v>
      </c>
      <c r="NL5" s="827"/>
      <c r="NM5" s="826" t="str">
        <f>KJ5</f>
        <v>Proposal new FOB</v>
      </c>
      <c r="NN5" s="827"/>
      <c r="NO5" s="824" t="str">
        <f>KL5</f>
        <v>COGS May 2023</v>
      </c>
      <c r="NP5" s="825"/>
      <c r="NQ5" s="824" t="str">
        <f>KN5</f>
        <v>COGS Jun 2023</v>
      </c>
      <c r="NR5" s="825"/>
      <c r="NS5" s="824" t="str">
        <f>KP5</f>
        <v>COGS Jul 2023</v>
      </c>
      <c r="NT5" s="825"/>
      <c r="NU5" s="824" t="str">
        <f>KR5</f>
        <v>COGS Aug 2023</v>
      </c>
      <c r="NV5" s="825"/>
      <c r="NW5" s="824" t="str">
        <f>KT5</f>
        <v>COGS Sep 2023</v>
      </c>
      <c r="NX5" s="825"/>
      <c r="NY5" s="824" t="str">
        <f>KV5</f>
        <v>COGS Oct 2023</v>
      </c>
      <c r="NZ5" s="825"/>
      <c r="OA5" s="824" t="str">
        <f>KX5</f>
        <v>COGS Nov 2023</v>
      </c>
      <c r="OB5" s="825"/>
      <c r="OC5" s="824" t="str">
        <f>KZ5</f>
        <v>COGS Dec 2023</v>
      </c>
      <c r="OD5" s="825"/>
      <c r="OE5" s="830" t="str">
        <f>LB5</f>
        <v>FY 2023</v>
      </c>
      <c r="OF5" s="831"/>
      <c r="OG5" s="824" t="str">
        <f>LD5</f>
        <v>COGS Jan 2024</v>
      </c>
      <c r="OH5" s="825"/>
      <c r="OI5" s="824" t="str">
        <f>LF5</f>
        <v>COGS Feb 2024</v>
      </c>
      <c r="OJ5" s="825"/>
      <c r="OK5" s="824" t="str">
        <f>LH5</f>
        <v>COGS Mar 2024</v>
      </c>
      <c r="OL5" s="825"/>
      <c r="OM5" s="824" t="str">
        <f>LJ5</f>
        <v>COGS Apr 2024</v>
      </c>
      <c r="ON5" s="825"/>
      <c r="OO5" s="824" t="str">
        <f>LL5</f>
        <v>COGS May 2024</v>
      </c>
      <c r="OP5" s="825"/>
      <c r="OQ5" s="824" t="str">
        <f>LN5</f>
        <v>COGS Jun 2024</v>
      </c>
      <c r="OR5" s="825"/>
      <c r="OS5" s="824" t="str">
        <f>LP5</f>
        <v>COGS Jul 2024</v>
      </c>
      <c r="OT5" s="825"/>
      <c r="OU5" s="824" t="str">
        <f>LR5</f>
        <v>COGS Aug 2024</v>
      </c>
      <c r="OV5" s="825"/>
      <c r="OW5" s="824" t="str">
        <f>LT5</f>
        <v>COGS Sep 2024</v>
      </c>
      <c r="OX5" s="825"/>
      <c r="OY5" s="824" t="str">
        <f>LV5</f>
        <v>COGS Oct 2024</v>
      </c>
      <c r="OZ5" s="825"/>
      <c r="PA5" s="824" t="str">
        <f>LX5</f>
        <v>COGS Nov 2024</v>
      </c>
      <c r="PB5" s="825"/>
      <c r="PC5" s="824" t="str">
        <f>LZ5</f>
        <v>COGS Dec 2024</v>
      </c>
      <c r="PD5" s="825"/>
      <c r="PE5" s="830" t="str">
        <f>MB5</f>
        <v>FY 2024</v>
      </c>
      <c r="PF5" s="831"/>
      <c r="PG5" s="824" t="str">
        <f>MD5</f>
        <v>COGS Jan 2025</v>
      </c>
      <c r="PH5" s="825"/>
      <c r="PI5" s="844" t="s">
        <v>291</v>
      </c>
      <c r="PJ5" s="845"/>
      <c r="PK5" s="844" t="s">
        <v>292</v>
      </c>
      <c r="PL5" s="845"/>
      <c r="PM5" s="836" t="s">
        <v>290</v>
      </c>
      <c r="PN5" s="837"/>
      <c r="PO5" s="836" t="s">
        <v>293</v>
      </c>
      <c r="PP5" s="837"/>
      <c r="PQ5" s="145"/>
      <c r="PR5" s="840" t="s">
        <v>294</v>
      </c>
      <c r="PS5" s="841"/>
      <c r="PT5" s="840" t="s">
        <v>294</v>
      </c>
      <c r="PU5" s="841"/>
      <c r="PV5" s="846" t="s">
        <v>295</v>
      </c>
      <c r="PW5" s="847"/>
      <c r="PX5" s="846" t="s">
        <v>295</v>
      </c>
      <c r="PY5" s="847"/>
      <c r="PZ5" s="836" t="s">
        <v>296</v>
      </c>
      <c r="QA5" s="837"/>
      <c r="QB5" s="836" t="s">
        <v>296</v>
      </c>
      <c r="QC5" s="837"/>
      <c r="QD5" s="145"/>
      <c r="QE5" s="145"/>
      <c r="QF5" s="836" t="s">
        <v>297</v>
      </c>
      <c r="QG5" s="837"/>
      <c r="QH5" s="836" t="s">
        <v>297</v>
      </c>
      <c r="QI5" s="837"/>
      <c r="QJ5" s="836" t="s">
        <v>298</v>
      </c>
      <c r="QK5" s="837"/>
      <c r="QL5" s="836" t="s">
        <v>298</v>
      </c>
      <c r="QM5" s="837"/>
      <c r="QN5" s="836" t="s">
        <v>299</v>
      </c>
      <c r="QO5" s="837"/>
      <c r="QP5" s="836" t="s">
        <v>299</v>
      </c>
      <c r="QQ5" s="837"/>
    </row>
    <row r="6" spans="1:459" x14ac:dyDescent="0.45">
      <c r="A6" s="793"/>
      <c r="B6" s="146"/>
      <c r="C6" s="147"/>
      <c r="D6" s="148"/>
      <c r="E6" s="144"/>
      <c r="F6" s="149"/>
      <c r="G6" s="150"/>
      <c r="H6" s="149"/>
      <c r="I6" s="150"/>
      <c r="J6" s="149"/>
      <c r="K6" s="150"/>
      <c r="L6" s="149"/>
      <c r="M6" s="150"/>
      <c r="N6" s="149"/>
      <c r="O6" s="150"/>
      <c r="P6" s="149"/>
      <c r="Q6" s="150"/>
      <c r="R6" s="151"/>
      <c r="S6" s="152"/>
      <c r="T6" s="151"/>
      <c r="U6" s="152"/>
      <c r="V6" s="151"/>
      <c r="W6" s="152"/>
      <c r="X6" s="151"/>
      <c r="Y6" s="152"/>
      <c r="Z6" s="151"/>
      <c r="AA6" s="152"/>
      <c r="AB6" s="149"/>
      <c r="AC6" s="150"/>
      <c r="AD6" s="153"/>
      <c r="AE6" s="154"/>
      <c r="AF6" s="155"/>
      <c r="AG6" s="156"/>
      <c r="AH6" s="157"/>
      <c r="AI6" s="158"/>
      <c r="AJ6" s="155"/>
      <c r="AK6" s="156"/>
      <c r="AL6" s="155"/>
      <c r="AM6" s="156"/>
      <c r="AN6" s="155"/>
      <c r="AO6" s="156"/>
      <c r="AP6" s="155"/>
      <c r="AQ6" s="156"/>
      <c r="AR6" s="159"/>
      <c r="AS6" s="160"/>
      <c r="AT6" s="159"/>
      <c r="AU6" s="160"/>
      <c r="AV6" s="155"/>
      <c r="AW6" s="156"/>
      <c r="AX6" s="155"/>
      <c r="AY6" s="156"/>
      <c r="AZ6" s="155"/>
      <c r="BA6" s="156"/>
      <c r="BB6" s="155"/>
      <c r="BC6" s="156"/>
      <c r="BD6" s="155"/>
      <c r="BE6" s="156"/>
      <c r="BF6" s="155"/>
      <c r="BG6" s="156"/>
      <c r="BH6" s="155"/>
      <c r="BI6" s="156"/>
      <c r="BJ6" s="155"/>
      <c r="BK6" s="156"/>
      <c r="BL6" s="151"/>
      <c r="BM6" s="152"/>
      <c r="BN6" s="155"/>
      <c r="BO6" s="156"/>
      <c r="BP6" s="155"/>
      <c r="BQ6" s="156"/>
      <c r="BR6" s="155"/>
      <c r="BS6" s="156"/>
      <c r="BT6" s="155"/>
      <c r="BU6" s="156"/>
      <c r="BV6" s="155"/>
      <c r="BW6" s="156"/>
      <c r="BX6" s="155"/>
      <c r="BY6" s="156"/>
      <c r="BZ6" s="155"/>
      <c r="CA6" s="156"/>
      <c r="CB6" s="155"/>
      <c r="CC6" s="156"/>
      <c r="CD6" s="155"/>
      <c r="CE6" s="156"/>
      <c r="CF6" s="155"/>
      <c r="CG6" s="156"/>
      <c r="CH6" s="155"/>
      <c r="CI6" s="156"/>
      <c r="CJ6" s="155"/>
      <c r="CK6" s="156"/>
      <c r="CL6" s="151"/>
      <c r="CM6" s="152"/>
      <c r="CN6" s="155"/>
      <c r="CO6" s="156"/>
      <c r="CP6" s="161"/>
      <c r="CQ6" s="162"/>
      <c r="CR6" s="161"/>
      <c r="CS6" s="162"/>
      <c r="CT6" s="145"/>
      <c r="CU6" s="149"/>
      <c r="CV6" s="150"/>
      <c r="CW6" s="151"/>
      <c r="CX6" s="152"/>
      <c r="CY6" s="151"/>
      <c r="CZ6" s="152"/>
      <c r="DA6" s="149"/>
      <c r="DB6" s="150"/>
      <c r="DC6" s="153"/>
      <c r="DD6" s="154"/>
      <c r="DE6" s="155"/>
      <c r="DF6" s="156"/>
      <c r="DG6" s="157"/>
      <c r="DH6" s="158"/>
      <c r="DI6" s="155"/>
      <c r="DJ6" s="156"/>
      <c r="DK6" s="155"/>
      <c r="DL6" s="156"/>
      <c r="DM6" s="155"/>
      <c r="DN6" s="156"/>
      <c r="DO6" s="155"/>
      <c r="DP6" s="156"/>
      <c r="DQ6" s="163"/>
      <c r="DR6" s="164"/>
      <c r="DS6" s="163"/>
      <c r="DT6" s="164"/>
      <c r="DU6" s="155"/>
      <c r="DV6" s="156"/>
      <c r="DW6" s="155"/>
      <c r="DX6" s="156"/>
      <c r="DY6" s="155"/>
      <c r="DZ6" s="156"/>
      <c r="EA6" s="155"/>
      <c r="EB6" s="156"/>
      <c r="EC6" s="155"/>
      <c r="ED6" s="156"/>
      <c r="EE6" s="155"/>
      <c r="EF6" s="156"/>
      <c r="EG6" s="155"/>
      <c r="EH6" s="156"/>
      <c r="EI6" s="155"/>
      <c r="EJ6" s="156"/>
      <c r="EK6" s="151"/>
      <c r="EL6" s="152"/>
      <c r="EM6" s="155"/>
      <c r="EN6" s="156"/>
      <c r="EO6" s="155"/>
      <c r="EP6" s="156"/>
      <c r="EQ6" s="155"/>
      <c r="ER6" s="156"/>
      <c r="ES6" s="155"/>
      <c r="ET6" s="156"/>
      <c r="EU6" s="155"/>
      <c r="EV6" s="156"/>
      <c r="EW6" s="155"/>
      <c r="EX6" s="156"/>
      <c r="EY6" s="155"/>
      <c r="EZ6" s="156"/>
      <c r="FA6" s="155"/>
      <c r="FB6" s="156"/>
      <c r="FC6" s="155"/>
      <c r="FD6" s="156"/>
      <c r="FE6" s="155"/>
      <c r="FF6" s="156"/>
      <c r="FG6" s="155"/>
      <c r="FH6" s="156"/>
      <c r="FI6" s="155"/>
      <c r="FJ6" s="156"/>
      <c r="FK6" s="151"/>
      <c r="FL6" s="152"/>
      <c r="FM6" s="155"/>
      <c r="FN6" s="156"/>
      <c r="FO6" s="161"/>
      <c r="FP6" s="162"/>
      <c r="FQ6" s="144"/>
      <c r="FR6" s="149"/>
      <c r="FS6" s="150"/>
      <c r="FT6" s="149"/>
      <c r="FU6" s="150"/>
      <c r="FV6" s="149"/>
      <c r="FW6" s="150"/>
      <c r="FX6" s="151"/>
      <c r="FY6" s="152"/>
      <c r="FZ6" s="151"/>
      <c r="GA6" s="152"/>
      <c r="GB6" s="151"/>
      <c r="GC6" s="152"/>
      <c r="GD6" s="151"/>
      <c r="GE6" s="152"/>
      <c r="GF6" s="151"/>
      <c r="GG6" s="152"/>
      <c r="GH6" s="149"/>
      <c r="GI6" s="150"/>
      <c r="GJ6" s="153"/>
      <c r="GK6" s="154"/>
      <c r="GL6" s="155"/>
      <c r="GM6" s="156"/>
      <c r="GN6" s="157"/>
      <c r="GO6" s="158"/>
      <c r="GP6" s="155"/>
      <c r="GQ6" s="156"/>
      <c r="GR6" s="155"/>
      <c r="GS6" s="156"/>
      <c r="GT6" s="155"/>
      <c r="GU6" s="156"/>
      <c r="GV6" s="155"/>
      <c r="GW6" s="156"/>
      <c r="GX6" s="159"/>
      <c r="GY6" s="160"/>
      <c r="GZ6" s="159"/>
      <c r="HA6" s="160"/>
      <c r="HB6" s="155"/>
      <c r="HC6" s="156"/>
      <c r="HD6" s="155"/>
      <c r="HE6" s="156"/>
      <c r="HF6" s="155"/>
      <c r="HG6" s="156"/>
      <c r="HH6" s="155"/>
      <c r="HI6" s="156"/>
      <c r="HJ6" s="155"/>
      <c r="HK6" s="156"/>
      <c r="HL6" s="155"/>
      <c r="HM6" s="156"/>
      <c r="HN6" s="155"/>
      <c r="HO6" s="156"/>
      <c r="HP6" s="155"/>
      <c r="HQ6" s="156"/>
      <c r="HR6" s="151"/>
      <c r="HS6" s="152"/>
      <c r="HT6" s="155"/>
      <c r="HU6" s="156"/>
      <c r="HV6" s="155"/>
      <c r="HW6" s="156"/>
      <c r="HX6" s="165"/>
      <c r="HY6" s="166"/>
      <c r="HZ6" s="165"/>
      <c r="IA6" s="166"/>
      <c r="IB6" s="165"/>
      <c r="IC6" s="166"/>
      <c r="ID6" s="165"/>
      <c r="IE6" s="166"/>
      <c r="IF6" s="165"/>
      <c r="IG6" s="166"/>
      <c r="IH6" s="165"/>
      <c r="II6" s="166"/>
      <c r="IJ6" s="165"/>
      <c r="IK6" s="166"/>
      <c r="IL6" s="165"/>
      <c r="IM6" s="166"/>
      <c r="IN6" s="165"/>
      <c r="IO6" s="166"/>
      <c r="IP6" s="165"/>
      <c r="IQ6" s="166"/>
      <c r="IR6" s="165"/>
      <c r="IS6" s="166"/>
      <c r="IT6" s="167"/>
      <c r="IU6" s="168"/>
      <c r="IV6" s="165"/>
      <c r="IW6" s="166"/>
      <c r="IX6" s="161"/>
      <c r="IY6" s="162"/>
      <c r="IZ6" s="144"/>
      <c r="JA6" s="161"/>
      <c r="JB6" s="162"/>
      <c r="JC6" s="161"/>
      <c r="JD6" s="162"/>
      <c r="JE6" s="144"/>
      <c r="JF6" s="149"/>
      <c r="JG6" s="150"/>
      <c r="JH6" s="149"/>
      <c r="JI6" s="150"/>
      <c r="JJ6" s="149"/>
      <c r="JK6" s="150"/>
      <c r="JL6" s="151"/>
      <c r="JM6" s="152"/>
      <c r="JN6" s="151"/>
      <c r="JO6" s="152"/>
      <c r="JP6" s="151"/>
      <c r="JQ6" s="152"/>
      <c r="JR6" s="149"/>
      <c r="JS6" s="150"/>
      <c r="JT6" s="153"/>
      <c r="JU6" s="154"/>
      <c r="JV6" s="155"/>
      <c r="JW6" s="156"/>
      <c r="JX6" s="157"/>
      <c r="JY6" s="158"/>
      <c r="JZ6" s="155"/>
      <c r="KA6" s="156"/>
      <c r="KB6" s="155"/>
      <c r="KC6" s="156"/>
      <c r="KD6" s="155"/>
      <c r="KE6" s="156"/>
      <c r="KF6" s="155"/>
      <c r="KG6" s="156"/>
      <c r="KH6" s="159"/>
      <c r="KI6" s="160"/>
      <c r="KJ6" s="159"/>
      <c r="KK6" s="160"/>
      <c r="KL6" s="155"/>
      <c r="KM6" s="156"/>
      <c r="KN6" s="155"/>
      <c r="KO6" s="156"/>
      <c r="KP6" s="155"/>
      <c r="KQ6" s="156"/>
      <c r="KR6" s="155"/>
      <c r="KS6" s="156"/>
      <c r="KT6" s="155"/>
      <c r="KU6" s="156"/>
      <c r="KV6" s="155"/>
      <c r="KW6" s="156"/>
      <c r="KX6" s="155"/>
      <c r="KY6" s="156"/>
      <c r="KZ6" s="155"/>
      <c r="LA6" s="156"/>
      <c r="LB6" s="151"/>
      <c r="LC6" s="152"/>
      <c r="LD6" s="155"/>
      <c r="LE6" s="156"/>
      <c r="LF6" s="155"/>
      <c r="LG6" s="156"/>
      <c r="LH6" s="155"/>
      <c r="LI6" s="156"/>
      <c r="LJ6" s="155"/>
      <c r="LK6" s="156"/>
      <c r="LL6" s="155"/>
      <c r="LM6" s="156"/>
      <c r="LN6" s="155"/>
      <c r="LO6" s="156"/>
      <c r="LP6" s="155"/>
      <c r="LQ6" s="156"/>
      <c r="LR6" s="155"/>
      <c r="LS6" s="156"/>
      <c r="LT6" s="155"/>
      <c r="LU6" s="156"/>
      <c r="LV6" s="155"/>
      <c r="LW6" s="156"/>
      <c r="LX6" s="155"/>
      <c r="LY6" s="156"/>
      <c r="LZ6" s="155"/>
      <c r="MA6" s="156"/>
      <c r="MB6" s="151"/>
      <c r="MC6" s="152"/>
      <c r="MD6" s="155"/>
      <c r="ME6" s="156"/>
      <c r="MF6" s="161"/>
      <c r="MG6" s="162"/>
      <c r="MH6" s="144"/>
      <c r="MI6" s="149"/>
      <c r="MJ6" s="150"/>
      <c r="MK6" s="149"/>
      <c r="ML6" s="150"/>
      <c r="MM6" s="149"/>
      <c r="MN6" s="150"/>
      <c r="MO6" s="151"/>
      <c r="MP6" s="152"/>
      <c r="MQ6" s="151"/>
      <c r="MR6" s="152"/>
      <c r="MS6" s="151"/>
      <c r="MT6" s="152"/>
      <c r="MU6" s="149"/>
      <c r="MV6" s="150"/>
      <c r="MW6" s="153"/>
      <c r="MX6" s="154"/>
      <c r="MY6" s="155"/>
      <c r="MZ6" s="156"/>
      <c r="NA6" s="157"/>
      <c r="NB6" s="158"/>
      <c r="NC6" s="155"/>
      <c r="ND6" s="156"/>
      <c r="NE6" s="155"/>
      <c r="NF6" s="156"/>
      <c r="NG6" s="155"/>
      <c r="NH6" s="156"/>
      <c r="NI6" s="155"/>
      <c r="NJ6" s="156"/>
      <c r="NK6" s="159"/>
      <c r="NL6" s="160"/>
      <c r="NM6" s="159"/>
      <c r="NN6" s="160"/>
      <c r="NO6" s="155"/>
      <c r="NP6" s="156"/>
      <c r="NQ6" s="155"/>
      <c r="NR6" s="156"/>
      <c r="NS6" s="155"/>
      <c r="NT6" s="156"/>
      <c r="NU6" s="155"/>
      <c r="NV6" s="156"/>
      <c r="NW6" s="155"/>
      <c r="NX6" s="156"/>
      <c r="NY6" s="155"/>
      <c r="NZ6" s="156"/>
      <c r="OA6" s="155"/>
      <c r="OB6" s="156"/>
      <c r="OC6" s="155"/>
      <c r="OD6" s="156"/>
      <c r="OE6" s="151"/>
      <c r="OF6" s="152"/>
      <c r="OG6" s="155"/>
      <c r="OH6" s="156"/>
      <c r="OI6" s="155"/>
      <c r="OJ6" s="156"/>
      <c r="OK6" s="155"/>
      <c r="OL6" s="156"/>
      <c r="OM6" s="155"/>
      <c r="ON6" s="156"/>
      <c r="OO6" s="155"/>
      <c r="OP6" s="156"/>
      <c r="OQ6" s="155"/>
      <c r="OR6" s="156"/>
      <c r="OS6" s="155"/>
      <c r="OT6" s="156"/>
      <c r="OU6" s="155"/>
      <c r="OV6" s="156"/>
      <c r="OW6" s="155"/>
      <c r="OX6" s="156"/>
      <c r="OY6" s="155"/>
      <c r="OZ6" s="156"/>
      <c r="PA6" s="155"/>
      <c r="PB6" s="156"/>
      <c r="PC6" s="155"/>
      <c r="PD6" s="156"/>
      <c r="PE6" s="151"/>
      <c r="PF6" s="152"/>
      <c r="PG6" s="155"/>
      <c r="PH6" s="156"/>
      <c r="PI6" s="169"/>
      <c r="PJ6" s="170"/>
      <c r="PK6" s="169"/>
      <c r="PL6" s="170"/>
      <c r="PM6" s="161"/>
      <c r="PN6" s="162"/>
      <c r="PO6" s="161"/>
      <c r="PP6" s="162"/>
      <c r="PQ6" s="145"/>
      <c r="PR6" s="840">
        <v>437318</v>
      </c>
      <c r="PS6" s="841"/>
      <c r="PT6" s="840">
        <v>437319</v>
      </c>
      <c r="PU6" s="841"/>
      <c r="PV6" s="846">
        <v>437318</v>
      </c>
      <c r="PW6" s="847"/>
      <c r="PX6" s="846">
        <v>437319</v>
      </c>
      <c r="PY6" s="847"/>
      <c r="PZ6" s="836">
        <v>437318</v>
      </c>
      <c r="QA6" s="837"/>
      <c r="QB6" s="836">
        <v>437319</v>
      </c>
      <c r="QC6" s="837"/>
      <c r="QD6" s="145"/>
      <c r="QE6" s="145"/>
      <c r="QF6" s="836">
        <v>438099</v>
      </c>
      <c r="QG6" s="837"/>
      <c r="QH6" s="836">
        <v>438095</v>
      </c>
      <c r="QI6" s="837"/>
      <c r="QJ6" s="836">
        <v>438099</v>
      </c>
      <c r="QK6" s="837"/>
      <c r="QL6" s="836">
        <v>438095</v>
      </c>
      <c r="QM6" s="837"/>
      <c r="QN6" s="836">
        <v>438099</v>
      </c>
      <c r="QO6" s="837"/>
      <c r="QP6" s="836">
        <v>438095</v>
      </c>
      <c r="QQ6" s="837"/>
    </row>
    <row r="7" spans="1:459" x14ac:dyDescent="0.45">
      <c r="A7" s="793"/>
      <c r="B7" s="171" t="s">
        <v>183</v>
      </c>
      <c r="C7" s="172"/>
      <c r="D7" s="173"/>
      <c r="E7" s="144"/>
      <c r="F7" s="848" t="s">
        <v>300</v>
      </c>
      <c r="G7" s="849"/>
      <c r="H7" s="848" t="s">
        <v>300</v>
      </c>
      <c r="I7" s="849"/>
      <c r="J7" s="848" t="s">
        <v>300</v>
      </c>
      <c r="K7" s="849"/>
      <c r="L7" s="848" t="s">
        <v>300</v>
      </c>
      <c r="M7" s="849"/>
      <c r="N7" s="848" t="s">
        <v>300</v>
      </c>
      <c r="O7" s="849"/>
      <c r="P7" s="848" t="s">
        <v>300</v>
      </c>
      <c r="Q7" s="849"/>
      <c r="R7" s="856" t="s">
        <v>300</v>
      </c>
      <c r="S7" s="857"/>
      <c r="T7" s="856" t="s">
        <v>300</v>
      </c>
      <c r="U7" s="857"/>
      <c r="V7" s="856" t="s">
        <v>300</v>
      </c>
      <c r="W7" s="857"/>
      <c r="X7" s="856" t="s">
        <v>300</v>
      </c>
      <c r="Y7" s="857"/>
      <c r="Z7" s="856" t="s">
        <v>300</v>
      </c>
      <c r="AA7" s="857"/>
      <c r="AB7" s="848" t="s">
        <v>300</v>
      </c>
      <c r="AC7" s="849"/>
      <c r="AD7" s="850" t="s">
        <v>300</v>
      </c>
      <c r="AE7" s="851"/>
      <c r="AF7" s="852" t="s">
        <v>300</v>
      </c>
      <c r="AG7" s="853"/>
      <c r="AH7" s="854" t="s">
        <v>301</v>
      </c>
      <c r="AI7" s="855"/>
      <c r="AJ7" s="852" t="s">
        <v>300</v>
      </c>
      <c r="AK7" s="853"/>
      <c r="AL7" s="852" t="s">
        <v>300</v>
      </c>
      <c r="AM7" s="853"/>
      <c r="AN7" s="852" t="s">
        <v>300</v>
      </c>
      <c r="AO7" s="853"/>
      <c r="AP7" s="852" t="s">
        <v>300</v>
      </c>
      <c r="AQ7" s="853"/>
      <c r="AR7" s="858" t="s">
        <v>300</v>
      </c>
      <c r="AS7" s="859"/>
      <c r="AT7" s="858" t="s">
        <v>300</v>
      </c>
      <c r="AU7" s="859"/>
      <c r="AV7" s="852" t="s">
        <v>300</v>
      </c>
      <c r="AW7" s="853"/>
      <c r="AX7" s="852" t="s">
        <v>300</v>
      </c>
      <c r="AY7" s="853"/>
      <c r="AZ7" s="852" t="s">
        <v>300</v>
      </c>
      <c r="BA7" s="853"/>
      <c r="BB7" s="852" t="s">
        <v>300</v>
      </c>
      <c r="BC7" s="853"/>
      <c r="BD7" s="852" t="s">
        <v>300</v>
      </c>
      <c r="BE7" s="853"/>
      <c r="BF7" s="852" t="s">
        <v>300</v>
      </c>
      <c r="BG7" s="853"/>
      <c r="BH7" s="852" t="s">
        <v>300</v>
      </c>
      <c r="BI7" s="853"/>
      <c r="BJ7" s="852" t="s">
        <v>302</v>
      </c>
      <c r="BK7" s="853"/>
      <c r="BL7" s="856" t="s">
        <v>302</v>
      </c>
      <c r="BM7" s="857"/>
      <c r="BN7" s="852" t="s">
        <v>302</v>
      </c>
      <c r="BO7" s="853"/>
      <c r="BP7" s="852" t="s">
        <v>302</v>
      </c>
      <c r="BQ7" s="853"/>
      <c r="BR7" s="852" t="s">
        <v>302</v>
      </c>
      <c r="BS7" s="853"/>
      <c r="BT7" s="852" t="s">
        <v>302</v>
      </c>
      <c r="BU7" s="853"/>
      <c r="BV7" s="852" t="s">
        <v>302</v>
      </c>
      <c r="BW7" s="853"/>
      <c r="BX7" s="852" t="s">
        <v>302</v>
      </c>
      <c r="BY7" s="853"/>
      <c r="BZ7" s="852" t="s">
        <v>302</v>
      </c>
      <c r="CA7" s="853"/>
      <c r="CB7" s="852" t="s">
        <v>302</v>
      </c>
      <c r="CC7" s="853"/>
      <c r="CD7" s="852" t="s">
        <v>302</v>
      </c>
      <c r="CE7" s="853"/>
      <c r="CF7" s="852" t="s">
        <v>302</v>
      </c>
      <c r="CG7" s="853"/>
      <c r="CH7" s="852" t="s">
        <v>302</v>
      </c>
      <c r="CI7" s="853"/>
      <c r="CJ7" s="852" t="s">
        <v>302</v>
      </c>
      <c r="CK7" s="853"/>
      <c r="CL7" s="856" t="s">
        <v>302</v>
      </c>
      <c r="CM7" s="857"/>
      <c r="CN7" s="852" t="s">
        <v>302</v>
      </c>
      <c r="CO7" s="853"/>
      <c r="CP7" s="860" t="s">
        <v>302</v>
      </c>
      <c r="CQ7" s="861"/>
      <c r="CR7" s="860" t="s">
        <v>302</v>
      </c>
      <c r="CS7" s="861"/>
      <c r="CT7" s="145"/>
      <c r="CU7" s="848" t="s">
        <v>303</v>
      </c>
      <c r="CV7" s="849"/>
      <c r="CW7" s="856" t="s">
        <v>303</v>
      </c>
      <c r="CX7" s="857"/>
      <c r="CY7" s="856" t="s">
        <v>303</v>
      </c>
      <c r="CZ7" s="857"/>
      <c r="DA7" s="848" t="s">
        <v>303</v>
      </c>
      <c r="DB7" s="849"/>
      <c r="DC7" s="850" t="s">
        <v>303</v>
      </c>
      <c r="DD7" s="851"/>
      <c r="DE7" s="852" t="s">
        <v>303</v>
      </c>
      <c r="DF7" s="853"/>
      <c r="DG7" s="854" t="s">
        <v>303</v>
      </c>
      <c r="DH7" s="855"/>
      <c r="DI7" s="852" t="s">
        <v>303</v>
      </c>
      <c r="DJ7" s="853"/>
      <c r="DK7" s="852" t="s">
        <v>303</v>
      </c>
      <c r="DL7" s="853"/>
      <c r="DM7" s="852" t="s">
        <v>303</v>
      </c>
      <c r="DN7" s="853"/>
      <c r="DO7" s="852" t="s">
        <v>303</v>
      </c>
      <c r="DP7" s="853"/>
      <c r="DQ7" s="862" t="s">
        <v>303</v>
      </c>
      <c r="DR7" s="863"/>
      <c r="DS7" s="862" t="s">
        <v>303</v>
      </c>
      <c r="DT7" s="863"/>
      <c r="DU7" s="852" t="s">
        <v>303</v>
      </c>
      <c r="DV7" s="853"/>
      <c r="DW7" s="852" t="s">
        <v>303</v>
      </c>
      <c r="DX7" s="853"/>
      <c r="DY7" s="852" t="s">
        <v>303</v>
      </c>
      <c r="DZ7" s="853"/>
      <c r="EA7" s="852" t="s">
        <v>303</v>
      </c>
      <c r="EB7" s="853"/>
      <c r="EC7" s="852" t="s">
        <v>303</v>
      </c>
      <c r="ED7" s="853"/>
      <c r="EE7" s="852" t="s">
        <v>303</v>
      </c>
      <c r="EF7" s="853"/>
      <c r="EG7" s="852" t="s">
        <v>303</v>
      </c>
      <c r="EH7" s="853"/>
      <c r="EI7" s="852" t="s">
        <v>303</v>
      </c>
      <c r="EJ7" s="853"/>
      <c r="EK7" s="856" t="s">
        <v>303</v>
      </c>
      <c r="EL7" s="857"/>
      <c r="EM7" s="852" t="s">
        <v>303</v>
      </c>
      <c r="EN7" s="853"/>
      <c r="EO7" s="852" t="s">
        <v>303</v>
      </c>
      <c r="EP7" s="853"/>
      <c r="EQ7" s="852" t="s">
        <v>303</v>
      </c>
      <c r="ER7" s="853"/>
      <c r="ES7" s="852" t="s">
        <v>303</v>
      </c>
      <c r="ET7" s="853"/>
      <c r="EU7" s="852" t="s">
        <v>303</v>
      </c>
      <c r="EV7" s="853"/>
      <c r="EW7" s="852" t="s">
        <v>303</v>
      </c>
      <c r="EX7" s="853"/>
      <c r="EY7" s="852" t="s">
        <v>303</v>
      </c>
      <c r="EZ7" s="853"/>
      <c r="FA7" s="852" t="s">
        <v>303</v>
      </c>
      <c r="FB7" s="853"/>
      <c r="FC7" s="852" t="s">
        <v>303</v>
      </c>
      <c r="FD7" s="853"/>
      <c r="FE7" s="852" t="s">
        <v>303</v>
      </c>
      <c r="FF7" s="853"/>
      <c r="FG7" s="852" t="s">
        <v>303</v>
      </c>
      <c r="FH7" s="853"/>
      <c r="FI7" s="852" t="s">
        <v>303</v>
      </c>
      <c r="FJ7" s="853"/>
      <c r="FK7" s="856" t="s">
        <v>303</v>
      </c>
      <c r="FL7" s="857"/>
      <c r="FM7" s="852" t="s">
        <v>303</v>
      </c>
      <c r="FN7" s="853"/>
      <c r="FO7" s="860" t="s">
        <v>303</v>
      </c>
      <c r="FP7" s="861"/>
      <c r="FQ7" s="144"/>
      <c r="FR7" s="848" t="s">
        <v>304</v>
      </c>
      <c r="FS7" s="849"/>
      <c r="FT7" s="848" t="s">
        <v>304</v>
      </c>
      <c r="FU7" s="849"/>
      <c r="FV7" s="848" t="s">
        <v>304</v>
      </c>
      <c r="FW7" s="849"/>
      <c r="FX7" s="856" t="s">
        <v>304</v>
      </c>
      <c r="FY7" s="857"/>
      <c r="FZ7" s="856" t="s">
        <v>304</v>
      </c>
      <c r="GA7" s="857"/>
      <c r="GB7" s="856" t="s">
        <v>304</v>
      </c>
      <c r="GC7" s="857"/>
      <c r="GD7" s="856" t="s">
        <v>304</v>
      </c>
      <c r="GE7" s="857"/>
      <c r="GF7" s="856" t="s">
        <v>304</v>
      </c>
      <c r="GG7" s="857"/>
      <c r="GH7" s="848" t="s">
        <v>304</v>
      </c>
      <c r="GI7" s="849"/>
      <c r="GJ7" s="850" t="s">
        <v>304</v>
      </c>
      <c r="GK7" s="851"/>
      <c r="GL7" s="852" t="s">
        <v>304</v>
      </c>
      <c r="GM7" s="853"/>
      <c r="GN7" s="854" t="s">
        <v>304</v>
      </c>
      <c r="GO7" s="855"/>
      <c r="GP7" s="852" t="s">
        <v>304</v>
      </c>
      <c r="GQ7" s="853"/>
      <c r="GR7" s="852" t="s">
        <v>304</v>
      </c>
      <c r="GS7" s="853"/>
      <c r="GT7" s="852" t="s">
        <v>304</v>
      </c>
      <c r="GU7" s="853"/>
      <c r="GV7" s="852" t="s">
        <v>304</v>
      </c>
      <c r="GW7" s="853"/>
      <c r="GX7" s="858" t="s">
        <v>304</v>
      </c>
      <c r="GY7" s="859"/>
      <c r="GZ7" s="858" t="s">
        <v>304</v>
      </c>
      <c r="HA7" s="859"/>
      <c r="HB7" s="852" t="s">
        <v>304</v>
      </c>
      <c r="HC7" s="853"/>
      <c r="HD7" s="852" t="s">
        <v>304</v>
      </c>
      <c r="HE7" s="853"/>
      <c r="HF7" s="852" t="s">
        <v>304</v>
      </c>
      <c r="HG7" s="853"/>
      <c r="HH7" s="852" t="s">
        <v>304</v>
      </c>
      <c r="HI7" s="853"/>
      <c r="HJ7" s="852" t="s">
        <v>304</v>
      </c>
      <c r="HK7" s="853"/>
      <c r="HL7" s="852" t="s">
        <v>304</v>
      </c>
      <c r="HM7" s="853"/>
      <c r="HN7" s="852" t="s">
        <v>304</v>
      </c>
      <c r="HO7" s="853"/>
      <c r="HP7" s="852" t="s">
        <v>304</v>
      </c>
      <c r="HQ7" s="853"/>
      <c r="HR7" s="856" t="s">
        <v>304</v>
      </c>
      <c r="HS7" s="857"/>
      <c r="HT7" s="852" t="s">
        <v>304</v>
      </c>
      <c r="HU7" s="853"/>
      <c r="HV7" s="852" t="s">
        <v>304</v>
      </c>
      <c r="HW7" s="853"/>
      <c r="HX7" s="864" t="s">
        <v>305</v>
      </c>
      <c r="HY7" s="865"/>
      <c r="HZ7" s="864" t="s">
        <v>305</v>
      </c>
      <c r="IA7" s="865"/>
      <c r="IB7" s="864" t="s">
        <v>305</v>
      </c>
      <c r="IC7" s="865"/>
      <c r="ID7" s="866" t="s">
        <v>305</v>
      </c>
      <c r="IE7" s="867"/>
      <c r="IF7" s="866" t="s">
        <v>305</v>
      </c>
      <c r="IG7" s="867"/>
      <c r="IH7" s="866" t="s">
        <v>306</v>
      </c>
      <c r="II7" s="867"/>
      <c r="IJ7" s="866" t="s">
        <v>307</v>
      </c>
      <c r="IK7" s="867"/>
      <c r="IL7" s="866" t="s">
        <v>307</v>
      </c>
      <c r="IM7" s="867"/>
      <c r="IN7" s="866" t="s">
        <v>307</v>
      </c>
      <c r="IO7" s="867"/>
      <c r="IP7" s="866" t="s">
        <v>307</v>
      </c>
      <c r="IQ7" s="867"/>
      <c r="IR7" s="866" t="s">
        <v>307</v>
      </c>
      <c r="IS7" s="867"/>
      <c r="IT7" s="856" t="s">
        <v>304</v>
      </c>
      <c r="IU7" s="857"/>
      <c r="IV7" s="866" t="s">
        <v>307</v>
      </c>
      <c r="IW7" s="867"/>
      <c r="IX7" s="860" t="s">
        <v>307</v>
      </c>
      <c r="IY7" s="861"/>
      <c r="IZ7" s="144"/>
      <c r="JA7" s="860" t="s">
        <v>305</v>
      </c>
      <c r="JB7" s="861"/>
      <c r="JC7" s="860" t="s">
        <v>305</v>
      </c>
      <c r="JD7" s="861"/>
      <c r="JE7" s="144"/>
      <c r="JF7" s="848" t="s">
        <v>308</v>
      </c>
      <c r="JG7" s="849"/>
      <c r="JH7" s="848" t="s">
        <v>308</v>
      </c>
      <c r="JI7" s="849"/>
      <c r="JJ7" s="848" t="s">
        <v>308</v>
      </c>
      <c r="JK7" s="849"/>
      <c r="JL7" s="856" t="s">
        <v>308</v>
      </c>
      <c r="JM7" s="857"/>
      <c r="JN7" s="856" t="s">
        <v>308</v>
      </c>
      <c r="JO7" s="857"/>
      <c r="JP7" s="856" t="s">
        <v>308</v>
      </c>
      <c r="JQ7" s="857"/>
      <c r="JR7" s="848" t="s">
        <v>308</v>
      </c>
      <c r="JS7" s="849"/>
      <c r="JT7" s="850" t="s">
        <v>308</v>
      </c>
      <c r="JU7" s="851"/>
      <c r="JV7" s="852" t="s">
        <v>308</v>
      </c>
      <c r="JW7" s="853"/>
      <c r="JX7" s="854" t="s">
        <v>308</v>
      </c>
      <c r="JY7" s="855"/>
      <c r="JZ7" s="852" t="s">
        <v>308</v>
      </c>
      <c r="KA7" s="853"/>
      <c r="KB7" s="852" t="s">
        <v>308</v>
      </c>
      <c r="KC7" s="853"/>
      <c r="KD7" s="852" t="s">
        <v>308</v>
      </c>
      <c r="KE7" s="853"/>
      <c r="KF7" s="852" t="s">
        <v>308</v>
      </c>
      <c r="KG7" s="853"/>
      <c r="KH7" s="858" t="s">
        <v>308</v>
      </c>
      <c r="KI7" s="859"/>
      <c r="KJ7" s="858" t="s">
        <v>308</v>
      </c>
      <c r="KK7" s="859"/>
      <c r="KL7" s="852" t="s">
        <v>308</v>
      </c>
      <c r="KM7" s="853"/>
      <c r="KN7" s="852" t="s">
        <v>308</v>
      </c>
      <c r="KO7" s="853"/>
      <c r="KP7" s="852" t="s">
        <v>308</v>
      </c>
      <c r="KQ7" s="853"/>
      <c r="KR7" s="852" t="s">
        <v>308</v>
      </c>
      <c r="KS7" s="853"/>
      <c r="KT7" s="852" t="s">
        <v>308</v>
      </c>
      <c r="KU7" s="853"/>
      <c r="KV7" s="852" t="s">
        <v>308</v>
      </c>
      <c r="KW7" s="853"/>
      <c r="KX7" s="852" t="s">
        <v>308</v>
      </c>
      <c r="KY7" s="853"/>
      <c r="KZ7" s="852" t="s">
        <v>308</v>
      </c>
      <c r="LA7" s="853"/>
      <c r="LB7" s="856" t="s">
        <v>308</v>
      </c>
      <c r="LC7" s="857"/>
      <c r="LD7" s="852" t="s">
        <v>308</v>
      </c>
      <c r="LE7" s="853"/>
      <c r="LF7" s="852" t="s">
        <v>308</v>
      </c>
      <c r="LG7" s="853"/>
      <c r="LH7" s="852" t="s">
        <v>308</v>
      </c>
      <c r="LI7" s="853"/>
      <c r="LJ7" s="852" t="s">
        <v>308</v>
      </c>
      <c r="LK7" s="853"/>
      <c r="LL7" s="852" t="s">
        <v>308</v>
      </c>
      <c r="LM7" s="853"/>
      <c r="LN7" s="852" t="s">
        <v>308</v>
      </c>
      <c r="LO7" s="853"/>
      <c r="LP7" s="852" t="s">
        <v>308</v>
      </c>
      <c r="LQ7" s="853"/>
      <c r="LR7" s="852" t="s">
        <v>308</v>
      </c>
      <c r="LS7" s="853"/>
      <c r="LT7" s="852" t="s">
        <v>308</v>
      </c>
      <c r="LU7" s="853"/>
      <c r="LV7" s="852" t="s">
        <v>308</v>
      </c>
      <c r="LW7" s="853"/>
      <c r="LX7" s="852" t="s">
        <v>308</v>
      </c>
      <c r="LY7" s="853"/>
      <c r="LZ7" s="852" t="s">
        <v>308</v>
      </c>
      <c r="MA7" s="853"/>
      <c r="MB7" s="856" t="s">
        <v>308</v>
      </c>
      <c r="MC7" s="857"/>
      <c r="MD7" s="852" t="s">
        <v>308</v>
      </c>
      <c r="ME7" s="853"/>
      <c r="MF7" s="860" t="s">
        <v>308</v>
      </c>
      <c r="MG7" s="861"/>
      <c r="MH7" s="144"/>
      <c r="MI7" s="848" t="s">
        <v>309</v>
      </c>
      <c r="MJ7" s="849"/>
      <c r="MK7" s="848" t="s">
        <v>309</v>
      </c>
      <c r="ML7" s="849"/>
      <c r="MM7" s="848" t="s">
        <v>309</v>
      </c>
      <c r="MN7" s="849"/>
      <c r="MO7" s="856" t="s">
        <v>309</v>
      </c>
      <c r="MP7" s="857"/>
      <c r="MQ7" s="856" t="s">
        <v>309</v>
      </c>
      <c r="MR7" s="857"/>
      <c r="MS7" s="856" t="s">
        <v>309</v>
      </c>
      <c r="MT7" s="857"/>
      <c r="MU7" s="848" t="s">
        <v>309</v>
      </c>
      <c r="MV7" s="849"/>
      <c r="MW7" s="850" t="s">
        <v>309</v>
      </c>
      <c r="MX7" s="851"/>
      <c r="MY7" s="852" t="s">
        <v>309</v>
      </c>
      <c r="MZ7" s="853"/>
      <c r="NA7" s="854" t="s">
        <v>309</v>
      </c>
      <c r="NB7" s="855"/>
      <c r="NC7" s="852" t="s">
        <v>309</v>
      </c>
      <c r="ND7" s="853"/>
      <c r="NE7" s="852" t="s">
        <v>309</v>
      </c>
      <c r="NF7" s="853"/>
      <c r="NG7" s="852" t="s">
        <v>309</v>
      </c>
      <c r="NH7" s="853"/>
      <c r="NI7" s="852" t="s">
        <v>309</v>
      </c>
      <c r="NJ7" s="853"/>
      <c r="NK7" s="858" t="s">
        <v>309</v>
      </c>
      <c r="NL7" s="859"/>
      <c r="NM7" s="858" t="s">
        <v>309</v>
      </c>
      <c r="NN7" s="859"/>
      <c r="NO7" s="852" t="s">
        <v>309</v>
      </c>
      <c r="NP7" s="853"/>
      <c r="NQ7" s="852" t="s">
        <v>309</v>
      </c>
      <c r="NR7" s="853"/>
      <c r="NS7" s="852" t="s">
        <v>309</v>
      </c>
      <c r="NT7" s="853"/>
      <c r="NU7" s="852" t="s">
        <v>309</v>
      </c>
      <c r="NV7" s="853"/>
      <c r="NW7" s="852" t="s">
        <v>309</v>
      </c>
      <c r="NX7" s="853"/>
      <c r="NY7" s="852" t="s">
        <v>309</v>
      </c>
      <c r="NZ7" s="853"/>
      <c r="OA7" s="852" t="s">
        <v>309</v>
      </c>
      <c r="OB7" s="853"/>
      <c r="OC7" s="852" t="s">
        <v>309</v>
      </c>
      <c r="OD7" s="853"/>
      <c r="OE7" s="856" t="s">
        <v>309</v>
      </c>
      <c r="OF7" s="857"/>
      <c r="OG7" s="852" t="s">
        <v>309</v>
      </c>
      <c r="OH7" s="853"/>
      <c r="OI7" s="852" t="s">
        <v>309</v>
      </c>
      <c r="OJ7" s="853"/>
      <c r="OK7" s="852" t="s">
        <v>309</v>
      </c>
      <c r="OL7" s="853"/>
      <c r="OM7" s="852" t="s">
        <v>309</v>
      </c>
      <c r="ON7" s="853"/>
      <c r="OO7" s="852" t="s">
        <v>309</v>
      </c>
      <c r="OP7" s="853"/>
      <c r="OQ7" s="852" t="s">
        <v>309</v>
      </c>
      <c r="OR7" s="853"/>
      <c r="OS7" s="852" t="s">
        <v>309</v>
      </c>
      <c r="OT7" s="853"/>
      <c r="OU7" s="852" t="s">
        <v>309</v>
      </c>
      <c r="OV7" s="853"/>
      <c r="OW7" s="852" t="s">
        <v>309</v>
      </c>
      <c r="OX7" s="853"/>
      <c r="OY7" s="852" t="s">
        <v>309</v>
      </c>
      <c r="OZ7" s="853"/>
      <c r="PA7" s="852" t="s">
        <v>309</v>
      </c>
      <c r="PB7" s="853"/>
      <c r="PC7" s="852" t="s">
        <v>309</v>
      </c>
      <c r="PD7" s="853"/>
      <c r="PE7" s="856" t="s">
        <v>309</v>
      </c>
      <c r="PF7" s="857"/>
      <c r="PG7" s="852" t="s">
        <v>309</v>
      </c>
      <c r="PH7" s="853"/>
      <c r="PI7" s="868" t="s">
        <v>309</v>
      </c>
      <c r="PJ7" s="869"/>
      <c r="PK7" s="868" t="s">
        <v>309</v>
      </c>
      <c r="PL7" s="869"/>
      <c r="PM7" s="860" t="s">
        <v>309</v>
      </c>
      <c r="PN7" s="861"/>
      <c r="PO7" s="860" t="s">
        <v>309</v>
      </c>
      <c r="PP7" s="861"/>
      <c r="PQ7" s="145"/>
      <c r="PR7" s="866" t="s">
        <v>310</v>
      </c>
      <c r="PS7" s="867"/>
      <c r="PT7" s="866" t="s">
        <v>311</v>
      </c>
      <c r="PU7" s="867"/>
      <c r="PV7" s="879" t="s">
        <v>312</v>
      </c>
      <c r="PW7" s="880"/>
      <c r="PX7" s="879" t="s">
        <v>313</v>
      </c>
      <c r="PY7" s="880"/>
      <c r="PZ7" s="860" t="s">
        <v>314</v>
      </c>
      <c r="QA7" s="861"/>
      <c r="QB7" s="860" t="s">
        <v>315</v>
      </c>
      <c r="QC7" s="861"/>
      <c r="QD7" s="145"/>
      <c r="QE7" s="145"/>
      <c r="QF7" s="860" t="s">
        <v>173</v>
      </c>
      <c r="QG7" s="861"/>
      <c r="QH7" s="860" t="s">
        <v>169</v>
      </c>
      <c r="QI7" s="861"/>
      <c r="QJ7" s="860" t="s">
        <v>173</v>
      </c>
      <c r="QK7" s="861"/>
      <c r="QL7" s="860" t="s">
        <v>169</v>
      </c>
      <c r="QM7" s="861"/>
      <c r="QN7" s="860" t="s">
        <v>173</v>
      </c>
      <c r="QO7" s="861"/>
      <c r="QP7" s="860" t="s">
        <v>169</v>
      </c>
      <c r="QQ7" s="861"/>
    </row>
    <row r="8" spans="1:459" x14ac:dyDescent="0.45">
      <c r="A8" s="793"/>
      <c r="B8" s="174" t="s">
        <v>316</v>
      </c>
      <c r="C8" s="175"/>
      <c r="D8" s="176"/>
      <c r="E8" s="177"/>
      <c r="F8" s="178">
        <v>40</v>
      </c>
      <c r="G8" s="179">
        <v>40</v>
      </c>
      <c r="H8" s="178">
        <v>40</v>
      </c>
      <c r="I8" s="179">
        <v>40</v>
      </c>
      <c r="J8" s="178">
        <v>40</v>
      </c>
      <c r="K8" s="179">
        <v>40</v>
      </c>
      <c r="L8" s="178">
        <v>40</v>
      </c>
      <c r="M8" s="179">
        <v>40</v>
      </c>
      <c r="N8" s="178">
        <v>40</v>
      </c>
      <c r="O8" s="179">
        <v>40</v>
      </c>
      <c r="P8" s="178">
        <v>40</v>
      </c>
      <c r="Q8" s="179">
        <v>40</v>
      </c>
      <c r="R8" s="178">
        <v>40</v>
      </c>
      <c r="S8" s="179">
        <v>40</v>
      </c>
      <c r="T8" s="178">
        <v>40</v>
      </c>
      <c r="U8" s="179">
        <v>40</v>
      </c>
      <c r="V8" s="178">
        <v>40</v>
      </c>
      <c r="W8" s="179">
        <v>40</v>
      </c>
      <c r="X8" s="178">
        <v>40</v>
      </c>
      <c r="Y8" s="179">
        <v>40</v>
      </c>
      <c r="Z8" s="178">
        <v>40</v>
      </c>
      <c r="AA8" s="179">
        <v>40</v>
      </c>
      <c r="AB8" s="178">
        <v>40</v>
      </c>
      <c r="AC8" s="179">
        <v>40</v>
      </c>
      <c r="AD8" s="178">
        <v>40</v>
      </c>
      <c r="AE8" s="179">
        <v>40</v>
      </c>
      <c r="AF8" s="178">
        <v>40</v>
      </c>
      <c r="AG8" s="179">
        <v>40</v>
      </c>
      <c r="AH8" s="178">
        <v>40</v>
      </c>
      <c r="AI8" s="179">
        <v>40</v>
      </c>
      <c r="AJ8" s="178">
        <v>40</v>
      </c>
      <c r="AK8" s="179">
        <v>40</v>
      </c>
      <c r="AL8" s="178">
        <v>40</v>
      </c>
      <c r="AM8" s="179">
        <v>40</v>
      </c>
      <c r="AN8" s="178">
        <v>40</v>
      </c>
      <c r="AO8" s="179">
        <v>40</v>
      </c>
      <c r="AP8" s="178">
        <v>40</v>
      </c>
      <c r="AQ8" s="179">
        <v>40</v>
      </c>
      <c r="AR8" s="178">
        <v>40</v>
      </c>
      <c r="AS8" s="179">
        <v>40</v>
      </c>
      <c r="AT8" s="178">
        <v>40</v>
      </c>
      <c r="AU8" s="179">
        <v>40</v>
      </c>
      <c r="AV8" s="178">
        <v>40</v>
      </c>
      <c r="AW8" s="179">
        <v>40</v>
      </c>
      <c r="AX8" s="178">
        <v>40</v>
      </c>
      <c r="AY8" s="179">
        <v>40</v>
      </c>
      <c r="AZ8" s="178">
        <v>40</v>
      </c>
      <c r="BA8" s="179">
        <v>40</v>
      </c>
      <c r="BB8" s="178">
        <v>40</v>
      </c>
      <c r="BC8" s="179">
        <v>40</v>
      </c>
      <c r="BD8" s="178">
        <v>40</v>
      </c>
      <c r="BE8" s="179">
        <v>40</v>
      </c>
      <c r="BF8" s="178">
        <v>40</v>
      </c>
      <c r="BG8" s="179">
        <v>40</v>
      </c>
      <c r="BH8" s="178">
        <v>40</v>
      </c>
      <c r="BI8" s="179">
        <v>40</v>
      </c>
      <c r="BJ8" s="178">
        <v>40</v>
      </c>
      <c r="BK8" s="179">
        <v>40</v>
      </c>
      <c r="BL8" s="178">
        <v>40</v>
      </c>
      <c r="BM8" s="179">
        <v>40</v>
      </c>
      <c r="BN8" s="178">
        <v>40</v>
      </c>
      <c r="BO8" s="179">
        <v>40</v>
      </c>
      <c r="BP8" s="178">
        <v>40</v>
      </c>
      <c r="BQ8" s="179">
        <v>40</v>
      </c>
      <c r="BR8" s="178">
        <v>40</v>
      </c>
      <c r="BS8" s="179">
        <v>40</v>
      </c>
      <c r="BT8" s="178">
        <v>40</v>
      </c>
      <c r="BU8" s="179">
        <v>40</v>
      </c>
      <c r="BV8" s="178">
        <v>40</v>
      </c>
      <c r="BW8" s="179">
        <v>40</v>
      </c>
      <c r="BX8" s="178">
        <v>40</v>
      </c>
      <c r="BY8" s="179">
        <v>40</v>
      </c>
      <c r="BZ8" s="178">
        <v>40</v>
      </c>
      <c r="CA8" s="179">
        <v>40</v>
      </c>
      <c r="CB8" s="178">
        <v>40</v>
      </c>
      <c r="CC8" s="179">
        <v>40</v>
      </c>
      <c r="CD8" s="178">
        <v>40</v>
      </c>
      <c r="CE8" s="179">
        <v>40</v>
      </c>
      <c r="CF8" s="178">
        <v>40</v>
      </c>
      <c r="CG8" s="179">
        <v>40</v>
      </c>
      <c r="CH8" s="178">
        <v>40</v>
      </c>
      <c r="CI8" s="179">
        <v>40</v>
      </c>
      <c r="CJ8" s="178">
        <v>40</v>
      </c>
      <c r="CK8" s="179">
        <v>40</v>
      </c>
      <c r="CL8" s="178">
        <v>40</v>
      </c>
      <c r="CM8" s="179">
        <v>40</v>
      </c>
      <c r="CN8" s="178">
        <v>40</v>
      </c>
      <c r="CO8" s="179">
        <v>40</v>
      </c>
      <c r="CP8" s="178">
        <v>40</v>
      </c>
      <c r="CQ8" s="179">
        <v>40</v>
      </c>
      <c r="CR8" s="178">
        <v>40</v>
      </c>
      <c r="CS8" s="179">
        <v>40</v>
      </c>
      <c r="CT8" s="136"/>
      <c r="CU8" s="178">
        <v>60</v>
      </c>
      <c r="CV8" s="179">
        <f>CU8</f>
        <v>60</v>
      </c>
      <c r="CW8" s="178">
        <v>60</v>
      </c>
      <c r="CX8" s="179">
        <f>CW8</f>
        <v>60</v>
      </c>
      <c r="CY8" s="178">
        <v>60</v>
      </c>
      <c r="CZ8" s="179">
        <f>CY8</f>
        <v>60</v>
      </c>
      <c r="DA8" s="178">
        <v>60</v>
      </c>
      <c r="DB8" s="179">
        <f>DA8</f>
        <v>60</v>
      </c>
      <c r="DC8" s="178">
        <v>60</v>
      </c>
      <c r="DD8" s="179">
        <f>DC8</f>
        <v>60</v>
      </c>
      <c r="DE8" s="178">
        <v>60</v>
      </c>
      <c r="DF8" s="179">
        <f>DE8</f>
        <v>60</v>
      </c>
      <c r="DG8" s="178">
        <v>60</v>
      </c>
      <c r="DH8" s="179">
        <f>DG8</f>
        <v>60</v>
      </c>
      <c r="DI8" s="178">
        <v>60</v>
      </c>
      <c r="DJ8" s="179">
        <f>DI8</f>
        <v>60</v>
      </c>
      <c r="DK8" s="178">
        <v>60</v>
      </c>
      <c r="DL8" s="179">
        <f>DK8</f>
        <v>60</v>
      </c>
      <c r="DM8" s="178">
        <v>60</v>
      </c>
      <c r="DN8" s="179">
        <f>DM8</f>
        <v>60</v>
      </c>
      <c r="DO8" s="178">
        <v>60</v>
      </c>
      <c r="DP8" s="179">
        <f>DO8</f>
        <v>60</v>
      </c>
      <c r="DQ8" s="178">
        <v>60</v>
      </c>
      <c r="DR8" s="179">
        <f>DQ8</f>
        <v>60</v>
      </c>
      <c r="DS8" s="178">
        <v>60</v>
      </c>
      <c r="DT8" s="179">
        <f>DS8</f>
        <v>60</v>
      </c>
      <c r="DU8" s="178">
        <v>60</v>
      </c>
      <c r="DV8" s="179">
        <f>DU8</f>
        <v>60</v>
      </c>
      <c r="DW8" s="178">
        <v>60</v>
      </c>
      <c r="DX8" s="179">
        <f>DW8</f>
        <v>60</v>
      </c>
      <c r="DY8" s="178">
        <v>60</v>
      </c>
      <c r="DZ8" s="179">
        <f>DY8</f>
        <v>60</v>
      </c>
      <c r="EA8" s="178">
        <v>60</v>
      </c>
      <c r="EB8" s="179">
        <f>EA8</f>
        <v>60</v>
      </c>
      <c r="EC8" s="178">
        <v>60</v>
      </c>
      <c r="ED8" s="179">
        <f>EC8</f>
        <v>60</v>
      </c>
      <c r="EE8" s="178">
        <v>60</v>
      </c>
      <c r="EF8" s="179">
        <f>EE8</f>
        <v>60</v>
      </c>
      <c r="EG8" s="178">
        <v>60</v>
      </c>
      <c r="EH8" s="179">
        <f>EG8</f>
        <v>60</v>
      </c>
      <c r="EI8" s="178">
        <v>60</v>
      </c>
      <c r="EJ8" s="179">
        <f>EI8</f>
        <v>60</v>
      </c>
      <c r="EK8" s="178">
        <v>60</v>
      </c>
      <c r="EL8" s="179">
        <f>EK8</f>
        <v>60</v>
      </c>
      <c r="EM8" s="178">
        <v>60</v>
      </c>
      <c r="EN8" s="179">
        <f>EM8</f>
        <v>60</v>
      </c>
      <c r="EO8" s="178">
        <v>60</v>
      </c>
      <c r="EP8" s="179">
        <f>EO8</f>
        <v>60</v>
      </c>
      <c r="EQ8" s="178">
        <v>60</v>
      </c>
      <c r="ER8" s="179">
        <f>EQ8</f>
        <v>60</v>
      </c>
      <c r="ES8" s="178">
        <v>60</v>
      </c>
      <c r="ET8" s="179">
        <f>ES8</f>
        <v>60</v>
      </c>
      <c r="EU8" s="178">
        <v>60</v>
      </c>
      <c r="EV8" s="179">
        <f>EU8</f>
        <v>60</v>
      </c>
      <c r="EW8" s="178">
        <v>60</v>
      </c>
      <c r="EX8" s="179">
        <f>EW8</f>
        <v>60</v>
      </c>
      <c r="EY8" s="178">
        <v>60</v>
      </c>
      <c r="EZ8" s="179">
        <f>EY8</f>
        <v>60</v>
      </c>
      <c r="FA8" s="178">
        <v>60</v>
      </c>
      <c r="FB8" s="179">
        <f>FA8</f>
        <v>60</v>
      </c>
      <c r="FC8" s="178">
        <v>60</v>
      </c>
      <c r="FD8" s="179">
        <f>FC8</f>
        <v>60</v>
      </c>
      <c r="FE8" s="178">
        <v>60</v>
      </c>
      <c r="FF8" s="179">
        <f>FE8</f>
        <v>60</v>
      </c>
      <c r="FG8" s="178">
        <v>60</v>
      </c>
      <c r="FH8" s="179">
        <f>FG8</f>
        <v>60</v>
      </c>
      <c r="FI8" s="178">
        <v>60</v>
      </c>
      <c r="FJ8" s="179">
        <f>FI8</f>
        <v>60</v>
      </c>
      <c r="FK8" s="178">
        <v>60</v>
      </c>
      <c r="FL8" s="179">
        <f>FK8</f>
        <v>60</v>
      </c>
      <c r="FM8" s="178">
        <v>60</v>
      </c>
      <c r="FN8" s="179">
        <f>FM8</f>
        <v>60</v>
      </c>
      <c r="FO8" s="178">
        <v>60</v>
      </c>
      <c r="FP8" s="179">
        <f>FO8</f>
        <v>60</v>
      </c>
      <c r="FQ8" s="177"/>
      <c r="FR8" s="178">
        <v>40</v>
      </c>
      <c r="FS8" s="179">
        <v>40</v>
      </c>
      <c r="FT8" s="178">
        <v>40</v>
      </c>
      <c r="FU8" s="179">
        <v>40</v>
      </c>
      <c r="FV8" s="178">
        <v>40</v>
      </c>
      <c r="FW8" s="179">
        <v>40</v>
      </c>
      <c r="FX8" s="178">
        <v>40</v>
      </c>
      <c r="FY8" s="179">
        <v>40</v>
      </c>
      <c r="FZ8" s="178">
        <v>40</v>
      </c>
      <c r="GA8" s="179">
        <v>40</v>
      </c>
      <c r="GB8" s="178">
        <v>40</v>
      </c>
      <c r="GC8" s="179">
        <v>40</v>
      </c>
      <c r="GD8" s="178">
        <v>40</v>
      </c>
      <c r="GE8" s="179">
        <v>40</v>
      </c>
      <c r="GF8" s="178">
        <v>40</v>
      </c>
      <c r="GG8" s="179">
        <v>40</v>
      </c>
      <c r="GH8" s="178">
        <v>40</v>
      </c>
      <c r="GI8" s="179">
        <v>40</v>
      </c>
      <c r="GJ8" s="178">
        <v>40</v>
      </c>
      <c r="GK8" s="179">
        <v>40</v>
      </c>
      <c r="GL8" s="178">
        <v>40</v>
      </c>
      <c r="GM8" s="179">
        <v>40</v>
      </c>
      <c r="GN8" s="178">
        <v>40</v>
      </c>
      <c r="GO8" s="179">
        <v>40</v>
      </c>
      <c r="GP8" s="178">
        <v>40</v>
      </c>
      <c r="GQ8" s="179">
        <v>40</v>
      </c>
      <c r="GR8" s="178">
        <v>40</v>
      </c>
      <c r="GS8" s="179">
        <v>40</v>
      </c>
      <c r="GT8" s="178">
        <v>40</v>
      </c>
      <c r="GU8" s="179">
        <v>40</v>
      </c>
      <c r="GV8" s="178">
        <v>40</v>
      </c>
      <c r="GW8" s="179">
        <v>40</v>
      </c>
      <c r="GX8" s="178">
        <v>40</v>
      </c>
      <c r="GY8" s="179">
        <v>40</v>
      </c>
      <c r="GZ8" s="178">
        <v>40</v>
      </c>
      <c r="HA8" s="179">
        <v>40</v>
      </c>
      <c r="HB8" s="178">
        <v>40</v>
      </c>
      <c r="HC8" s="179">
        <v>40</v>
      </c>
      <c r="HD8" s="178">
        <v>40</v>
      </c>
      <c r="HE8" s="179">
        <v>40</v>
      </c>
      <c r="HF8" s="178">
        <v>40</v>
      </c>
      <c r="HG8" s="179">
        <v>40</v>
      </c>
      <c r="HH8" s="178">
        <v>40</v>
      </c>
      <c r="HI8" s="179">
        <v>40</v>
      </c>
      <c r="HJ8" s="178">
        <v>40</v>
      </c>
      <c r="HK8" s="179">
        <v>40</v>
      </c>
      <c r="HL8" s="178">
        <v>40</v>
      </c>
      <c r="HM8" s="179">
        <v>40</v>
      </c>
      <c r="HN8" s="178">
        <v>40</v>
      </c>
      <c r="HO8" s="179">
        <v>40</v>
      </c>
      <c r="HP8" s="178">
        <v>40</v>
      </c>
      <c r="HQ8" s="179">
        <v>40</v>
      </c>
      <c r="HR8" s="178">
        <v>40</v>
      </c>
      <c r="HS8" s="179">
        <v>40</v>
      </c>
      <c r="HT8" s="178">
        <v>40</v>
      </c>
      <c r="HU8" s="179">
        <v>40</v>
      </c>
      <c r="HV8" s="178">
        <v>40</v>
      </c>
      <c r="HW8" s="179">
        <v>40</v>
      </c>
      <c r="HX8" s="178">
        <v>40</v>
      </c>
      <c r="HY8" s="179">
        <v>40</v>
      </c>
      <c r="HZ8" s="178">
        <v>40</v>
      </c>
      <c r="IA8" s="179">
        <v>40</v>
      </c>
      <c r="IB8" s="178">
        <v>40</v>
      </c>
      <c r="IC8" s="179">
        <v>40</v>
      </c>
      <c r="ID8" s="178">
        <v>40</v>
      </c>
      <c r="IE8" s="179">
        <v>40</v>
      </c>
      <c r="IF8" s="178">
        <v>40</v>
      </c>
      <c r="IG8" s="179">
        <v>40</v>
      </c>
      <c r="IH8" s="178">
        <v>40</v>
      </c>
      <c r="II8" s="179">
        <v>40</v>
      </c>
      <c r="IJ8" s="178">
        <v>40</v>
      </c>
      <c r="IK8" s="179">
        <v>40</v>
      </c>
      <c r="IL8" s="178">
        <v>40</v>
      </c>
      <c r="IM8" s="179">
        <v>40</v>
      </c>
      <c r="IN8" s="178">
        <v>40</v>
      </c>
      <c r="IO8" s="179">
        <v>40</v>
      </c>
      <c r="IP8" s="178">
        <v>40</v>
      </c>
      <c r="IQ8" s="179">
        <v>40</v>
      </c>
      <c r="IR8" s="178">
        <v>40</v>
      </c>
      <c r="IS8" s="179">
        <v>40</v>
      </c>
      <c r="IT8" s="178">
        <v>40</v>
      </c>
      <c r="IU8" s="179">
        <v>40</v>
      </c>
      <c r="IV8" s="178">
        <v>40</v>
      </c>
      <c r="IW8" s="179">
        <v>40</v>
      </c>
      <c r="IX8" s="178">
        <v>40</v>
      </c>
      <c r="IY8" s="179">
        <v>40</v>
      </c>
      <c r="IZ8" s="177"/>
      <c r="JA8" s="178">
        <v>40</v>
      </c>
      <c r="JB8" s="179">
        <v>40</v>
      </c>
      <c r="JC8" s="178">
        <v>40</v>
      </c>
      <c r="JD8" s="179">
        <v>40</v>
      </c>
      <c r="JE8" s="177"/>
      <c r="JF8" s="178">
        <v>40</v>
      </c>
      <c r="JG8" s="179">
        <v>40</v>
      </c>
      <c r="JH8" s="178">
        <v>40</v>
      </c>
      <c r="JI8" s="179">
        <v>40</v>
      </c>
      <c r="JJ8" s="178">
        <v>40</v>
      </c>
      <c r="JK8" s="179">
        <v>40</v>
      </c>
      <c r="JL8" s="178">
        <v>40</v>
      </c>
      <c r="JM8" s="179">
        <v>40</v>
      </c>
      <c r="JN8" s="178">
        <v>40</v>
      </c>
      <c r="JO8" s="179">
        <v>40</v>
      </c>
      <c r="JP8" s="178">
        <v>40</v>
      </c>
      <c r="JQ8" s="179">
        <v>40</v>
      </c>
      <c r="JR8" s="178">
        <v>40</v>
      </c>
      <c r="JS8" s="179">
        <v>40</v>
      </c>
      <c r="JT8" s="178">
        <v>40</v>
      </c>
      <c r="JU8" s="179">
        <v>40</v>
      </c>
      <c r="JV8" s="178">
        <v>40</v>
      </c>
      <c r="JW8" s="179">
        <v>40</v>
      </c>
      <c r="JX8" s="178">
        <v>40</v>
      </c>
      <c r="JY8" s="179">
        <v>40</v>
      </c>
      <c r="JZ8" s="178">
        <v>40</v>
      </c>
      <c r="KA8" s="179">
        <v>40</v>
      </c>
      <c r="KB8" s="178">
        <v>40</v>
      </c>
      <c r="KC8" s="179">
        <v>40</v>
      </c>
      <c r="KD8" s="178">
        <v>40</v>
      </c>
      <c r="KE8" s="179">
        <v>40</v>
      </c>
      <c r="KF8" s="178">
        <v>40</v>
      </c>
      <c r="KG8" s="179">
        <v>40</v>
      </c>
      <c r="KH8" s="178">
        <v>40</v>
      </c>
      <c r="KI8" s="179">
        <v>40</v>
      </c>
      <c r="KJ8" s="178">
        <v>40</v>
      </c>
      <c r="KK8" s="179">
        <v>40</v>
      </c>
      <c r="KL8" s="178">
        <v>40</v>
      </c>
      <c r="KM8" s="179">
        <v>40</v>
      </c>
      <c r="KN8" s="178">
        <v>40</v>
      </c>
      <c r="KO8" s="179">
        <v>40</v>
      </c>
      <c r="KP8" s="178">
        <v>40</v>
      </c>
      <c r="KQ8" s="179">
        <v>40</v>
      </c>
      <c r="KR8" s="178">
        <v>40</v>
      </c>
      <c r="KS8" s="179">
        <v>40</v>
      </c>
      <c r="KT8" s="178">
        <v>40</v>
      </c>
      <c r="KU8" s="179">
        <v>40</v>
      </c>
      <c r="KV8" s="178">
        <v>40</v>
      </c>
      <c r="KW8" s="179">
        <v>40</v>
      </c>
      <c r="KX8" s="178">
        <v>40</v>
      </c>
      <c r="KY8" s="179">
        <v>40</v>
      </c>
      <c r="KZ8" s="178">
        <v>40</v>
      </c>
      <c r="LA8" s="179">
        <v>40</v>
      </c>
      <c r="LB8" s="178">
        <v>40</v>
      </c>
      <c r="LC8" s="179">
        <v>40</v>
      </c>
      <c r="LD8" s="178">
        <v>40</v>
      </c>
      <c r="LE8" s="179">
        <v>40</v>
      </c>
      <c r="LF8" s="178">
        <v>40</v>
      </c>
      <c r="LG8" s="179">
        <v>40</v>
      </c>
      <c r="LH8" s="178">
        <v>40</v>
      </c>
      <c r="LI8" s="179">
        <v>40</v>
      </c>
      <c r="LJ8" s="178">
        <v>40</v>
      </c>
      <c r="LK8" s="179">
        <v>40</v>
      </c>
      <c r="LL8" s="178">
        <v>40</v>
      </c>
      <c r="LM8" s="179">
        <v>40</v>
      </c>
      <c r="LN8" s="178">
        <v>40</v>
      </c>
      <c r="LO8" s="179">
        <v>40</v>
      </c>
      <c r="LP8" s="178">
        <v>40</v>
      </c>
      <c r="LQ8" s="179">
        <v>40</v>
      </c>
      <c r="LR8" s="178">
        <v>40</v>
      </c>
      <c r="LS8" s="179">
        <v>40</v>
      </c>
      <c r="LT8" s="178">
        <v>40</v>
      </c>
      <c r="LU8" s="179">
        <v>40</v>
      </c>
      <c r="LV8" s="178">
        <v>40</v>
      </c>
      <c r="LW8" s="179">
        <v>40</v>
      </c>
      <c r="LX8" s="178">
        <v>40</v>
      </c>
      <c r="LY8" s="179">
        <v>40</v>
      </c>
      <c r="LZ8" s="178">
        <v>40</v>
      </c>
      <c r="MA8" s="179">
        <v>40</v>
      </c>
      <c r="MB8" s="178">
        <v>40</v>
      </c>
      <c r="MC8" s="179">
        <v>40</v>
      </c>
      <c r="MD8" s="178">
        <v>40</v>
      </c>
      <c r="ME8" s="179">
        <v>40</v>
      </c>
      <c r="MF8" s="178">
        <v>40</v>
      </c>
      <c r="MG8" s="179">
        <v>40</v>
      </c>
      <c r="MH8" s="177"/>
      <c r="MI8" s="178">
        <v>40</v>
      </c>
      <c r="MJ8" s="179">
        <v>40</v>
      </c>
      <c r="MK8" s="178">
        <v>40</v>
      </c>
      <c r="ML8" s="179">
        <v>40</v>
      </c>
      <c r="MM8" s="178">
        <v>40</v>
      </c>
      <c r="MN8" s="179">
        <v>40</v>
      </c>
      <c r="MO8" s="178">
        <v>40</v>
      </c>
      <c r="MP8" s="179">
        <v>40</v>
      </c>
      <c r="MQ8" s="178">
        <v>40</v>
      </c>
      <c r="MR8" s="179">
        <v>40</v>
      </c>
      <c r="MS8" s="178">
        <v>40</v>
      </c>
      <c r="MT8" s="179">
        <v>40</v>
      </c>
      <c r="MU8" s="178">
        <v>40</v>
      </c>
      <c r="MV8" s="179">
        <v>40</v>
      </c>
      <c r="MW8" s="178">
        <v>40</v>
      </c>
      <c r="MX8" s="179">
        <v>40</v>
      </c>
      <c r="MY8" s="178">
        <v>40</v>
      </c>
      <c r="MZ8" s="179">
        <v>40</v>
      </c>
      <c r="NA8" s="178">
        <v>40</v>
      </c>
      <c r="NB8" s="179">
        <v>40</v>
      </c>
      <c r="NC8" s="178">
        <v>40</v>
      </c>
      <c r="ND8" s="179">
        <v>40</v>
      </c>
      <c r="NE8" s="178">
        <v>40</v>
      </c>
      <c r="NF8" s="179">
        <v>40</v>
      </c>
      <c r="NG8" s="178">
        <v>40</v>
      </c>
      <c r="NH8" s="179">
        <v>40</v>
      </c>
      <c r="NI8" s="178">
        <v>40</v>
      </c>
      <c r="NJ8" s="179">
        <v>40</v>
      </c>
      <c r="NK8" s="178">
        <v>40</v>
      </c>
      <c r="NL8" s="179">
        <v>40</v>
      </c>
      <c r="NM8" s="178">
        <v>40</v>
      </c>
      <c r="NN8" s="179">
        <v>40</v>
      </c>
      <c r="NO8" s="178">
        <v>40</v>
      </c>
      <c r="NP8" s="179">
        <v>40</v>
      </c>
      <c r="NQ8" s="178">
        <v>40</v>
      </c>
      <c r="NR8" s="179">
        <v>40</v>
      </c>
      <c r="NS8" s="178">
        <v>40</v>
      </c>
      <c r="NT8" s="179">
        <v>40</v>
      </c>
      <c r="NU8" s="178">
        <v>40</v>
      </c>
      <c r="NV8" s="179">
        <v>40</v>
      </c>
      <c r="NW8" s="178">
        <v>40</v>
      </c>
      <c r="NX8" s="179">
        <v>40</v>
      </c>
      <c r="NY8" s="178">
        <v>40</v>
      </c>
      <c r="NZ8" s="179">
        <v>40</v>
      </c>
      <c r="OA8" s="178">
        <v>40</v>
      </c>
      <c r="OB8" s="179">
        <v>40</v>
      </c>
      <c r="OC8" s="178">
        <v>40</v>
      </c>
      <c r="OD8" s="179">
        <v>40</v>
      </c>
      <c r="OE8" s="178">
        <v>40</v>
      </c>
      <c r="OF8" s="179">
        <v>40</v>
      </c>
      <c r="OG8" s="178">
        <v>40</v>
      </c>
      <c r="OH8" s="179">
        <v>40</v>
      </c>
      <c r="OI8" s="178">
        <v>40</v>
      </c>
      <c r="OJ8" s="179">
        <v>40</v>
      </c>
      <c r="OK8" s="178">
        <v>40</v>
      </c>
      <c r="OL8" s="179">
        <v>40</v>
      </c>
      <c r="OM8" s="178">
        <v>40</v>
      </c>
      <c r="ON8" s="179">
        <v>40</v>
      </c>
      <c r="OO8" s="178">
        <v>40</v>
      </c>
      <c r="OP8" s="179">
        <v>40</v>
      </c>
      <c r="OQ8" s="178">
        <v>40</v>
      </c>
      <c r="OR8" s="179">
        <v>40</v>
      </c>
      <c r="OS8" s="178">
        <v>40</v>
      </c>
      <c r="OT8" s="179">
        <v>40</v>
      </c>
      <c r="OU8" s="178">
        <v>40</v>
      </c>
      <c r="OV8" s="179">
        <v>40</v>
      </c>
      <c r="OW8" s="178">
        <v>40</v>
      </c>
      <c r="OX8" s="179">
        <v>40</v>
      </c>
      <c r="OY8" s="178">
        <v>40</v>
      </c>
      <c r="OZ8" s="179">
        <v>40</v>
      </c>
      <c r="PA8" s="178">
        <v>40</v>
      </c>
      <c r="PB8" s="179">
        <v>40</v>
      </c>
      <c r="PC8" s="178">
        <v>40</v>
      </c>
      <c r="PD8" s="179">
        <v>40</v>
      </c>
      <c r="PE8" s="178">
        <v>40</v>
      </c>
      <c r="PF8" s="179">
        <v>40</v>
      </c>
      <c r="PG8" s="178">
        <v>40</v>
      </c>
      <c r="PH8" s="179">
        <v>40</v>
      </c>
      <c r="PI8" s="178">
        <v>40</v>
      </c>
      <c r="PJ8" s="179">
        <v>40</v>
      </c>
      <c r="PK8" s="178">
        <v>40</v>
      </c>
      <c r="PL8" s="179">
        <v>40</v>
      </c>
      <c r="PM8" s="178">
        <v>40</v>
      </c>
      <c r="PN8" s="179">
        <v>40</v>
      </c>
      <c r="PO8" s="178">
        <v>40</v>
      </c>
      <c r="PP8" s="179">
        <v>40</v>
      </c>
      <c r="PR8" s="178">
        <v>20</v>
      </c>
      <c r="PS8" s="179">
        <v>20</v>
      </c>
      <c r="PT8" s="178">
        <v>20</v>
      </c>
      <c r="PU8" s="179">
        <v>20</v>
      </c>
      <c r="PV8" s="178">
        <v>20</v>
      </c>
      <c r="PW8" s="179">
        <v>20</v>
      </c>
      <c r="PX8" s="178">
        <v>20</v>
      </c>
      <c r="PY8" s="179">
        <v>20</v>
      </c>
      <c r="PZ8" s="178">
        <v>20</v>
      </c>
      <c r="QA8" s="179">
        <v>20</v>
      </c>
      <c r="QB8" s="178">
        <v>20</v>
      </c>
      <c r="QC8" s="179">
        <v>20</v>
      </c>
      <c r="QF8" s="178">
        <v>20</v>
      </c>
      <c r="QG8" s="179">
        <v>20</v>
      </c>
      <c r="QH8" s="178">
        <v>20</v>
      </c>
      <c r="QI8" s="179">
        <v>20</v>
      </c>
      <c r="QJ8" s="178">
        <v>20</v>
      </c>
      <c r="QK8" s="179">
        <v>20</v>
      </c>
      <c r="QL8" s="178">
        <v>20</v>
      </c>
      <c r="QM8" s="179">
        <v>20</v>
      </c>
      <c r="QN8" s="178">
        <v>20</v>
      </c>
      <c r="QO8" s="179">
        <v>20</v>
      </c>
      <c r="QP8" s="178">
        <v>20</v>
      </c>
      <c r="QQ8" s="179">
        <v>20</v>
      </c>
    </row>
    <row r="9" spans="1:459" x14ac:dyDescent="0.45">
      <c r="A9" s="793"/>
      <c r="B9" s="180" t="s">
        <v>317</v>
      </c>
      <c r="C9" s="181"/>
      <c r="D9" s="182"/>
      <c r="E9" s="183"/>
      <c r="F9" s="184" t="s">
        <v>318</v>
      </c>
      <c r="G9" s="185" t="s">
        <v>192</v>
      </c>
      <c r="H9" s="184" t="s">
        <v>318</v>
      </c>
      <c r="I9" s="185" t="s">
        <v>192</v>
      </c>
      <c r="J9" s="184" t="s">
        <v>318</v>
      </c>
      <c r="K9" s="185" t="s">
        <v>192</v>
      </c>
      <c r="L9" s="184" t="s">
        <v>318</v>
      </c>
      <c r="M9" s="185" t="s">
        <v>192</v>
      </c>
      <c r="N9" s="184" t="s">
        <v>318</v>
      </c>
      <c r="O9" s="185" t="s">
        <v>192</v>
      </c>
      <c r="P9" s="184" t="s">
        <v>318</v>
      </c>
      <c r="Q9" s="185" t="s">
        <v>192</v>
      </c>
      <c r="R9" s="184" t="s">
        <v>318</v>
      </c>
      <c r="S9" s="185" t="s">
        <v>192</v>
      </c>
      <c r="T9" s="184" t="s">
        <v>318</v>
      </c>
      <c r="U9" s="185" t="s">
        <v>192</v>
      </c>
      <c r="V9" s="184" t="s">
        <v>318</v>
      </c>
      <c r="W9" s="185" t="s">
        <v>192</v>
      </c>
      <c r="X9" s="184" t="s">
        <v>318</v>
      </c>
      <c r="Y9" s="185" t="s">
        <v>192</v>
      </c>
      <c r="Z9" s="184" t="s">
        <v>318</v>
      </c>
      <c r="AA9" s="185" t="s">
        <v>192</v>
      </c>
      <c r="AB9" s="184" t="s">
        <v>318</v>
      </c>
      <c r="AC9" s="185" t="s">
        <v>192</v>
      </c>
      <c r="AD9" s="184" t="s">
        <v>318</v>
      </c>
      <c r="AE9" s="185" t="s">
        <v>192</v>
      </c>
      <c r="AF9" s="184" t="s">
        <v>318</v>
      </c>
      <c r="AG9" s="185" t="s">
        <v>192</v>
      </c>
      <c r="AH9" s="184" t="s">
        <v>318</v>
      </c>
      <c r="AI9" s="185" t="s">
        <v>192</v>
      </c>
      <c r="AJ9" s="184" t="s">
        <v>318</v>
      </c>
      <c r="AK9" s="185" t="s">
        <v>192</v>
      </c>
      <c r="AL9" s="184" t="s">
        <v>318</v>
      </c>
      <c r="AM9" s="185" t="s">
        <v>192</v>
      </c>
      <c r="AN9" s="184" t="s">
        <v>318</v>
      </c>
      <c r="AO9" s="185" t="s">
        <v>192</v>
      </c>
      <c r="AP9" s="184" t="s">
        <v>318</v>
      </c>
      <c r="AQ9" s="185" t="s">
        <v>192</v>
      </c>
      <c r="AR9" s="184" t="s">
        <v>318</v>
      </c>
      <c r="AS9" s="185" t="s">
        <v>192</v>
      </c>
      <c r="AT9" s="184" t="s">
        <v>318</v>
      </c>
      <c r="AU9" s="185" t="s">
        <v>192</v>
      </c>
      <c r="AV9" s="184" t="s">
        <v>318</v>
      </c>
      <c r="AW9" s="185" t="s">
        <v>192</v>
      </c>
      <c r="AX9" s="184" t="s">
        <v>318</v>
      </c>
      <c r="AY9" s="185" t="s">
        <v>192</v>
      </c>
      <c r="AZ9" s="184" t="s">
        <v>318</v>
      </c>
      <c r="BA9" s="185" t="s">
        <v>192</v>
      </c>
      <c r="BB9" s="184" t="s">
        <v>318</v>
      </c>
      <c r="BC9" s="185" t="s">
        <v>192</v>
      </c>
      <c r="BD9" s="184" t="s">
        <v>318</v>
      </c>
      <c r="BE9" s="185" t="s">
        <v>192</v>
      </c>
      <c r="BF9" s="184" t="s">
        <v>318</v>
      </c>
      <c r="BG9" s="185" t="s">
        <v>192</v>
      </c>
      <c r="BH9" s="184" t="s">
        <v>318</v>
      </c>
      <c r="BI9" s="185" t="s">
        <v>192</v>
      </c>
      <c r="BJ9" s="184" t="s">
        <v>318</v>
      </c>
      <c r="BK9" s="185" t="s">
        <v>192</v>
      </c>
      <c r="BL9" s="184" t="s">
        <v>318</v>
      </c>
      <c r="BM9" s="185" t="s">
        <v>192</v>
      </c>
      <c r="BN9" s="184" t="s">
        <v>318</v>
      </c>
      <c r="BO9" s="185" t="s">
        <v>192</v>
      </c>
      <c r="BP9" s="184" t="s">
        <v>318</v>
      </c>
      <c r="BQ9" s="185" t="s">
        <v>192</v>
      </c>
      <c r="BR9" s="184" t="s">
        <v>318</v>
      </c>
      <c r="BS9" s="185" t="s">
        <v>192</v>
      </c>
      <c r="BT9" s="184" t="s">
        <v>318</v>
      </c>
      <c r="BU9" s="185" t="s">
        <v>192</v>
      </c>
      <c r="BV9" s="184" t="s">
        <v>318</v>
      </c>
      <c r="BW9" s="185" t="s">
        <v>192</v>
      </c>
      <c r="BX9" s="184" t="s">
        <v>318</v>
      </c>
      <c r="BY9" s="185" t="s">
        <v>192</v>
      </c>
      <c r="BZ9" s="184" t="s">
        <v>318</v>
      </c>
      <c r="CA9" s="185" t="s">
        <v>192</v>
      </c>
      <c r="CB9" s="184" t="s">
        <v>318</v>
      </c>
      <c r="CC9" s="185" t="s">
        <v>192</v>
      </c>
      <c r="CD9" s="184" t="s">
        <v>318</v>
      </c>
      <c r="CE9" s="185" t="s">
        <v>192</v>
      </c>
      <c r="CF9" s="184" t="s">
        <v>318</v>
      </c>
      <c r="CG9" s="185" t="s">
        <v>192</v>
      </c>
      <c r="CH9" s="184" t="s">
        <v>318</v>
      </c>
      <c r="CI9" s="185" t="s">
        <v>192</v>
      </c>
      <c r="CJ9" s="184" t="s">
        <v>318</v>
      </c>
      <c r="CK9" s="185" t="s">
        <v>192</v>
      </c>
      <c r="CL9" s="184" t="s">
        <v>318</v>
      </c>
      <c r="CM9" s="185" t="s">
        <v>192</v>
      </c>
      <c r="CN9" s="184" t="s">
        <v>318</v>
      </c>
      <c r="CO9" s="185" t="s">
        <v>192</v>
      </c>
      <c r="CP9" s="184" t="s">
        <v>318</v>
      </c>
      <c r="CQ9" s="185" t="s">
        <v>192</v>
      </c>
      <c r="CR9" s="184" t="s">
        <v>318</v>
      </c>
      <c r="CS9" s="185" t="s">
        <v>192</v>
      </c>
      <c r="CT9" s="136"/>
      <c r="CU9" s="184" t="s">
        <v>318</v>
      </c>
      <c r="CV9" s="185" t="s">
        <v>192</v>
      </c>
      <c r="CW9" s="184" t="s">
        <v>318</v>
      </c>
      <c r="CX9" s="185" t="s">
        <v>192</v>
      </c>
      <c r="CY9" s="184" t="s">
        <v>318</v>
      </c>
      <c r="CZ9" s="185" t="s">
        <v>192</v>
      </c>
      <c r="DA9" s="184" t="s">
        <v>318</v>
      </c>
      <c r="DB9" s="185" t="s">
        <v>192</v>
      </c>
      <c r="DC9" s="184" t="s">
        <v>318</v>
      </c>
      <c r="DD9" s="185" t="s">
        <v>192</v>
      </c>
      <c r="DE9" s="184" t="s">
        <v>318</v>
      </c>
      <c r="DF9" s="185" t="s">
        <v>192</v>
      </c>
      <c r="DG9" s="184" t="s">
        <v>318</v>
      </c>
      <c r="DH9" s="185" t="s">
        <v>192</v>
      </c>
      <c r="DI9" s="184" t="s">
        <v>318</v>
      </c>
      <c r="DJ9" s="185" t="s">
        <v>192</v>
      </c>
      <c r="DK9" s="184" t="s">
        <v>318</v>
      </c>
      <c r="DL9" s="185" t="s">
        <v>192</v>
      </c>
      <c r="DM9" s="184" t="s">
        <v>318</v>
      </c>
      <c r="DN9" s="185" t="s">
        <v>192</v>
      </c>
      <c r="DO9" s="184" t="s">
        <v>318</v>
      </c>
      <c r="DP9" s="185" t="s">
        <v>192</v>
      </c>
      <c r="DQ9" s="184" t="s">
        <v>318</v>
      </c>
      <c r="DR9" s="185" t="s">
        <v>192</v>
      </c>
      <c r="DS9" s="184" t="s">
        <v>318</v>
      </c>
      <c r="DT9" s="185" t="s">
        <v>192</v>
      </c>
      <c r="DU9" s="184" t="s">
        <v>318</v>
      </c>
      <c r="DV9" s="185" t="s">
        <v>192</v>
      </c>
      <c r="DW9" s="184" t="s">
        <v>318</v>
      </c>
      <c r="DX9" s="185" t="s">
        <v>192</v>
      </c>
      <c r="DY9" s="184" t="s">
        <v>318</v>
      </c>
      <c r="DZ9" s="185" t="s">
        <v>192</v>
      </c>
      <c r="EA9" s="184" t="s">
        <v>318</v>
      </c>
      <c r="EB9" s="185" t="s">
        <v>192</v>
      </c>
      <c r="EC9" s="184" t="s">
        <v>318</v>
      </c>
      <c r="ED9" s="185" t="s">
        <v>192</v>
      </c>
      <c r="EE9" s="184" t="s">
        <v>318</v>
      </c>
      <c r="EF9" s="185" t="s">
        <v>192</v>
      </c>
      <c r="EG9" s="184" t="s">
        <v>318</v>
      </c>
      <c r="EH9" s="185" t="s">
        <v>192</v>
      </c>
      <c r="EI9" s="184" t="s">
        <v>318</v>
      </c>
      <c r="EJ9" s="185" t="s">
        <v>192</v>
      </c>
      <c r="EK9" s="184" t="s">
        <v>318</v>
      </c>
      <c r="EL9" s="185" t="s">
        <v>192</v>
      </c>
      <c r="EM9" s="184" t="s">
        <v>318</v>
      </c>
      <c r="EN9" s="185" t="s">
        <v>192</v>
      </c>
      <c r="EO9" s="184" t="s">
        <v>318</v>
      </c>
      <c r="EP9" s="185" t="s">
        <v>192</v>
      </c>
      <c r="EQ9" s="184" t="s">
        <v>318</v>
      </c>
      <c r="ER9" s="185" t="s">
        <v>192</v>
      </c>
      <c r="ES9" s="184" t="s">
        <v>318</v>
      </c>
      <c r="ET9" s="185" t="s">
        <v>192</v>
      </c>
      <c r="EU9" s="184" t="s">
        <v>318</v>
      </c>
      <c r="EV9" s="185" t="s">
        <v>192</v>
      </c>
      <c r="EW9" s="184" t="s">
        <v>318</v>
      </c>
      <c r="EX9" s="185" t="s">
        <v>192</v>
      </c>
      <c r="EY9" s="184" t="s">
        <v>318</v>
      </c>
      <c r="EZ9" s="185" t="s">
        <v>192</v>
      </c>
      <c r="FA9" s="184" t="s">
        <v>318</v>
      </c>
      <c r="FB9" s="185" t="s">
        <v>192</v>
      </c>
      <c r="FC9" s="184" t="s">
        <v>318</v>
      </c>
      <c r="FD9" s="185" t="s">
        <v>192</v>
      </c>
      <c r="FE9" s="184" t="s">
        <v>318</v>
      </c>
      <c r="FF9" s="185" t="s">
        <v>192</v>
      </c>
      <c r="FG9" s="184" t="s">
        <v>318</v>
      </c>
      <c r="FH9" s="185" t="s">
        <v>192</v>
      </c>
      <c r="FI9" s="184" t="s">
        <v>318</v>
      </c>
      <c r="FJ9" s="185" t="s">
        <v>192</v>
      </c>
      <c r="FK9" s="184" t="s">
        <v>318</v>
      </c>
      <c r="FL9" s="185" t="s">
        <v>192</v>
      </c>
      <c r="FM9" s="184" t="s">
        <v>318</v>
      </c>
      <c r="FN9" s="185" t="s">
        <v>192</v>
      </c>
      <c r="FO9" s="184" t="s">
        <v>318</v>
      </c>
      <c r="FP9" s="185" t="s">
        <v>192</v>
      </c>
      <c r="FQ9" s="183"/>
      <c r="FR9" s="184" t="s">
        <v>318</v>
      </c>
      <c r="FS9" s="185" t="s">
        <v>192</v>
      </c>
      <c r="FT9" s="184" t="s">
        <v>318</v>
      </c>
      <c r="FU9" s="185" t="s">
        <v>192</v>
      </c>
      <c r="FV9" s="184" t="s">
        <v>318</v>
      </c>
      <c r="FW9" s="185" t="s">
        <v>192</v>
      </c>
      <c r="FX9" s="184" t="s">
        <v>318</v>
      </c>
      <c r="FY9" s="185" t="s">
        <v>192</v>
      </c>
      <c r="FZ9" s="184" t="s">
        <v>318</v>
      </c>
      <c r="GA9" s="185" t="s">
        <v>192</v>
      </c>
      <c r="GB9" s="184" t="s">
        <v>318</v>
      </c>
      <c r="GC9" s="185" t="s">
        <v>192</v>
      </c>
      <c r="GD9" s="184" t="s">
        <v>318</v>
      </c>
      <c r="GE9" s="185" t="s">
        <v>192</v>
      </c>
      <c r="GF9" s="184" t="s">
        <v>318</v>
      </c>
      <c r="GG9" s="185" t="s">
        <v>192</v>
      </c>
      <c r="GH9" s="184" t="s">
        <v>318</v>
      </c>
      <c r="GI9" s="185" t="s">
        <v>192</v>
      </c>
      <c r="GJ9" s="184" t="s">
        <v>318</v>
      </c>
      <c r="GK9" s="185" t="s">
        <v>192</v>
      </c>
      <c r="GL9" s="184" t="s">
        <v>318</v>
      </c>
      <c r="GM9" s="185" t="s">
        <v>192</v>
      </c>
      <c r="GN9" s="184" t="s">
        <v>318</v>
      </c>
      <c r="GO9" s="185" t="s">
        <v>192</v>
      </c>
      <c r="GP9" s="184" t="s">
        <v>318</v>
      </c>
      <c r="GQ9" s="185" t="s">
        <v>192</v>
      </c>
      <c r="GR9" s="184" t="s">
        <v>318</v>
      </c>
      <c r="GS9" s="185" t="s">
        <v>192</v>
      </c>
      <c r="GT9" s="184" t="s">
        <v>318</v>
      </c>
      <c r="GU9" s="185" t="s">
        <v>192</v>
      </c>
      <c r="GV9" s="184" t="s">
        <v>318</v>
      </c>
      <c r="GW9" s="185" t="s">
        <v>192</v>
      </c>
      <c r="GX9" s="184" t="s">
        <v>318</v>
      </c>
      <c r="GY9" s="185" t="s">
        <v>192</v>
      </c>
      <c r="GZ9" s="184" t="s">
        <v>318</v>
      </c>
      <c r="HA9" s="185" t="s">
        <v>192</v>
      </c>
      <c r="HB9" s="184" t="s">
        <v>318</v>
      </c>
      <c r="HC9" s="185" t="s">
        <v>192</v>
      </c>
      <c r="HD9" s="184" t="s">
        <v>318</v>
      </c>
      <c r="HE9" s="185" t="s">
        <v>192</v>
      </c>
      <c r="HF9" s="184" t="s">
        <v>318</v>
      </c>
      <c r="HG9" s="185" t="s">
        <v>192</v>
      </c>
      <c r="HH9" s="184" t="s">
        <v>318</v>
      </c>
      <c r="HI9" s="185" t="s">
        <v>192</v>
      </c>
      <c r="HJ9" s="184" t="s">
        <v>318</v>
      </c>
      <c r="HK9" s="185" t="s">
        <v>192</v>
      </c>
      <c r="HL9" s="184" t="s">
        <v>318</v>
      </c>
      <c r="HM9" s="185" t="s">
        <v>192</v>
      </c>
      <c r="HN9" s="184" t="s">
        <v>318</v>
      </c>
      <c r="HO9" s="185" t="s">
        <v>192</v>
      </c>
      <c r="HP9" s="184" t="s">
        <v>318</v>
      </c>
      <c r="HQ9" s="185" t="s">
        <v>192</v>
      </c>
      <c r="HR9" s="184" t="s">
        <v>318</v>
      </c>
      <c r="HS9" s="185" t="s">
        <v>192</v>
      </c>
      <c r="HT9" s="184" t="s">
        <v>318</v>
      </c>
      <c r="HU9" s="185" t="s">
        <v>192</v>
      </c>
      <c r="HV9" s="184" t="s">
        <v>318</v>
      </c>
      <c r="HW9" s="185" t="s">
        <v>192</v>
      </c>
      <c r="HX9" s="184" t="s">
        <v>318</v>
      </c>
      <c r="HY9" s="185" t="s">
        <v>192</v>
      </c>
      <c r="HZ9" s="184" t="s">
        <v>318</v>
      </c>
      <c r="IA9" s="185" t="s">
        <v>192</v>
      </c>
      <c r="IB9" s="184" t="s">
        <v>318</v>
      </c>
      <c r="IC9" s="185" t="s">
        <v>192</v>
      </c>
      <c r="ID9" s="184" t="s">
        <v>318</v>
      </c>
      <c r="IE9" s="185" t="s">
        <v>192</v>
      </c>
      <c r="IF9" s="184" t="s">
        <v>318</v>
      </c>
      <c r="IG9" s="185" t="s">
        <v>192</v>
      </c>
      <c r="IH9" s="184" t="s">
        <v>318</v>
      </c>
      <c r="II9" s="185" t="s">
        <v>192</v>
      </c>
      <c r="IJ9" s="184" t="s">
        <v>318</v>
      </c>
      <c r="IK9" s="185" t="s">
        <v>192</v>
      </c>
      <c r="IL9" s="184" t="s">
        <v>318</v>
      </c>
      <c r="IM9" s="185" t="s">
        <v>192</v>
      </c>
      <c r="IN9" s="184" t="s">
        <v>318</v>
      </c>
      <c r="IO9" s="185" t="s">
        <v>192</v>
      </c>
      <c r="IP9" s="184" t="s">
        <v>318</v>
      </c>
      <c r="IQ9" s="185" t="s">
        <v>192</v>
      </c>
      <c r="IR9" s="184" t="s">
        <v>318</v>
      </c>
      <c r="IS9" s="185" t="s">
        <v>192</v>
      </c>
      <c r="IT9" s="184" t="s">
        <v>318</v>
      </c>
      <c r="IU9" s="185" t="s">
        <v>192</v>
      </c>
      <c r="IV9" s="184" t="s">
        <v>318</v>
      </c>
      <c r="IW9" s="185" t="s">
        <v>192</v>
      </c>
      <c r="IX9" s="184" t="s">
        <v>318</v>
      </c>
      <c r="IY9" s="185" t="s">
        <v>192</v>
      </c>
      <c r="IZ9" s="183"/>
      <c r="JA9" s="184" t="s">
        <v>318</v>
      </c>
      <c r="JB9" s="185" t="s">
        <v>192</v>
      </c>
      <c r="JC9" s="184" t="s">
        <v>318</v>
      </c>
      <c r="JD9" s="185" t="s">
        <v>192</v>
      </c>
      <c r="JE9" s="183"/>
      <c r="JF9" s="184" t="s">
        <v>318</v>
      </c>
      <c r="JG9" s="185" t="s">
        <v>192</v>
      </c>
      <c r="JH9" s="184" t="s">
        <v>318</v>
      </c>
      <c r="JI9" s="185" t="s">
        <v>192</v>
      </c>
      <c r="JJ9" s="184" t="s">
        <v>318</v>
      </c>
      <c r="JK9" s="185" t="s">
        <v>192</v>
      </c>
      <c r="JL9" s="184" t="s">
        <v>318</v>
      </c>
      <c r="JM9" s="185" t="s">
        <v>192</v>
      </c>
      <c r="JN9" s="184" t="s">
        <v>318</v>
      </c>
      <c r="JO9" s="185" t="s">
        <v>192</v>
      </c>
      <c r="JP9" s="184" t="s">
        <v>318</v>
      </c>
      <c r="JQ9" s="185" t="s">
        <v>192</v>
      </c>
      <c r="JR9" s="184" t="s">
        <v>318</v>
      </c>
      <c r="JS9" s="185" t="s">
        <v>192</v>
      </c>
      <c r="JT9" s="184" t="s">
        <v>318</v>
      </c>
      <c r="JU9" s="185" t="s">
        <v>192</v>
      </c>
      <c r="JV9" s="184" t="s">
        <v>318</v>
      </c>
      <c r="JW9" s="185" t="s">
        <v>192</v>
      </c>
      <c r="JX9" s="184" t="s">
        <v>318</v>
      </c>
      <c r="JY9" s="185" t="s">
        <v>192</v>
      </c>
      <c r="JZ9" s="184" t="s">
        <v>318</v>
      </c>
      <c r="KA9" s="185" t="s">
        <v>192</v>
      </c>
      <c r="KB9" s="184" t="s">
        <v>318</v>
      </c>
      <c r="KC9" s="185" t="s">
        <v>192</v>
      </c>
      <c r="KD9" s="184" t="s">
        <v>318</v>
      </c>
      <c r="KE9" s="185" t="s">
        <v>192</v>
      </c>
      <c r="KF9" s="184" t="s">
        <v>318</v>
      </c>
      <c r="KG9" s="185" t="s">
        <v>192</v>
      </c>
      <c r="KH9" s="184" t="s">
        <v>318</v>
      </c>
      <c r="KI9" s="185" t="s">
        <v>192</v>
      </c>
      <c r="KJ9" s="184" t="s">
        <v>318</v>
      </c>
      <c r="KK9" s="185" t="s">
        <v>192</v>
      </c>
      <c r="KL9" s="184" t="s">
        <v>318</v>
      </c>
      <c r="KM9" s="185" t="s">
        <v>192</v>
      </c>
      <c r="KN9" s="184" t="s">
        <v>318</v>
      </c>
      <c r="KO9" s="185" t="s">
        <v>192</v>
      </c>
      <c r="KP9" s="184" t="s">
        <v>318</v>
      </c>
      <c r="KQ9" s="185" t="s">
        <v>192</v>
      </c>
      <c r="KR9" s="184" t="s">
        <v>318</v>
      </c>
      <c r="KS9" s="185" t="s">
        <v>192</v>
      </c>
      <c r="KT9" s="184" t="s">
        <v>318</v>
      </c>
      <c r="KU9" s="185" t="s">
        <v>192</v>
      </c>
      <c r="KV9" s="184" t="s">
        <v>318</v>
      </c>
      <c r="KW9" s="185" t="s">
        <v>192</v>
      </c>
      <c r="KX9" s="184" t="s">
        <v>318</v>
      </c>
      <c r="KY9" s="185" t="s">
        <v>192</v>
      </c>
      <c r="KZ9" s="184" t="s">
        <v>318</v>
      </c>
      <c r="LA9" s="185" t="s">
        <v>192</v>
      </c>
      <c r="LB9" s="184" t="s">
        <v>318</v>
      </c>
      <c r="LC9" s="185" t="s">
        <v>192</v>
      </c>
      <c r="LD9" s="184" t="s">
        <v>318</v>
      </c>
      <c r="LE9" s="185" t="s">
        <v>192</v>
      </c>
      <c r="LF9" s="184" t="s">
        <v>318</v>
      </c>
      <c r="LG9" s="185" t="s">
        <v>192</v>
      </c>
      <c r="LH9" s="184" t="s">
        <v>318</v>
      </c>
      <c r="LI9" s="185" t="s">
        <v>192</v>
      </c>
      <c r="LJ9" s="184" t="s">
        <v>318</v>
      </c>
      <c r="LK9" s="185" t="s">
        <v>192</v>
      </c>
      <c r="LL9" s="184" t="s">
        <v>318</v>
      </c>
      <c r="LM9" s="185" t="s">
        <v>192</v>
      </c>
      <c r="LN9" s="184" t="s">
        <v>318</v>
      </c>
      <c r="LO9" s="185" t="s">
        <v>192</v>
      </c>
      <c r="LP9" s="184" t="s">
        <v>318</v>
      </c>
      <c r="LQ9" s="185" t="s">
        <v>192</v>
      </c>
      <c r="LR9" s="184" t="s">
        <v>318</v>
      </c>
      <c r="LS9" s="185" t="s">
        <v>192</v>
      </c>
      <c r="LT9" s="184" t="s">
        <v>318</v>
      </c>
      <c r="LU9" s="185" t="s">
        <v>192</v>
      </c>
      <c r="LV9" s="184" t="s">
        <v>318</v>
      </c>
      <c r="LW9" s="185" t="s">
        <v>192</v>
      </c>
      <c r="LX9" s="184" t="s">
        <v>318</v>
      </c>
      <c r="LY9" s="185" t="s">
        <v>192</v>
      </c>
      <c r="LZ9" s="184" t="s">
        <v>318</v>
      </c>
      <c r="MA9" s="185" t="s">
        <v>192</v>
      </c>
      <c r="MB9" s="184" t="s">
        <v>318</v>
      </c>
      <c r="MC9" s="185" t="s">
        <v>192</v>
      </c>
      <c r="MD9" s="184" t="s">
        <v>318</v>
      </c>
      <c r="ME9" s="185" t="s">
        <v>192</v>
      </c>
      <c r="MF9" s="184" t="s">
        <v>318</v>
      </c>
      <c r="MG9" s="185" t="s">
        <v>192</v>
      </c>
      <c r="MH9" s="183"/>
      <c r="MI9" s="184" t="s">
        <v>318</v>
      </c>
      <c r="MJ9" s="185" t="s">
        <v>192</v>
      </c>
      <c r="MK9" s="184" t="s">
        <v>318</v>
      </c>
      <c r="ML9" s="185" t="s">
        <v>192</v>
      </c>
      <c r="MM9" s="184" t="s">
        <v>318</v>
      </c>
      <c r="MN9" s="185" t="s">
        <v>192</v>
      </c>
      <c r="MO9" s="184" t="s">
        <v>318</v>
      </c>
      <c r="MP9" s="185" t="s">
        <v>192</v>
      </c>
      <c r="MQ9" s="184" t="s">
        <v>318</v>
      </c>
      <c r="MR9" s="185" t="s">
        <v>192</v>
      </c>
      <c r="MS9" s="184" t="s">
        <v>318</v>
      </c>
      <c r="MT9" s="185" t="s">
        <v>192</v>
      </c>
      <c r="MU9" s="184" t="s">
        <v>318</v>
      </c>
      <c r="MV9" s="185" t="s">
        <v>192</v>
      </c>
      <c r="MW9" s="184" t="s">
        <v>318</v>
      </c>
      <c r="MX9" s="185" t="s">
        <v>192</v>
      </c>
      <c r="MY9" s="184" t="s">
        <v>318</v>
      </c>
      <c r="MZ9" s="185" t="s">
        <v>192</v>
      </c>
      <c r="NA9" s="184" t="s">
        <v>318</v>
      </c>
      <c r="NB9" s="185" t="s">
        <v>192</v>
      </c>
      <c r="NC9" s="184" t="s">
        <v>318</v>
      </c>
      <c r="ND9" s="185" t="s">
        <v>192</v>
      </c>
      <c r="NE9" s="184" t="s">
        <v>318</v>
      </c>
      <c r="NF9" s="185" t="s">
        <v>192</v>
      </c>
      <c r="NG9" s="184" t="s">
        <v>318</v>
      </c>
      <c r="NH9" s="185" t="s">
        <v>192</v>
      </c>
      <c r="NI9" s="184" t="s">
        <v>318</v>
      </c>
      <c r="NJ9" s="185" t="s">
        <v>192</v>
      </c>
      <c r="NK9" s="184" t="s">
        <v>318</v>
      </c>
      <c r="NL9" s="185" t="s">
        <v>192</v>
      </c>
      <c r="NM9" s="184" t="s">
        <v>318</v>
      </c>
      <c r="NN9" s="185" t="s">
        <v>192</v>
      </c>
      <c r="NO9" s="184" t="s">
        <v>318</v>
      </c>
      <c r="NP9" s="185" t="s">
        <v>192</v>
      </c>
      <c r="NQ9" s="184" t="s">
        <v>318</v>
      </c>
      <c r="NR9" s="185" t="s">
        <v>192</v>
      </c>
      <c r="NS9" s="184" t="s">
        <v>318</v>
      </c>
      <c r="NT9" s="185" t="s">
        <v>192</v>
      </c>
      <c r="NU9" s="184" t="s">
        <v>318</v>
      </c>
      <c r="NV9" s="185" t="s">
        <v>192</v>
      </c>
      <c r="NW9" s="184" t="s">
        <v>318</v>
      </c>
      <c r="NX9" s="185" t="s">
        <v>192</v>
      </c>
      <c r="NY9" s="184" t="s">
        <v>318</v>
      </c>
      <c r="NZ9" s="185" t="s">
        <v>192</v>
      </c>
      <c r="OA9" s="184" t="s">
        <v>318</v>
      </c>
      <c r="OB9" s="185" t="s">
        <v>192</v>
      </c>
      <c r="OC9" s="184" t="s">
        <v>318</v>
      </c>
      <c r="OD9" s="185" t="s">
        <v>192</v>
      </c>
      <c r="OE9" s="184" t="s">
        <v>318</v>
      </c>
      <c r="OF9" s="185" t="s">
        <v>192</v>
      </c>
      <c r="OG9" s="184" t="s">
        <v>318</v>
      </c>
      <c r="OH9" s="185" t="s">
        <v>192</v>
      </c>
      <c r="OI9" s="184" t="s">
        <v>318</v>
      </c>
      <c r="OJ9" s="185" t="s">
        <v>192</v>
      </c>
      <c r="OK9" s="184" t="s">
        <v>318</v>
      </c>
      <c r="OL9" s="185" t="s">
        <v>192</v>
      </c>
      <c r="OM9" s="184" t="s">
        <v>318</v>
      </c>
      <c r="ON9" s="185" t="s">
        <v>192</v>
      </c>
      <c r="OO9" s="184" t="s">
        <v>318</v>
      </c>
      <c r="OP9" s="185" t="s">
        <v>192</v>
      </c>
      <c r="OQ9" s="184" t="s">
        <v>318</v>
      </c>
      <c r="OR9" s="185" t="s">
        <v>192</v>
      </c>
      <c r="OS9" s="184" t="s">
        <v>318</v>
      </c>
      <c r="OT9" s="185" t="s">
        <v>192</v>
      </c>
      <c r="OU9" s="184" t="s">
        <v>318</v>
      </c>
      <c r="OV9" s="185" t="s">
        <v>192</v>
      </c>
      <c r="OW9" s="184" t="s">
        <v>318</v>
      </c>
      <c r="OX9" s="185" t="s">
        <v>192</v>
      </c>
      <c r="OY9" s="184" t="s">
        <v>318</v>
      </c>
      <c r="OZ9" s="185" t="s">
        <v>192</v>
      </c>
      <c r="PA9" s="184" t="s">
        <v>318</v>
      </c>
      <c r="PB9" s="185" t="s">
        <v>192</v>
      </c>
      <c r="PC9" s="184" t="s">
        <v>318</v>
      </c>
      <c r="PD9" s="185" t="s">
        <v>192</v>
      </c>
      <c r="PE9" s="184" t="s">
        <v>318</v>
      </c>
      <c r="PF9" s="185" t="s">
        <v>192</v>
      </c>
      <c r="PG9" s="184" t="s">
        <v>318</v>
      </c>
      <c r="PH9" s="185" t="s">
        <v>192</v>
      </c>
      <c r="PI9" s="184" t="s">
        <v>318</v>
      </c>
      <c r="PJ9" s="185" t="s">
        <v>192</v>
      </c>
      <c r="PK9" s="184" t="s">
        <v>318</v>
      </c>
      <c r="PL9" s="185" t="s">
        <v>192</v>
      </c>
      <c r="PM9" s="184" t="s">
        <v>318</v>
      </c>
      <c r="PN9" s="185" t="s">
        <v>192</v>
      </c>
      <c r="PO9" s="184" t="s">
        <v>318</v>
      </c>
      <c r="PP9" s="185" t="s">
        <v>192</v>
      </c>
      <c r="PR9" s="184" t="s">
        <v>318</v>
      </c>
      <c r="PS9" s="185" t="s">
        <v>192</v>
      </c>
      <c r="PT9" s="184" t="s">
        <v>318</v>
      </c>
      <c r="PU9" s="185" t="s">
        <v>192</v>
      </c>
      <c r="PV9" s="184" t="s">
        <v>318</v>
      </c>
      <c r="PW9" s="185" t="s">
        <v>192</v>
      </c>
      <c r="PX9" s="184" t="s">
        <v>318</v>
      </c>
      <c r="PY9" s="185" t="s">
        <v>192</v>
      </c>
      <c r="PZ9" s="184" t="s">
        <v>318</v>
      </c>
      <c r="QA9" s="185" t="s">
        <v>192</v>
      </c>
      <c r="QB9" s="184" t="s">
        <v>318</v>
      </c>
      <c r="QC9" s="185" t="s">
        <v>192</v>
      </c>
      <c r="QF9" s="184" t="s">
        <v>318</v>
      </c>
      <c r="QG9" s="185" t="s">
        <v>192</v>
      </c>
      <c r="QH9" s="184" t="s">
        <v>318</v>
      </c>
      <c r="QI9" s="185" t="s">
        <v>192</v>
      </c>
      <c r="QJ9" s="184" t="s">
        <v>318</v>
      </c>
      <c r="QK9" s="185" t="s">
        <v>192</v>
      </c>
      <c r="QL9" s="184" t="s">
        <v>318</v>
      </c>
      <c r="QM9" s="185" t="s">
        <v>192</v>
      </c>
      <c r="QN9" s="184" t="s">
        <v>318</v>
      </c>
      <c r="QO9" s="185" t="s">
        <v>192</v>
      </c>
      <c r="QP9" s="184" t="s">
        <v>318</v>
      </c>
      <c r="QQ9" s="185" t="s">
        <v>192</v>
      </c>
    </row>
    <row r="10" spans="1:459" x14ac:dyDescent="0.45">
      <c r="A10" s="793"/>
      <c r="B10" s="180" t="s">
        <v>319</v>
      </c>
      <c r="C10" s="874">
        <v>45051</v>
      </c>
      <c r="D10" s="875"/>
      <c r="E10" s="186"/>
      <c r="F10" s="187">
        <v>1.32</v>
      </c>
      <c r="G10" s="188"/>
      <c r="H10" s="187">
        <v>1.32</v>
      </c>
      <c r="I10" s="188"/>
      <c r="J10" s="187">
        <v>1.32</v>
      </c>
      <c r="K10" s="188"/>
      <c r="L10" s="187">
        <v>1.32</v>
      </c>
      <c r="M10" s="188"/>
      <c r="N10" s="187">
        <v>1.32</v>
      </c>
      <c r="O10" s="188"/>
      <c r="P10" s="187">
        <v>1.32</v>
      </c>
      <c r="Q10" s="188"/>
      <c r="R10" s="187">
        <v>1.32</v>
      </c>
      <c r="S10" s="188"/>
      <c r="T10" s="187">
        <v>1.32</v>
      </c>
      <c r="U10" s="188"/>
      <c r="V10" s="187">
        <v>1.32</v>
      </c>
      <c r="W10" s="188"/>
      <c r="X10" s="187">
        <v>1.32</v>
      </c>
      <c r="Y10" s="188"/>
      <c r="Z10" s="187">
        <v>1.32</v>
      </c>
      <c r="AA10" s="188"/>
      <c r="AB10" s="187">
        <v>1.32</v>
      </c>
      <c r="AC10" s="188"/>
      <c r="AD10" s="187">
        <f>DC10</f>
        <v>1.32</v>
      </c>
      <c r="AE10" s="188"/>
      <c r="AF10" s="187">
        <f>DE10</f>
        <v>1.4</v>
      </c>
      <c r="AG10" s="188"/>
      <c r="AH10" s="187">
        <f>DG10</f>
        <v>1.32</v>
      </c>
      <c r="AI10" s="188"/>
      <c r="AJ10" s="187">
        <f>DI10</f>
        <v>1.32</v>
      </c>
      <c r="AK10" s="188"/>
      <c r="AL10" s="187">
        <f>DK10</f>
        <v>1.32</v>
      </c>
      <c r="AM10" s="188"/>
      <c r="AN10" s="187">
        <f>DM10</f>
        <v>1.32</v>
      </c>
      <c r="AO10" s="188"/>
      <c r="AP10" s="187">
        <f>DO10</f>
        <v>1.32</v>
      </c>
      <c r="AQ10" s="188"/>
      <c r="AR10" s="187">
        <f>DQ10</f>
        <v>1.32</v>
      </c>
      <c r="AS10" s="188"/>
      <c r="AT10" s="187">
        <f>DS10</f>
        <v>1.32</v>
      </c>
      <c r="AU10" s="188"/>
      <c r="AV10" s="187">
        <f>DU10</f>
        <v>1.32</v>
      </c>
      <c r="AW10" s="188"/>
      <c r="AX10" s="187">
        <f>DW10</f>
        <v>1.32</v>
      </c>
      <c r="AY10" s="188"/>
      <c r="AZ10" s="187">
        <f>DY10</f>
        <v>1.32</v>
      </c>
      <c r="BA10" s="188"/>
      <c r="BB10" s="187">
        <f>EA10</f>
        <v>1.32</v>
      </c>
      <c r="BC10" s="188"/>
      <c r="BD10" s="187">
        <f>EC10</f>
        <v>1.32</v>
      </c>
      <c r="BE10" s="188"/>
      <c r="BF10" s="187">
        <f>EE10</f>
        <v>1.32</v>
      </c>
      <c r="BG10" s="188"/>
      <c r="BH10" s="187">
        <f>EG10</f>
        <v>1.32</v>
      </c>
      <c r="BI10" s="188"/>
      <c r="BJ10" s="187">
        <f>EI10</f>
        <v>1.32</v>
      </c>
      <c r="BK10" s="188"/>
      <c r="BL10" s="187">
        <v>1.32</v>
      </c>
      <c r="BM10" s="188"/>
      <c r="BN10" s="187">
        <f>EM10</f>
        <v>1.32</v>
      </c>
      <c r="BO10" s="188"/>
      <c r="BP10" s="187">
        <f>EO10</f>
        <v>1.32</v>
      </c>
      <c r="BQ10" s="188"/>
      <c r="BR10" s="187">
        <f>EQ10</f>
        <v>1.32</v>
      </c>
      <c r="BS10" s="188"/>
      <c r="BT10" s="187">
        <f>ES10</f>
        <v>1.32</v>
      </c>
      <c r="BU10" s="188"/>
      <c r="BV10" s="187">
        <v>1.32</v>
      </c>
      <c r="BW10" s="188"/>
      <c r="BX10" s="187">
        <v>1.32</v>
      </c>
      <c r="BY10" s="188"/>
      <c r="BZ10" s="187">
        <v>1.32</v>
      </c>
      <c r="CA10" s="188"/>
      <c r="CB10" s="187">
        <f>FA10</f>
        <v>1.32</v>
      </c>
      <c r="CC10" s="188"/>
      <c r="CD10" s="187">
        <v>1.32</v>
      </c>
      <c r="CE10" s="188"/>
      <c r="CF10" s="187">
        <v>1.32</v>
      </c>
      <c r="CG10" s="188"/>
      <c r="CH10" s="187">
        <v>1.32</v>
      </c>
      <c r="CI10" s="188"/>
      <c r="CJ10" s="187">
        <v>1.32</v>
      </c>
      <c r="CK10" s="188"/>
      <c r="CL10" s="187">
        <v>1.32</v>
      </c>
      <c r="CM10" s="188"/>
      <c r="CN10" s="187">
        <v>1.32</v>
      </c>
      <c r="CO10" s="188"/>
      <c r="CP10" s="187">
        <v>1.32</v>
      </c>
      <c r="CQ10" s="188"/>
      <c r="CR10" s="187">
        <v>1.32</v>
      </c>
      <c r="CS10" s="188"/>
      <c r="CT10" s="189"/>
      <c r="CU10" s="187">
        <v>1.32</v>
      </c>
      <c r="CV10" s="188"/>
      <c r="CW10" s="187">
        <v>1.32</v>
      </c>
      <c r="CX10" s="188"/>
      <c r="CY10" s="187">
        <v>1.32</v>
      </c>
      <c r="CZ10" s="188"/>
      <c r="DA10" s="187">
        <v>1.32</v>
      </c>
      <c r="DB10" s="188"/>
      <c r="DC10" s="187">
        <v>1.32</v>
      </c>
      <c r="DD10" s="188"/>
      <c r="DE10" s="187">
        <v>1.4</v>
      </c>
      <c r="DF10" s="188"/>
      <c r="DG10" s="187">
        <v>1.32</v>
      </c>
      <c r="DH10" s="188"/>
      <c r="DI10" s="187">
        <v>1.32</v>
      </c>
      <c r="DJ10" s="188"/>
      <c r="DK10" s="187">
        <v>1.32</v>
      </c>
      <c r="DL10" s="188"/>
      <c r="DM10" s="187">
        <v>1.32</v>
      </c>
      <c r="DN10" s="188"/>
      <c r="DO10" s="187">
        <v>1.32</v>
      </c>
      <c r="DP10" s="188"/>
      <c r="DQ10" s="187">
        <v>1.32</v>
      </c>
      <c r="DR10" s="188"/>
      <c r="DS10" s="187">
        <v>1.32</v>
      </c>
      <c r="DT10" s="188"/>
      <c r="DU10" s="187">
        <v>1.32</v>
      </c>
      <c r="DV10" s="188"/>
      <c r="DW10" s="187">
        <v>1.32</v>
      </c>
      <c r="DX10" s="188"/>
      <c r="DY10" s="187">
        <v>1.32</v>
      </c>
      <c r="DZ10" s="188"/>
      <c r="EA10" s="187">
        <v>1.32</v>
      </c>
      <c r="EB10" s="188"/>
      <c r="EC10" s="187">
        <v>1.32</v>
      </c>
      <c r="ED10" s="188"/>
      <c r="EE10" s="187">
        <v>1.32</v>
      </c>
      <c r="EF10" s="188"/>
      <c r="EG10" s="187">
        <v>1.32</v>
      </c>
      <c r="EH10" s="188"/>
      <c r="EI10" s="187">
        <v>1.32</v>
      </c>
      <c r="EJ10" s="188"/>
      <c r="EK10" s="187">
        <v>1.32</v>
      </c>
      <c r="EL10" s="188"/>
      <c r="EM10" s="187">
        <v>1.32</v>
      </c>
      <c r="EN10" s="188"/>
      <c r="EO10" s="187">
        <v>1.32</v>
      </c>
      <c r="EP10" s="188"/>
      <c r="EQ10" s="187">
        <v>1.32</v>
      </c>
      <c r="ER10" s="188"/>
      <c r="ES10" s="187">
        <v>1.32</v>
      </c>
      <c r="ET10" s="188"/>
      <c r="EU10" s="187">
        <v>1.32</v>
      </c>
      <c r="EV10" s="188"/>
      <c r="EW10" s="187">
        <v>1.32</v>
      </c>
      <c r="EX10" s="188"/>
      <c r="EY10" s="187">
        <v>1.32</v>
      </c>
      <c r="EZ10" s="188"/>
      <c r="FA10" s="187">
        <v>1.32</v>
      </c>
      <c r="FB10" s="188"/>
      <c r="FC10" s="187">
        <v>1.32</v>
      </c>
      <c r="FD10" s="188"/>
      <c r="FE10" s="187">
        <v>1.32</v>
      </c>
      <c r="FF10" s="188"/>
      <c r="FG10" s="187">
        <v>1.32</v>
      </c>
      <c r="FH10" s="188"/>
      <c r="FI10" s="187">
        <v>1.32</v>
      </c>
      <c r="FJ10" s="188"/>
      <c r="FK10" s="187">
        <v>1.32</v>
      </c>
      <c r="FL10" s="188"/>
      <c r="FM10" s="187">
        <v>1.32</v>
      </c>
      <c r="FN10" s="188"/>
      <c r="FO10" s="187">
        <v>1.32</v>
      </c>
      <c r="FP10" s="188"/>
      <c r="FQ10" s="186"/>
      <c r="FR10" s="187">
        <v>1.32</v>
      </c>
      <c r="FS10" s="188"/>
      <c r="FT10" s="187">
        <v>1.32</v>
      </c>
      <c r="FU10" s="188"/>
      <c r="FV10" s="187">
        <v>1.32</v>
      </c>
      <c r="FW10" s="188"/>
      <c r="FX10" s="187">
        <v>1.32</v>
      </c>
      <c r="FY10" s="188"/>
      <c r="FZ10" s="187">
        <v>1.32</v>
      </c>
      <c r="GA10" s="188"/>
      <c r="GB10" s="187">
        <v>1.32</v>
      </c>
      <c r="GC10" s="188"/>
      <c r="GD10" s="187">
        <v>1.32</v>
      </c>
      <c r="GE10" s="188"/>
      <c r="GF10" s="187">
        <v>1.32</v>
      </c>
      <c r="GG10" s="188"/>
      <c r="GH10" s="187">
        <v>1.32</v>
      </c>
      <c r="GI10" s="188"/>
      <c r="GJ10" s="187">
        <f>DC10</f>
        <v>1.32</v>
      </c>
      <c r="GK10" s="188"/>
      <c r="GL10" s="187">
        <f>DE10</f>
        <v>1.4</v>
      </c>
      <c r="GM10" s="188"/>
      <c r="GN10" s="187">
        <f>DG10</f>
        <v>1.32</v>
      </c>
      <c r="GO10" s="188"/>
      <c r="GP10" s="187">
        <f>DI10</f>
        <v>1.32</v>
      </c>
      <c r="GQ10" s="188"/>
      <c r="GR10" s="187">
        <f>DK10</f>
        <v>1.32</v>
      </c>
      <c r="GS10" s="188"/>
      <c r="GT10" s="187">
        <f>DM10</f>
        <v>1.32</v>
      </c>
      <c r="GU10" s="188"/>
      <c r="GV10" s="187">
        <f>DO10</f>
        <v>1.32</v>
      </c>
      <c r="GW10" s="188"/>
      <c r="GX10" s="187">
        <f>DQ10</f>
        <v>1.32</v>
      </c>
      <c r="GY10" s="188"/>
      <c r="GZ10" s="187">
        <f>DS10</f>
        <v>1.32</v>
      </c>
      <c r="HA10" s="188"/>
      <c r="HB10" s="187">
        <f>DU10</f>
        <v>1.32</v>
      </c>
      <c r="HC10" s="188"/>
      <c r="HD10" s="187">
        <f>DW10</f>
        <v>1.32</v>
      </c>
      <c r="HE10" s="188"/>
      <c r="HF10" s="187">
        <f>DY10</f>
        <v>1.32</v>
      </c>
      <c r="HG10" s="188"/>
      <c r="HH10" s="187">
        <f>EA10</f>
        <v>1.32</v>
      </c>
      <c r="HI10" s="188"/>
      <c r="HJ10" s="187">
        <f>EC10</f>
        <v>1.32</v>
      </c>
      <c r="HK10" s="188"/>
      <c r="HL10" s="187">
        <f>EE10</f>
        <v>1.32</v>
      </c>
      <c r="HM10" s="188"/>
      <c r="HN10" s="187">
        <f>EG10</f>
        <v>1.32</v>
      </c>
      <c r="HO10" s="188"/>
      <c r="HP10" s="187">
        <f>EI10</f>
        <v>1.32</v>
      </c>
      <c r="HQ10" s="188"/>
      <c r="HR10" s="187">
        <v>1.32</v>
      </c>
      <c r="HS10" s="188"/>
      <c r="HT10" s="187">
        <f>EM10</f>
        <v>1.32</v>
      </c>
      <c r="HU10" s="188"/>
      <c r="HV10" s="187">
        <f>EO10</f>
        <v>1.32</v>
      </c>
      <c r="HW10" s="188"/>
      <c r="HX10" s="187">
        <f>EQ10</f>
        <v>1.32</v>
      </c>
      <c r="HY10" s="188"/>
      <c r="HZ10" s="187">
        <f>ES10</f>
        <v>1.32</v>
      </c>
      <c r="IA10" s="188"/>
      <c r="IB10" s="187">
        <f>EU10</f>
        <v>1.32</v>
      </c>
      <c r="IC10" s="188"/>
      <c r="ID10" s="187">
        <v>1.32</v>
      </c>
      <c r="IE10" s="188"/>
      <c r="IF10" s="187">
        <v>1.32</v>
      </c>
      <c r="IG10" s="188"/>
      <c r="IH10" s="187">
        <v>1.32</v>
      </c>
      <c r="II10" s="188"/>
      <c r="IJ10" s="187">
        <v>1.32</v>
      </c>
      <c r="IK10" s="188"/>
      <c r="IL10" s="187">
        <v>1.32</v>
      </c>
      <c r="IM10" s="188"/>
      <c r="IN10" s="187">
        <v>1.32</v>
      </c>
      <c r="IO10" s="188"/>
      <c r="IP10" s="187">
        <v>1.32</v>
      </c>
      <c r="IQ10" s="188"/>
      <c r="IR10" s="187">
        <v>1.32</v>
      </c>
      <c r="IS10" s="188"/>
      <c r="IT10" s="187">
        <v>1.32</v>
      </c>
      <c r="IU10" s="188"/>
      <c r="IV10" s="187">
        <v>1.32</v>
      </c>
      <c r="IW10" s="188"/>
      <c r="IX10" s="187">
        <v>1.32</v>
      </c>
      <c r="IY10" s="188"/>
      <c r="IZ10" s="186"/>
      <c r="JA10" s="187">
        <v>1.34</v>
      </c>
      <c r="JB10" s="188"/>
      <c r="JC10" s="187">
        <v>1.34</v>
      </c>
      <c r="JD10" s="188"/>
      <c r="JE10" s="186"/>
      <c r="JF10" s="187">
        <v>1.32</v>
      </c>
      <c r="JG10" s="188"/>
      <c r="JH10" s="187">
        <v>1.32</v>
      </c>
      <c r="JI10" s="188"/>
      <c r="JJ10" s="187">
        <v>1.32</v>
      </c>
      <c r="JK10" s="188"/>
      <c r="JL10" s="187">
        <v>1.32</v>
      </c>
      <c r="JM10" s="188"/>
      <c r="JN10" s="187">
        <v>1.32</v>
      </c>
      <c r="JO10" s="188"/>
      <c r="JP10" s="187">
        <v>1.32</v>
      </c>
      <c r="JQ10" s="188"/>
      <c r="JR10" s="187">
        <v>1.32</v>
      </c>
      <c r="JS10" s="188"/>
      <c r="JT10" s="187">
        <f>DC10</f>
        <v>1.32</v>
      </c>
      <c r="JU10" s="188"/>
      <c r="JV10" s="187">
        <f>DE10</f>
        <v>1.4</v>
      </c>
      <c r="JW10" s="188"/>
      <c r="JX10" s="187">
        <f>DG10</f>
        <v>1.32</v>
      </c>
      <c r="JY10" s="188"/>
      <c r="JZ10" s="187">
        <f>DI10</f>
        <v>1.32</v>
      </c>
      <c r="KA10" s="188"/>
      <c r="KB10" s="187">
        <f>DK10</f>
        <v>1.32</v>
      </c>
      <c r="KC10" s="188"/>
      <c r="KD10" s="187">
        <f>DM10</f>
        <v>1.32</v>
      </c>
      <c r="KE10" s="188"/>
      <c r="KF10" s="187">
        <f>DO10</f>
        <v>1.32</v>
      </c>
      <c r="KG10" s="188"/>
      <c r="KH10" s="187">
        <f>DQ10</f>
        <v>1.32</v>
      </c>
      <c r="KI10" s="188"/>
      <c r="KJ10" s="187">
        <f>DS10</f>
        <v>1.32</v>
      </c>
      <c r="KK10" s="188"/>
      <c r="KL10" s="187">
        <f>DU10</f>
        <v>1.32</v>
      </c>
      <c r="KM10" s="188"/>
      <c r="KN10" s="187">
        <f>DW10</f>
        <v>1.32</v>
      </c>
      <c r="KO10" s="188"/>
      <c r="KP10" s="187">
        <f>DY10</f>
        <v>1.32</v>
      </c>
      <c r="KQ10" s="188"/>
      <c r="KR10" s="187">
        <f>EA10</f>
        <v>1.32</v>
      </c>
      <c r="KS10" s="188"/>
      <c r="KT10" s="187">
        <f>EC10</f>
        <v>1.32</v>
      </c>
      <c r="KU10" s="188"/>
      <c r="KV10" s="187">
        <f>EE10</f>
        <v>1.32</v>
      </c>
      <c r="KW10" s="188"/>
      <c r="KX10" s="187">
        <f>EG10</f>
        <v>1.32</v>
      </c>
      <c r="KY10" s="188"/>
      <c r="KZ10" s="187">
        <f>EI10</f>
        <v>1.32</v>
      </c>
      <c r="LA10" s="188"/>
      <c r="LB10" s="187">
        <f>EK10</f>
        <v>1.32</v>
      </c>
      <c r="LC10" s="188"/>
      <c r="LD10" s="187">
        <f>EM10</f>
        <v>1.32</v>
      </c>
      <c r="LE10" s="188"/>
      <c r="LF10" s="187">
        <f>EO10</f>
        <v>1.32</v>
      </c>
      <c r="LG10" s="188"/>
      <c r="LH10" s="187">
        <f>EQ10</f>
        <v>1.32</v>
      </c>
      <c r="LI10" s="188"/>
      <c r="LJ10" s="187">
        <f>ES10</f>
        <v>1.32</v>
      </c>
      <c r="LK10" s="188"/>
      <c r="LL10" s="187">
        <f>EU10</f>
        <v>1.32</v>
      </c>
      <c r="LM10" s="188"/>
      <c r="LN10" s="187">
        <f>EW10</f>
        <v>1.32</v>
      </c>
      <c r="LO10" s="188"/>
      <c r="LP10" s="187">
        <f>EY10</f>
        <v>1.32</v>
      </c>
      <c r="LQ10" s="188"/>
      <c r="LR10" s="187">
        <v>1.32</v>
      </c>
      <c r="LS10" s="188"/>
      <c r="LT10" s="187">
        <v>1.32</v>
      </c>
      <c r="LU10" s="188"/>
      <c r="LV10" s="187">
        <v>1.32</v>
      </c>
      <c r="LW10" s="188"/>
      <c r="LX10" s="187">
        <v>1.32</v>
      </c>
      <c r="LY10" s="188"/>
      <c r="LZ10" s="187">
        <v>1.32</v>
      </c>
      <c r="MA10" s="188"/>
      <c r="MB10" s="187">
        <v>1.32</v>
      </c>
      <c r="MC10" s="188"/>
      <c r="MD10" s="187">
        <v>1.32</v>
      </c>
      <c r="ME10" s="188"/>
      <c r="MF10" s="187">
        <v>1.32</v>
      </c>
      <c r="MG10" s="188"/>
      <c r="MH10" s="186"/>
      <c r="MI10" s="187">
        <v>1.32</v>
      </c>
      <c r="MJ10" s="188"/>
      <c r="MK10" s="187">
        <v>1.32</v>
      </c>
      <c r="ML10" s="188"/>
      <c r="MM10" s="187">
        <v>1.32</v>
      </c>
      <c r="MN10" s="188"/>
      <c r="MO10" s="187">
        <v>1.32</v>
      </c>
      <c r="MP10" s="188"/>
      <c r="MQ10" s="187">
        <v>1.32</v>
      </c>
      <c r="MR10" s="188"/>
      <c r="MS10" s="187">
        <v>1.32</v>
      </c>
      <c r="MT10" s="188"/>
      <c r="MU10" s="187">
        <v>1.32</v>
      </c>
      <c r="MV10" s="188"/>
      <c r="MW10" s="187">
        <f>DC10</f>
        <v>1.32</v>
      </c>
      <c r="MX10" s="188"/>
      <c r="MY10" s="187">
        <f>DE10</f>
        <v>1.4</v>
      </c>
      <c r="MZ10" s="188"/>
      <c r="NA10" s="187">
        <f>DG10</f>
        <v>1.32</v>
      </c>
      <c r="NB10" s="188"/>
      <c r="NC10" s="187">
        <f>DI10</f>
        <v>1.32</v>
      </c>
      <c r="ND10" s="188"/>
      <c r="NE10" s="187">
        <f>DK10</f>
        <v>1.32</v>
      </c>
      <c r="NF10" s="188"/>
      <c r="NG10" s="187">
        <f>DM10</f>
        <v>1.32</v>
      </c>
      <c r="NH10" s="188"/>
      <c r="NI10" s="187">
        <f>DO10</f>
        <v>1.32</v>
      </c>
      <c r="NJ10" s="188"/>
      <c r="NK10" s="187">
        <f>DQ10</f>
        <v>1.32</v>
      </c>
      <c r="NL10" s="188"/>
      <c r="NM10" s="187">
        <f>DS10</f>
        <v>1.32</v>
      </c>
      <c r="NN10" s="188"/>
      <c r="NO10" s="187">
        <f>DU10</f>
        <v>1.32</v>
      </c>
      <c r="NP10" s="188"/>
      <c r="NQ10" s="187">
        <f>DW10</f>
        <v>1.32</v>
      </c>
      <c r="NR10" s="188"/>
      <c r="NS10" s="187">
        <f>DY10</f>
        <v>1.32</v>
      </c>
      <c r="NT10" s="188"/>
      <c r="NU10" s="187">
        <f>EA10</f>
        <v>1.32</v>
      </c>
      <c r="NV10" s="188"/>
      <c r="NW10" s="187">
        <f>EC10</f>
        <v>1.32</v>
      </c>
      <c r="NX10" s="188"/>
      <c r="NY10" s="187">
        <f>EE10</f>
        <v>1.32</v>
      </c>
      <c r="NZ10" s="188"/>
      <c r="OA10" s="187">
        <f>EG10</f>
        <v>1.32</v>
      </c>
      <c r="OB10" s="188"/>
      <c r="OC10" s="187">
        <f>EI10</f>
        <v>1.32</v>
      </c>
      <c r="OD10" s="188"/>
      <c r="OE10" s="187">
        <f>EK10</f>
        <v>1.32</v>
      </c>
      <c r="OF10" s="188"/>
      <c r="OG10" s="187">
        <f>EM10</f>
        <v>1.32</v>
      </c>
      <c r="OH10" s="188"/>
      <c r="OI10" s="187">
        <f>EO10</f>
        <v>1.32</v>
      </c>
      <c r="OJ10" s="188"/>
      <c r="OK10" s="187">
        <f>EQ10</f>
        <v>1.32</v>
      </c>
      <c r="OL10" s="188"/>
      <c r="OM10" s="187">
        <f>ES10</f>
        <v>1.32</v>
      </c>
      <c r="ON10" s="188"/>
      <c r="OO10" s="187">
        <f>EU10</f>
        <v>1.32</v>
      </c>
      <c r="OP10" s="188"/>
      <c r="OQ10" s="187">
        <f>EW10</f>
        <v>1.32</v>
      </c>
      <c r="OR10" s="188"/>
      <c r="OS10" s="187">
        <f>EY10</f>
        <v>1.32</v>
      </c>
      <c r="OT10" s="188"/>
      <c r="OU10" s="187">
        <v>1.32</v>
      </c>
      <c r="OV10" s="188"/>
      <c r="OW10" s="187">
        <v>1.32</v>
      </c>
      <c r="OX10" s="188"/>
      <c r="OY10" s="187">
        <v>1.32</v>
      </c>
      <c r="OZ10" s="188"/>
      <c r="PA10" s="187">
        <v>1.32</v>
      </c>
      <c r="PB10" s="188"/>
      <c r="PC10" s="187">
        <v>1.32</v>
      </c>
      <c r="PD10" s="188"/>
      <c r="PE10" s="187">
        <v>1.32</v>
      </c>
      <c r="PF10" s="188"/>
      <c r="PG10" s="187">
        <v>1.32</v>
      </c>
      <c r="PH10" s="188"/>
      <c r="PI10" s="187">
        <v>1.32</v>
      </c>
      <c r="PJ10" s="188"/>
      <c r="PK10" s="187">
        <v>1.32</v>
      </c>
      <c r="PL10" s="188"/>
      <c r="PM10" s="187">
        <v>1.32</v>
      </c>
      <c r="PN10" s="188"/>
      <c r="PO10" s="187">
        <v>1.32</v>
      </c>
      <c r="PP10" s="188"/>
      <c r="PR10" s="187">
        <v>1.32</v>
      </c>
      <c r="PS10" s="188"/>
      <c r="PT10" s="187">
        <v>1.32</v>
      </c>
      <c r="PU10" s="188"/>
      <c r="PV10" s="187">
        <v>1.32</v>
      </c>
      <c r="PW10" s="188"/>
      <c r="PX10" s="187">
        <v>1.32</v>
      </c>
      <c r="PY10" s="188"/>
      <c r="PZ10" s="187">
        <v>1.32</v>
      </c>
      <c r="QA10" s="188"/>
      <c r="QB10" s="187">
        <v>1.32</v>
      </c>
      <c r="QC10" s="188"/>
      <c r="QF10" s="187">
        <v>1.32</v>
      </c>
      <c r="QG10" s="188"/>
      <c r="QH10" s="187">
        <v>1.32</v>
      </c>
      <c r="QI10" s="188"/>
      <c r="QJ10" s="187">
        <v>1.32</v>
      </c>
      <c r="QK10" s="188"/>
      <c r="QL10" s="187">
        <v>1.32</v>
      </c>
      <c r="QM10" s="188"/>
      <c r="QN10" s="187">
        <v>1.32</v>
      </c>
      <c r="QO10" s="188"/>
      <c r="QP10" s="187">
        <v>1.32</v>
      </c>
      <c r="QQ10" s="188"/>
    </row>
    <row r="11" spans="1:459" x14ac:dyDescent="0.45">
      <c r="A11" s="793"/>
      <c r="B11" s="190"/>
      <c r="C11" s="181"/>
      <c r="D11" s="182"/>
      <c r="E11" s="177"/>
      <c r="F11" s="191"/>
      <c r="G11" s="192"/>
      <c r="H11" s="191"/>
      <c r="I11" s="192"/>
      <c r="J11" s="191"/>
      <c r="K11" s="192"/>
      <c r="L11" s="191"/>
      <c r="M11" s="192"/>
      <c r="N11" s="191"/>
      <c r="O11" s="192"/>
      <c r="P11" s="191"/>
      <c r="Q11" s="192"/>
      <c r="R11" s="191"/>
      <c r="S11" s="192"/>
      <c r="T11" s="191"/>
      <c r="U11" s="192"/>
      <c r="V11" s="191"/>
      <c r="W11" s="192"/>
      <c r="X11" s="191"/>
      <c r="Y11" s="192"/>
      <c r="Z11" s="191"/>
      <c r="AA11" s="192"/>
      <c r="AB11" s="191"/>
      <c r="AC11" s="192"/>
      <c r="AD11" s="191"/>
      <c r="AE11" s="192"/>
      <c r="AF11" s="191"/>
      <c r="AG11" s="192"/>
      <c r="AH11" s="191"/>
      <c r="AI11" s="192"/>
      <c r="AJ11" s="191"/>
      <c r="AK11" s="192"/>
      <c r="AL11" s="191"/>
      <c r="AM11" s="192"/>
      <c r="AN11" s="191"/>
      <c r="AO11" s="192"/>
      <c r="AP11" s="191"/>
      <c r="AQ11" s="192"/>
      <c r="AR11" s="191"/>
      <c r="AS11" s="192"/>
      <c r="AT11" s="191"/>
      <c r="AU11" s="192"/>
      <c r="AV11" s="191"/>
      <c r="AW11" s="192"/>
      <c r="AX11" s="191"/>
      <c r="AY11" s="192"/>
      <c r="AZ11" s="191"/>
      <c r="BA11" s="192"/>
      <c r="BB11" s="191"/>
      <c r="BC11" s="192"/>
      <c r="BD11" s="191"/>
      <c r="BE11" s="192"/>
      <c r="BF11" s="191"/>
      <c r="BG11" s="192"/>
      <c r="BH11" s="191"/>
      <c r="BI11" s="192"/>
      <c r="BJ11" s="191"/>
      <c r="BK11" s="192"/>
      <c r="BL11" s="191"/>
      <c r="BM11" s="192"/>
      <c r="BN11" s="191"/>
      <c r="BO11" s="192"/>
      <c r="BP11" s="191"/>
      <c r="BQ11" s="192"/>
      <c r="BR11" s="191"/>
      <c r="BS11" s="192"/>
      <c r="BT11" s="191"/>
      <c r="BU11" s="192"/>
      <c r="BV11" s="191"/>
      <c r="BW11" s="192"/>
      <c r="BX11" s="191"/>
      <c r="BY11" s="192"/>
      <c r="BZ11" s="191"/>
      <c r="CA11" s="192"/>
      <c r="CB11" s="191"/>
      <c r="CC11" s="192"/>
      <c r="CD11" s="191"/>
      <c r="CE11" s="192"/>
      <c r="CF11" s="191"/>
      <c r="CG11" s="192"/>
      <c r="CH11" s="191"/>
      <c r="CI11" s="192"/>
      <c r="CJ11" s="191"/>
      <c r="CK11" s="192"/>
      <c r="CL11" s="191"/>
      <c r="CM11" s="192"/>
      <c r="CN11" s="191"/>
      <c r="CO11" s="192"/>
      <c r="CP11" s="191"/>
      <c r="CQ11" s="192"/>
      <c r="CR11" s="191"/>
      <c r="CS11" s="192"/>
      <c r="CT11" s="136"/>
      <c r="CU11" s="191"/>
      <c r="CV11" s="192"/>
      <c r="CW11" s="191"/>
      <c r="CX11" s="192"/>
      <c r="CY11" s="191"/>
      <c r="CZ11" s="192"/>
      <c r="DA11" s="191"/>
      <c r="DB11" s="192"/>
      <c r="DC11" s="191"/>
      <c r="DD11" s="192"/>
      <c r="DE11" s="191"/>
      <c r="DF11" s="192"/>
      <c r="DG11" s="191"/>
      <c r="DH11" s="192"/>
      <c r="DI11" s="191"/>
      <c r="DJ11" s="192"/>
      <c r="DK11" s="191"/>
      <c r="DL11" s="192"/>
      <c r="DM11" s="191"/>
      <c r="DN11" s="192"/>
      <c r="DO11" s="191"/>
      <c r="DP11" s="192"/>
      <c r="DQ11" s="191"/>
      <c r="DR11" s="192"/>
      <c r="DS11" s="191"/>
      <c r="DT11" s="192"/>
      <c r="DU11" s="191"/>
      <c r="DV11" s="192"/>
      <c r="DW11" s="191"/>
      <c r="DX11" s="192"/>
      <c r="DY11" s="191"/>
      <c r="DZ11" s="192"/>
      <c r="EA11" s="191"/>
      <c r="EB11" s="192"/>
      <c r="EC11" s="191"/>
      <c r="ED11" s="192"/>
      <c r="EE11" s="191"/>
      <c r="EF11" s="192"/>
      <c r="EG11" s="191"/>
      <c r="EH11" s="192"/>
      <c r="EI11" s="191"/>
      <c r="EJ11" s="192"/>
      <c r="EK11" s="191"/>
      <c r="EL11" s="192"/>
      <c r="EM11" s="191"/>
      <c r="EN11" s="192"/>
      <c r="EO11" s="191"/>
      <c r="EP11" s="192"/>
      <c r="EQ11" s="191"/>
      <c r="ER11" s="192"/>
      <c r="ES11" s="191"/>
      <c r="ET11" s="192"/>
      <c r="EU11" s="191"/>
      <c r="EV11" s="192"/>
      <c r="EW11" s="191"/>
      <c r="EX11" s="192"/>
      <c r="EY11" s="191"/>
      <c r="EZ11" s="192"/>
      <c r="FA11" s="191"/>
      <c r="FB11" s="192"/>
      <c r="FC11" s="191"/>
      <c r="FD11" s="192"/>
      <c r="FE11" s="191"/>
      <c r="FF11" s="192"/>
      <c r="FG11" s="191"/>
      <c r="FH11" s="192"/>
      <c r="FI11" s="191"/>
      <c r="FJ11" s="192"/>
      <c r="FK11" s="191"/>
      <c r="FL11" s="192"/>
      <c r="FM11" s="191"/>
      <c r="FN11" s="192"/>
      <c r="FO11" s="191"/>
      <c r="FP11" s="192"/>
      <c r="FQ11" s="177"/>
      <c r="FR11" s="191"/>
      <c r="FS11" s="192"/>
      <c r="FT11" s="191"/>
      <c r="FU11" s="192"/>
      <c r="FV11" s="191"/>
      <c r="FW11" s="192"/>
      <c r="FX11" s="191"/>
      <c r="FY11" s="192"/>
      <c r="FZ11" s="191"/>
      <c r="GA11" s="192"/>
      <c r="GB11" s="191"/>
      <c r="GC11" s="192"/>
      <c r="GD11" s="191"/>
      <c r="GE11" s="192"/>
      <c r="GF11" s="191"/>
      <c r="GG11" s="192"/>
      <c r="GH11" s="191"/>
      <c r="GI11" s="192"/>
      <c r="GJ11" s="191"/>
      <c r="GK11" s="192"/>
      <c r="GL11" s="191"/>
      <c r="GM11" s="192"/>
      <c r="GN11" s="191"/>
      <c r="GO11" s="192"/>
      <c r="GP11" s="191"/>
      <c r="GQ11" s="192"/>
      <c r="GR11" s="191"/>
      <c r="GS11" s="192"/>
      <c r="GT11" s="191"/>
      <c r="GU11" s="192"/>
      <c r="GV11" s="191"/>
      <c r="GW11" s="192"/>
      <c r="GX11" s="191"/>
      <c r="GY11" s="192"/>
      <c r="GZ11" s="191"/>
      <c r="HA11" s="192"/>
      <c r="HB11" s="191"/>
      <c r="HC11" s="192"/>
      <c r="HD11" s="191"/>
      <c r="HE11" s="192"/>
      <c r="HF11" s="191"/>
      <c r="HG11" s="192"/>
      <c r="HH11" s="191"/>
      <c r="HI11" s="192"/>
      <c r="HJ11" s="191"/>
      <c r="HK11" s="192"/>
      <c r="HL11" s="191"/>
      <c r="HM11" s="192"/>
      <c r="HN11" s="191"/>
      <c r="HO11" s="192"/>
      <c r="HP11" s="191"/>
      <c r="HQ11" s="192"/>
      <c r="HR11" s="191"/>
      <c r="HS11" s="192"/>
      <c r="HT11" s="191"/>
      <c r="HU11" s="192"/>
      <c r="HV11" s="191"/>
      <c r="HW11" s="192"/>
      <c r="HX11" s="191"/>
      <c r="HY11" s="192"/>
      <c r="HZ11" s="191"/>
      <c r="IA11" s="192"/>
      <c r="IB11" s="191"/>
      <c r="IC11" s="192"/>
      <c r="ID11" s="191"/>
      <c r="IE11" s="192"/>
      <c r="IF11" s="191"/>
      <c r="IG11" s="192"/>
      <c r="IH11" s="191"/>
      <c r="II11" s="192"/>
      <c r="IJ11" s="191"/>
      <c r="IK11" s="192"/>
      <c r="IL11" s="191"/>
      <c r="IM11" s="192"/>
      <c r="IN11" s="191"/>
      <c r="IO11" s="192"/>
      <c r="IP11" s="191"/>
      <c r="IQ11" s="192"/>
      <c r="IR11" s="191"/>
      <c r="IS11" s="192"/>
      <c r="IT11" s="191"/>
      <c r="IU11" s="192"/>
      <c r="IV11" s="191"/>
      <c r="IW11" s="192"/>
      <c r="IX11" s="191"/>
      <c r="IY11" s="192"/>
      <c r="IZ11" s="177"/>
      <c r="JA11" s="191"/>
      <c r="JB11" s="192"/>
      <c r="JC11" s="191"/>
      <c r="JD11" s="192"/>
      <c r="JE11" s="177"/>
      <c r="JF11" s="191"/>
      <c r="JG11" s="192"/>
      <c r="JH11" s="191"/>
      <c r="JI11" s="192"/>
      <c r="JJ11" s="191"/>
      <c r="JK11" s="192"/>
      <c r="JL11" s="191"/>
      <c r="JM11" s="192"/>
      <c r="JN11" s="191"/>
      <c r="JO11" s="192"/>
      <c r="JP11" s="191"/>
      <c r="JQ11" s="192"/>
      <c r="JR11" s="191"/>
      <c r="JS11" s="192"/>
      <c r="JT11" s="191"/>
      <c r="JU11" s="192"/>
      <c r="JV11" s="191"/>
      <c r="JW11" s="192"/>
      <c r="JX11" s="191"/>
      <c r="JY11" s="192"/>
      <c r="JZ11" s="191"/>
      <c r="KA11" s="192"/>
      <c r="KB11" s="191"/>
      <c r="KC11" s="192"/>
      <c r="KD11" s="191"/>
      <c r="KE11" s="192"/>
      <c r="KF11" s="191"/>
      <c r="KG11" s="192"/>
      <c r="KH11" s="191"/>
      <c r="KI11" s="192"/>
      <c r="KJ11" s="191"/>
      <c r="KK11" s="192"/>
      <c r="KL11" s="191"/>
      <c r="KM11" s="192"/>
      <c r="KN11" s="191"/>
      <c r="KO11" s="192"/>
      <c r="KP11" s="191"/>
      <c r="KQ11" s="192"/>
      <c r="KR11" s="191"/>
      <c r="KS11" s="192"/>
      <c r="KT11" s="191"/>
      <c r="KU11" s="192"/>
      <c r="KV11" s="191"/>
      <c r="KW11" s="192"/>
      <c r="KX11" s="191"/>
      <c r="KY11" s="192"/>
      <c r="KZ11" s="191"/>
      <c r="LA11" s="192"/>
      <c r="LB11" s="191"/>
      <c r="LC11" s="192"/>
      <c r="LD11" s="191"/>
      <c r="LE11" s="192"/>
      <c r="LF11" s="191"/>
      <c r="LG11" s="192"/>
      <c r="LH11" s="191"/>
      <c r="LI11" s="192"/>
      <c r="LJ11" s="191"/>
      <c r="LK11" s="192"/>
      <c r="LL11" s="191"/>
      <c r="LM11" s="192"/>
      <c r="LN11" s="191"/>
      <c r="LO11" s="192"/>
      <c r="LP11" s="191"/>
      <c r="LQ11" s="192"/>
      <c r="LR11" s="191"/>
      <c r="LS11" s="192"/>
      <c r="LT11" s="191"/>
      <c r="LU11" s="192"/>
      <c r="LV11" s="191"/>
      <c r="LW11" s="192"/>
      <c r="LX11" s="191"/>
      <c r="LY11" s="192"/>
      <c r="LZ11" s="191"/>
      <c r="MA11" s="192"/>
      <c r="MB11" s="191"/>
      <c r="MC11" s="192"/>
      <c r="MD11" s="191"/>
      <c r="ME11" s="192"/>
      <c r="MF11" s="191"/>
      <c r="MG11" s="192"/>
      <c r="MH11" s="177"/>
      <c r="MI11" s="191"/>
      <c r="MJ11" s="192"/>
      <c r="MK11" s="191"/>
      <c r="ML11" s="192"/>
      <c r="MM11" s="191"/>
      <c r="MN11" s="192"/>
      <c r="MO11" s="191"/>
      <c r="MP11" s="192"/>
      <c r="MQ11" s="191"/>
      <c r="MR11" s="192"/>
      <c r="MS11" s="191"/>
      <c r="MT11" s="192"/>
      <c r="MU11" s="191"/>
      <c r="MV11" s="192"/>
      <c r="MW11" s="191"/>
      <c r="MX11" s="192"/>
      <c r="MY11" s="191"/>
      <c r="MZ11" s="192"/>
      <c r="NA11" s="191"/>
      <c r="NB11" s="192"/>
      <c r="NC11" s="191"/>
      <c r="ND11" s="192"/>
      <c r="NE11" s="191"/>
      <c r="NF11" s="192"/>
      <c r="NG11" s="191"/>
      <c r="NH11" s="192"/>
      <c r="NI11" s="191"/>
      <c r="NJ11" s="192"/>
      <c r="NK11" s="191"/>
      <c r="NL11" s="192"/>
      <c r="NM11" s="191"/>
      <c r="NN11" s="192"/>
      <c r="NO11" s="191"/>
      <c r="NP11" s="192"/>
      <c r="NQ11" s="191"/>
      <c r="NR11" s="192"/>
      <c r="NS11" s="191"/>
      <c r="NT11" s="192"/>
      <c r="NU11" s="191"/>
      <c r="NV11" s="192"/>
      <c r="NW11" s="191"/>
      <c r="NX11" s="192"/>
      <c r="NY11" s="191"/>
      <c r="NZ11" s="192"/>
      <c r="OA11" s="191"/>
      <c r="OB11" s="192"/>
      <c r="OC11" s="191"/>
      <c r="OD11" s="192"/>
      <c r="OE11" s="191"/>
      <c r="OF11" s="192"/>
      <c r="OG11" s="191"/>
      <c r="OH11" s="192"/>
      <c r="OI11" s="191"/>
      <c r="OJ11" s="192"/>
      <c r="OK11" s="191"/>
      <c r="OL11" s="192"/>
      <c r="OM11" s="191"/>
      <c r="ON11" s="192"/>
      <c r="OO11" s="191"/>
      <c r="OP11" s="192"/>
      <c r="OQ11" s="191"/>
      <c r="OR11" s="192"/>
      <c r="OS11" s="191"/>
      <c r="OT11" s="192"/>
      <c r="OU11" s="191"/>
      <c r="OV11" s="192"/>
      <c r="OW11" s="191"/>
      <c r="OX11" s="192"/>
      <c r="OY11" s="191"/>
      <c r="OZ11" s="192"/>
      <c r="PA11" s="191"/>
      <c r="PB11" s="192"/>
      <c r="PC11" s="191"/>
      <c r="PD11" s="192"/>
      <c r="PE11" s="191"/>
      <c r="PF11" s="192"/>
      <c r="PG11" s="191"/>
      <c r="PH11" s="192"/>
      <c r="PI11" s="191"/>
      <c r="PJ11" s="192"/>
      <c r="PK11" s="191"/>
      <c r="PL11" s="192"/>
      <c r="PM11" s="191"/>
      <c r="PN11" s="192"/>
      <c r="PO11" s="191"/>
      <c r="PP11" s="192"/>
      <c r="PR11" s="191"/>
      <c r="PS11" s="192"/>
      <c r="PT11" s="191"/>
      <c r="PU11" s="192"/>
      <c r="PV11" s="191"/>
      <c r="PW11" s="192"/>
      <c r="PX11" s="191"/>
      <c r="PY11" s="192"/>
      <c r="PZ11" s="191"/>
      <c r="QA11" s="192"/>
      <c r="QB11" s="191"/>
      <c r="QC11" s="192"/>
      <c r="QF11" s="191"/>
      <c r="QG11" s="192"/>
      <c r="QH11" s="191"/>
      <c r="QI11" s="192"/>
      <c r="QJ11" s="191"/>
      <c r="QK11" s="192"/>
      <c r="QL11" s="191"/>
      <c r="QM11" s="192"/>
      <c r="QN11" s="191"/>
      <c r="QO11" s="192"/>
      <c r="QP11" s="191"/>
      <c r="QQ11" s="192"/>
    </row>
    <row r="12" spans="1:459" x14ac:dyDescent="0.45">
      <c r="A12" s="193"/>
      <c r="B12" s="194"/>
      <c r="C12" s="195"/>
      <c r="D12" s="196"/>
      <c r="E12" s="177"/>
      <c r="F12" s="197"/>
      <c r="G12" s="198"/>
      <c r="H12" s="197"/>
      <c r="I12" s="198"/>
      <c r="J12" s="197"/>
      <c r="K12" s="198"/>
      <c r="L12" s="197"/>
      <c r="M12" s="198"/>
      <c r="N12" s="197"/>
      <c r="O12" s="198"/>
      <c r="P12" s="197"/>
      <c r="Q12" s="198"/>
      <c r="R12" s="197"/>
      <c r="S12" s="198"/>
      <c r="T12" s="197"/>
      <c r="U12" s="198"/>
      <c r="V12" s="197"/>
      <c r="W12" s="198"/>
      <c r="X12" s="197"/>
      <c r="Y12" s="198"/>
      <c r="Z12" s="197"/>
      <c r="AA12" s="198"/>
      <c r="AB12" s="197"/>
      <c r="AC12" s="198"/>
      <c r="AD12" s="197"/>
      <c r="AE12" s="198"/>
      <c r="AF12" s="197"/>
      <c r="AG12" s="198"/>
      <c r="AH12" s="197"/>
      <c r="AI12" s="198"/>
      <c r="AJ12" s="197"/>
      <c r="AK12" s="198"/>
      <c r="AL12" s="197"/>
      <c r="AM12" s="198"/>
      <c r="AN12" s="197"/>
      <c r="AO12" s="198"/>
      <c r="AP12" s="197"/>
      <c r="AQ12" s="198"/>
      <c r="AR12" s="197"/>
      <c r="AS12" s="198"/>
      <c r="AT12" s="197"/>
      <c r="AU12" s="198"/>
      <c r="AV12" s="197"/>
      <c r="AW12" s="198"/>
      <c r="AX12" s="197"/>
      <c r="AY12" s="198"/>
      <c r="AZ12" s="197"/>
      <c r="BA12" s="198"/>
      <c r="BB12" s="197"/>
      <c r="BC12" s="198"/>
      <c r="BD12" s="197"/>
      <c r="BE12" s="198"/>
      <c r="BF12" s="197"/>
      <c r="BG12" s="198"/>
      <c r="BH12" s="197"/>
      <c r="BI12" s="198"/>
      <c r="BJ12" s="197"/>
      <c r="BK12" s="198"/>
      <c r="BL12" s="197"/>
      <c r="BM12" s="198"/>
      <c r="BN12" s="197"/>
      <c r="BO12" s="198"/>
      <c r="BP12" s="197"/>
      <c r="BQ12" s="198"/>
      <c r="BR12" s="197"/>
      <c r="BS12" s="198"/>
      <c r="BT12" s="197"/>
      <c r="BU12" s="198"/>
      <c r="BV12" s="197"/>
      <c r="BW12" s="198"/>
      <c r="BX12" s="197"/>
      <c r="BY12" s="198"/>
      <c r="BZ12" s="197"/>
      <c r="CA12" s="198"/>
      <c r="CB12" s="197"/>
      <c r="CC12" s="198"/>
      <c r="CD12" s="197"/>
      <c r="CE12" s="198"/>
      <c r="CF12" s="197"/>
      <c r="CG12" s="198"/>
      <c r="CH12" s="197"/>
      <c r="CI12" s="198"/>
      <c r="CJ12" s="197"/>
      <c r="CK12" s="198"/>
      <c r="CL12" s="197"/>
      <c r="CM12" s="198"/>
      <c r="CN12" s="197"/>
      <c r="CO12" s="198"/>
      <c r="CP12" s="197"/>
      <c r="CQ12" s="198"/>
      <c r="CR12" s="197"/>
      <c r="CS12" s="198"/>
      <c r="CT12" s="136"/>
      <c r="CU12" s="197"/>
      <c r="CV12" s="198"/>
      <c r="CW12" s="197"/>
      <c r="CX12" s="198"/>
      <c r="CY12" s="197"/>
      <c r="CZ12" s="198"/>
      <c r="DA12" s="197"/>
      <c r="DB12" s="198"/>
      <c r="DC12" s="197"/>
      <c r="DD12" s="198"/>
      <c r="DE12" s="197"/>
      <c r="DF12" s="198"/>
      <c r="DG12" s="197"/>
      <c r="DH12" s="198"/>
      <c r="DI12" s="197"/>
      <c r="DJ12" s="198"/>
      <c r="DK12" s="197"/>
      <c r="DL12" s="198"/>
      <c r="DM12" s="197"/>
      <c r="DN12" s="198"/>
      <c r="DO12" s="197"/>
      <c r="DP12" s="198"/>
      <c r="DQ12" s="197"/>
      <c r="DR12" s="198"/>
      <c r="DS12" s="197"/>
      <c r="DT12" s="198"/>
      <c r="DU12" s="197"/>
      <c r="DV12" s="198"/>
      <c r="DW12" s="197"/>
      <c r="DX12" s="198"/>
      <c r="DY12" s="197"/>
      <c r="DZ12" s="198"/>
      <c r="EA12" s="197"/>
      <c r="EB12" s="198"/>
      <c r="EC12" s="197"/>
      <c r="ED12" s="198"/>
      <c r="EE12" s="197"/>
      <c r="EF12" s="198"/>
      <c r="EG12" s="197"/>
      <c r="EH12" s="198"/>
      <c r="EI12" s="197"/>
      <c r="EJ12" s="198"/>
      <c r="EK12" s="197"/>
      <c r="EL12" s="198"/>
      <c r="EM12" s="197"/>
      <c r="EN12" s="198"/>
      <c r="EO12" s="197"/>
      <c r="EP12" s="198"/>
      <c r="EQ12" s="197"/>
      <c r="ER12" s="198"/>
      <c r="ES12" s="197"/>
      <c r="ET12" s="198"/>
      <c r="EU12" s="197"/>
      <c r="EV12" s="198"/>
      <c r="EW12" s="197"/>
      <c r="EX12" s="198"/>
      <c r="EY12" s="197"/>
      <c r="EZ12" s="198"/>
      <c r="FA12" s="197"/>
      <c r="FB12" s="198"/>
      <c r="FC12" s="197"/>
      <c r="FD12" s="198"/>
      <c r="FE12" s="197"/>
      <c r="FF12" s="198"/>
      <c r="FG12" s="197"/>
      <c r="FH12" s="198"/>
      <c r="FI12" s="197"/>
      <c r="FJ12" s="198"/>
      <c r="FK12" s="197"/>
      <c r="FL12" s="198"/>
      <c r="FM12" s="197"/>
      <c r="FN12" s="198"/>
      <c r="FO12" s="197"/>
      <c r="FP12" s="198"/>
      <c r="FQ12" s="177"/>
      <c r="FR12" s="197"/>
      <c r="FS12" s="198"/>
      <c r="FT12" s="197"/>
      <c r="FU12" s="198"/>
      <c r="FV12" s="197"/>
      <c r="FW12" s="198"/>
      <c r="FX12" s="197"/>
      <c r="FY12" s="198"/>
      <c r="FZ12" s="197"/>
      <c r="GA12" s="198"/>
      <c r="GB12" s="197"/>
      <c r="GC12" s="198"/>
      <c r="GD12" s="197"/>
      <c r="GE12" s="198"/>
      <c r="GF12" s="197"/>
      <c r="GG12" s="198"/>
      <c r="GH12" s="197"/>
      <c r="GI12" s="198"/>
      <c r="GJ12" s="197"/>
      <c r="GK12" s="198"/>
      <c r="GL12" s="197"/>
      <c r="GM12" s="198"/>
      <c r="GN12" s="197"/>
      <c r="GO12" s="198"/>
      <c r="GP12" s="197"/>
      <c r="GQ12" s="198"/>
      <c r="GR12" s="197"/>
      <c r="GS12" s="198"/>
      <c r="GT12" s="197"/>
      <c r="GU12" s="198"/>
      <c r="GV12" s="197"/>
      <c r="GW12" s="198"/>
      <c r="GX12" s="197"/>
      <c r="GY12" s="198"/>
      <c r="GZ12" s="197"/>
      <c r="HA12" s="198"/>
      <c r="HB12" s="197"/>
      <c r="HC12" s="198"/>
      <c r="HD12" s="197"/>
      <c r="HE12" s="198"/>
      <c r="HF12" s="197"/>
      <c r="HG12" s="198"/>
      <c r="HH12" s="197"/>
      <c r="HI12" s="198"/>
      <c r="HJ12" s="197"/>
      <c r="HK12" s="198"/>
      <c r="HL12" s="197"/>
      <c r="HM12" s="198"/>
      <c r="HN12" s="197"/>
      <c r="HO12" s="198"/>
      <c r="HP12" s="197"/>
      <c r="HQ12" s="198"/>
      <c r="HR12" s="197"/>
      <c r="HS12" s="198"/>
      <c r="HT12" s="197"/>
      <c r="HU12" s="198"/>
      <c r="HV12" s="197"/>
      <c r="HW12" s="198"/>
      <c r="HX12" s="197"/>
      <c r="HY12" s="198"/>
      <c r="HZ12" s="197"/>
      <c r="IA12" s="198"/>
      <c r="IB12" s="197"/>
      <c r="IC12" s="198"/>
      <c r="ID12" s="197"/>
      <c r="IE12" s="198"/>
      <c r="IF12" s="197"/>
      <c r="IG12" s="198"/>
      <c r="IH12" s="197"/>
      <c r="II12" s="198"/>
      <c r="IJ12" s="197"/>
      <c r="IK12" s="198"/>
      <c r="IL12" s="197"/>
      <c r="IM12" s="198"/>
      <c r="IN12" s="197"/>
      <c r="IO12" s="198"/>
      <c r="IP12" s="197"/>
      <c r="IQ12" s="198"/>
      <c r="IR12" s="197"/>
      <c r="IS12" s="198"/>
      <c r="IT12" s="197"/>
      <c r="IU12" s="198"/>
      <c r="IV12" s="197"/>
      <c r="IW12" s="198"/>
      <c r="IX12" s="197"/>
      <c r="IY12" s="198"/>
      <c r="IZ12" s="177"/>
      <c r="JA12" s="197"/>
      <c r="JB12" s="198"/>
      <c r="JC12" s="197"/>
      <c r="JD12" s="198"/>
      <c r="JE12" s="177"/>
      <c r="JF12" s="197"/>
      <c r="JG12" s="198"/>
      <c r="JH12" s="197"/>
      <c r="JI12" s="198"/>
      <c r="JJ12" s="197"/>
      <c r="JK12" s="198"/>
      <c r="JL12" s="197"/>
      <c r="JM12" s="198"/>
      <c r="JN12" s="197"/>
      <c r="JO12" s="198"/>
      <c r="JP12" s="197"/>
      <c r="JQ12" s="198"/>
      <c r="JR12" s="197"/>
      <c r="JS12" s="198"/>
      <c r="JT12" s="197"/>
      <c r="JU12" s="198"/>
      <c r="JV12" s="197"/>
      <c r="JW12" s="198"/>
      <c r="JX12" s="197"/>
      <c r="JY12" s="198"/>
      <c r="JZ12" s="197"/>
      <c r="KA12" s="198"/>
      <c r="KB12" s="197"/>
      <c r="KC12" s="198"/>
      <c r="KD12" s="197"/>
      <c r="KE12" s="198"/>
      <c r="KF12" s="197"/>
      <c r="KG12" s="198"/>
      <c r="KH12" s="197"/>
      <c r="KI12" s="198"/>
      <c r="KJ12" s="197"/>
      <c r="KK12" s="198"/>
      <c r="KL12" s="197"/>
      <c r="KM12" s="198"/>
      <c r="KN12" s="197"/>
      <c r="KO12" s="198"/>
      <c r="KP12" s="197"/>
      <c r="KQ12" s="198"/>
      <c r="KR12" s="197"/>
      <c r="KS12" s="198"/>
      <c r="KT12" s="197"/>
      <c r="KU12" s="198"/>
      <c r="KV12" s="197"/>
      <c r="KW12" s="198"/>
      <c r="KX12" s="197"/>
      <c r="KY12" s="198"/>
      <c r="KZ12" s="197"/>
      <c r="LA12" s="198"/>
      <c r="LB12" s="197"/>
      <c r="LC12" s="198"/>
      <c r="LD12" s="197"/>
      <c r="LE12" s="198"/>
      <c r="LF12" s="197"/>
      <c r="LG12" s="198"/>
      <c r="LH12" s="197"/>
      <c r="LI12" s="198"/>
      <c r="LJ12" s="197"/>
      <c r="LK12" s="198"/>
      <c r="LL12" s="197"/>
      <c r="LM12" s="198"/>
      <c r="LN12" s="197"/>
      <c r="LO12" s="198"/>
      <c r="LP12" s="197"/>
      <c r="LQ12" s="198"/>
      <c r="LR12" s="197"/>
      <c r="LS12" s="198"/>
      <c r="LT12" s="197"/>
      <c r="LU12" s="198"/>
      <c r="LV12" s="197"/>
      <c r="LW12" s="198"/>
      <c r="LX12" s="197"/>
      <c r="LY12" s="198"/>
      <c r="LZ12" s="197"/>
      <c r="MA12" s="198"/>
      <c r="MB12" s="197"/>
      <c r="MC12" s="198"/>
      <c r="MD12" s="197"/>
      <c r="ME12" s="198"/>
      <c r="MF12" s="197"/>
      <c r="MG12" s="198"/>
      <c r="MH12" s="177"/>
      <c r="MI12" s="197"/>
      <c r="MJ12" s="198"/>
      <c r="MK12" s="197"/>
      <c r="ML12" s="198"/>
      <c r="MM12" s="197"/>
      <c r="MN12" s="198"/>
      <c r="MO12" s="197"/>
      <c r="MP12" s="198"/>
      <c r="MQ12" s="197"/>
      <c r="MR12" s="198"/>
      <c r="MS12" s="197"/>
      <c r="MT12" s="198"/>
      <c r="MU12" s="197"/>
      <c r="MV12" s="198"/>
      <c r="MW12" s="197"/>
      <c r="MX12" s="198"/>
      <c r="MY12" s="197"/>
      <c r="MZ12" s="198"/>
      <c r="NA12" s="197"/>
      <c r="NB12" s="198"/>
      <c r="NC12" s="197"/>
      <c r="ND12" s="198"/>
      <c r="NE12" s="197"/>
      <c r="NF12" s="198"/>
      <c r="NG12" s="197"/>
      <c r="NH12" s="198"/>
      <c r="NI12" s="197"/>
      <c r="NJ12" s="198"/>
      <c r="NK12" s="197"/>
      <c r="NL12" s="198"/>
      <c r="NM12" s="197"/>
      <c r="NN12" s="198"/>
      <c r="NO12" s="197"/>
      <c r="NP12" s="198"/>
      <c r="NQ12" s="197"/>
      <c r="NR12" s="198"/>
      <c r="NS12" s="197"/>
      <c r="NT12" s="198"/>
      <c r="NU12" s="197"/>
      <c r="NV12" s="198"/>
      <c r="NW12" s="197"/>
      <c r="NX12" s="198"/>
      <c r="NY12" s="197"/>
      <c r="NZ12" s="198"/>
      <c r="OA12" s="197"/>
      <c r="OB12" s="198"/>
      <c r="OC12" s="197"/>
      <c r="OD12" s="198"/>
      <c r="OE12" s="197"/>
      <c r="OF12" s="198"/>
      <c r="OG12" s="197"/>
      <c r="OH12" s="198"/>
      <c r="OI12" s="197"/>
      <c r="OJ12" s="198"/>
      <c r="OK12" s="197"/>
      <c r="OL12" s="198"/>
      <c r="OM12" s="197"/>
      <c r="ON12" s="198"/>
      <c r="OO12" s="197"/>
      <c r="OP12" s="198"/>
      <c r="OQ12" s="197"/>
      <c r="OR12" s="198"/>
      <c r="OS12" s="197"/>
      <c r="OT12" s="198"/>
      <c r="OU12" s="197"/>
      <c r="OV12" s="198"/>
      <c r="OW12" s="197"/>
      <c r="OX12" s="198"/>
      <c r="OY12" s="197"/>
      <c r="OZ12" s="198"/>
      <c r="PA12" s="197"/>
      <c r="PB12" s="198"/>
      <c r="PC12" s="197"/>
      <c r="PD12" s="198"/>
      <c r="PE12" s="197"/>
      <c r="PF12" s="198"/>
      <c r="PG12" s="197"/>
      <c r="PH12" s="198"/>
      <c r="PI12" s="197"/>
      <c r="PJ12" s="198"/>
      <c r="PK12" s="197"/>
      <c r="PL12" s="198"/>
      <c r="PM12" s="197"/>
      <c r="PN12" s="198"/>
      <c r="PO12" s="197"/>
      <c r="PP12" s="198"/>
      <c r="PR12" s="197"/>
      <c r="PS12" s="198"/>
      <c r="PT12" s="197"/>
      <c r="PU12" s="198"/>
      <c r="PV12" s="197"/>
      <c r="PW12" s="198"/>
      <c r="PX12" s="197"/>
      <c r="PY12" s="198"/>
      <c r="PZ12" s="197"/>
      <c r="QA12" s="198"/>
      <c r="QB12" s="197"/>
      <c r="QC12" s="198"/>
      <c r="QF12" s="197"/>
      <c r="QG12" s="198"/>
      <c r="QH12" s="197"/>
      <c r="QI12" s="198"/>
      <c r="QJ12" s="197"/>
      <c r="QK12" s="198"/>
      <c r="QL12" s="197"/>
      <c r="QM12" s="198"/>
      <c r="QN12" s="197"/>
      <c r="QO12" s="198"/>
      <c r="QP12" s="197"/>
      <c r="QQ12" s="198"/>
    </row>
    <row r="13" spans="1:459" x14ac:dyDescent="0.45">
      <c r="A13" s="876" t="s">
        <v>320</v>
      </c>
      <c r="B13" s="180" t="s">
        <v>321</v>
      </c>
      <c r="C13" s="181"/>
      <c r="D13" s="199"/>
      <c r="E13" s="186"/>
      <c r="F13" s="200">
        <f>F14/5</f>
        <v>0.3</v>
      </c>
      <c r="G13" s="188">
        <f>+F13/F10</f>
        <v>0.22727272727272727</v>
      </c>
      <c r="H13" s="200">
        <f>H14/5</f>
        <v>0.3</v>
      </c>
      <c r="I13" s="188">
        <f>+H13/H10</f>
        <v>0.22727272727272727</v>
      </c>
      <c r="J13" s="200">
        <f>J14/5</f>
        <v>0.3</v>
      </c>
      <c r="K13" s="188">
        <f>+J13/J10</f>
        <v>0.22727272727272727</v>
      </c>
      <c r="L13" s="200">
        <f>L14/5</f>
        <v>0.3</v>
      </c>
      <c r="M13" s="188">
        <f>+L13/L10</f>
        <v>0.22727272727272727</v>
      </c>
      <c r="N13" s="200">
        <f>N14/5</f>
        <v>0.3</v>
      </c>
      <c r="O13" s="188">
        <f>+N13/N10</f>
        <v>0.22727272727272727</v>
      </c>
      <c r="P13" s="200">
        <f>P14/5</f>
        <v>0.32</v>
      </c>
      <c r="Q13" s="188">
        <f>+P13/P10</f>
        <v>0.24242424242424243</v>
      </c>
      <c r="R13" s="200">
        <f>R14/5</f>
        <v>0.32</v>
      </c>
      <c r="S13" s="188">
        <f>+R13/R10</f>
        <v>0.24242424242424243</v>
      </c>
      <c r="T13" s="200">
        <f>T14/5</f>
        <v>0.32</v>
      </c>
      <c r="U13" s="188">
        <f>+T13/T10</f>
        <v>0.24242424242424243</v>
      </c>
      <c r="V13" s="200">
        <f>V14/5</f>
        <v>0.32999999999999996</v>
      </c>
      <c r="W13" s="188">
        <f>+V13/V10</f>
        <v>0.24999999999999994</v>
      </c>
      <c r="X13" s="200">
        <f>X14/5</f>
        <v>0.32999999999999996</v>
      </c>
      <c r="Y13" s="188">
        <f>+X13/X10</f>
        <v>0.24999999999999994</v>
      </c>
      <c r="Z13" s="200">
        <f>Z14/5</f>
        <v>0.32999999999999996</v>
      </c>
      <c r="AA13" s="188">
        <f>+Z13/Z10</f>
        <v>0.24999999999999994</v>
      </c>
      <c r="AB13" s="200">
        <f>AB14/5</f>
        <v>0.32999999999999996</v>
      </c>
      <c r="AC13" s="188">
        <f>+AB13/AB10</f>
        <v>0.24999999999999994</v>
      </c>
      <c r="AD13" s="200">
        <f>AD14/5</f>
        <v>0.35</v>
      </c>
      <c r="AE13" s="188">
        <f>+AD13/AD10</f>
        <v>0.26515151515151514</v>
      </c>
      <c r="AF13" s="200">
        <f>AF14/5</f>
        <v>0.35</v>
      </c>
      <c r="AG13" s="188">
        <f>+AF13/AF10</f>
        <v>0.25</v>
      </c>
      <c r="AH13" s="200">
        <f>AH14/5</f>
        <v>0.35</v>
      </c>
      <c r="AI13" s="188">
        <f>+AH13/AH10</f>
        <v>0.26515151515151514</v>
      </c>
      <c r="AJ13" s="200">
        <f>AJ14/5</f>
        <v>0.35</v>
      </c>
      <c r="AK13" s="188">
        <f>+AJ13/AJ10</f>
        <v>0.26515151515151514</v>
      </c>
      <c r="AL13" s="200">
        <f>AL14/5</f>
        <v>0.35</v>
      </c>
      <c r="AM13" s="188">
        <f>+AL13/AL10</f>
        <v>0.26515151515151514</v>
      </c>
      <c r="AN13" s="200">
        <f>AN14/5</f>
        <v>0.35</v>
      </c>
      <c r="AO13" s="188">
        <f>+AN13/AN10</f>
        <v>0.26515151515151514</v>
      </c>
      <c r="AP13" s="200">
        <f>AP14/5</f>
        <v>0.35</v>
      </c>
      <c r="AQ13" s="188">
        <f>+AP13/AP10</f>
        <v>0.26515151515151514</v>
      </c>
      <c r="AR13" s="200">
        <f>AR14/5</f>
        <v>0.35</v>
      </c>
      <c r="AS13" s="188">
        <f>+AR13/AR10</f>
        <v>0.26515151515151514</v>
      </c>
      <c r="AT13" s="200">
        <f>AT14/5</f>
        <v>0.35</v>
      </c>
      <c r="AU13" s="188">
        <f>+AT13/AT10</f>
        <v>0.26515151515151514</v>
      </c>
      <c r="AV13" s="200">
        <f>AV14/5</f>
        <v>0.35</v>
      </c>
      <c r="AW13" s="188">
        <f>+AV13/AV10</f>
        <v>0.26515151515151514</v>
      </c>
      <c r="AX13" s="200">
        <f>AX14/5</f>
        <v>0.35</v>
      </c>
      <c r="AY13" s="188">
        <f>+AX13/AX10</f>
        <v>0.26515151515151514</v>
      </c>
      <c r="AZ13" s="200">
        <f>AZ14/5</f>
        <v>0.35</v>
      </c>
      <c r="BA13" s="188">
        <f>+AZ13/AZ10</f>
        <v>0.26515151515151514</v>
      </c>
      <c r="BB13" s="200">
        <f>BB14/5</f>
        <v>0.35</v>
      </c>
      <c r="BC13" s="188">
        <f>+BB13/BB10</f>
        <v>0.26515151515151514</v>
      </c>
      <c r="BD13" s="200">
        <f>BD14/5</f>
        <v>0.35</v>
      </c>
      <c r="BE13" s="188">
        <f>+BD13/BD10</f>
        <v>0.26515151515151514</v>
      </c>
      <c r="BF13" s="200">
        <f>BF14/5</f>
        <v>0.35</v>
      </c>
      <c r="BG13" s="188">
        <f>+BF13/BF10</f>
        <v>0.26515151515151514</v>
      </c>
      <c r="BH13" s="200">
        <f>BH14/5</f>
        <v>0.35</v>
      </c>
      <c r="BI13" s="188">
        <f>+BH13/BH10</f>
        <v>0.26515151515151514</v>
      </c>
      <c r="BJ13" s="200">
        <f>BJ14/5</f>
        <v>0.35</v>
      </c>
      <c r="BK13" s="188">
        <f>+BJ13/BJ10</f>
        <v>0.26515151515151514</v>
      </c>
      <c r="BL13" s="200">
        <f>BL14/5</f>
        <v>0.35</v>
      </c>
      <c r="BM13" s="188">
        <f>+BL13/BL10</f>
        <v>0.26515151515151514</v>
      </c>
      <c r="BN13" s="200">
        <f>BN14/5</f>
        <v>0.35</v>
      </c>
      <c r="BO13" s="188">
        <f>+BN13/BN10</f>
        <v>0.26515151515151514</v>
      </c>
      <c r="BP13" s="200">
        <f>BP14/5</f>
        <v>0.35</v>
      </c>
      <c r="BQ13" s="188">
        <f>+BP13/BP10</f>
        <v>0.26515151515151514</v>
      </c>
      <c r="BR13" s="200">
        <f>BR14/5</f>
        <v>0.35</v>
      </c>
      <c r="BS13" s="188">
        <f>+BR13/BR10</f>
        <v>0.26515151515151514</v>
      </c>
      <c r="BT13" s="200">
        <f>BT14/5</f>
        <v>0.35</v>
      </c>
      <c r="BU13" s="188">
        <f>+BT13/BT10</f>
        <v>0.26515151515151514</v>
      </c>
      <c r="BV13" s="200">
        <f>BV14/5</f>
        <v>0.35</v>
      </c>
      <c r="BW13" s="188">
        <f>+BV13/BV10</f>
        <v>0.26515151515151514</v>
      </c>
      <c r="BX13" s="200">
        <f>BX14/5</f>
        <v>0.35</v>
      </c>
      <c r="BY13" s="188">
        <f>+BX13/BX10</f>
        <v>0.26515151515151514</v>
      </c>
      <c r="BZ13" s="200">
        <f>BZ14/5</f>
        <v>0.35</v>
      </c>
      <c r="CA13" s="188">
        <f>+BZ13/BZ10</f>
        <v>0.26515151515151514</v>
      </c>
      <c r="CB13" s="200">
        <f>CB14/5</f>
        <v>0.35</v>
      </c>
      <c r="CC13" s="188">
        <f>+CB13/CB10</f>
        <v>0.26515151515151514</v>
      </c>
      <c r="CD13" s="200">
        <f>CD14/5</f>
        <v>0.35</v>
      </c>
      <c r="CE13" s="188">
        <f>+CD13/CD10</f>
        <v>0.26515151515151514</v>
      </c>
      <c r="CF13" s="200">
        <f>CF14/5</f>
        <v>0.35</v>
      </c>
      <c r="CG13" s="188">
        <f>+CF13/CF10</f>
        <v>0.26515151515151514</v>
      </c>
      <c r="CH13" s="200">
        <f>CH14/5</f>
        <v>0.35</v>
      </c>
      <c r="CI13" s="188">
        <f>+CH13/CH10</f>
        <v>0.26515151515151514</v>
      </c>
      <c r="CJ13" s="200">
        <f>CJ14/5</f>
        <v>0.35</v>
      </c>
      <c r="CK13" s="188">
        <f>+CJ13/CJ10</f>
        <v>0.26515151515151514</v>
      </c>
      <c r="CL13" s="200">
        <f>CL14/5</f>
        <v>0.35</v>
      </c>
      <c r="CM13" s="188">
        <f>+CL13/CL10</f>
        <v>0.26515151515151514</v>
      </c>
      <c r="CN13" s="200">
        <f>CN14/5</f>
        <v>0.31</v>
      </c>
      <c r="CO13" s="188">
        <f>+CN13/CN10</f>
        <v>0.23484848484848483</v>
      </c>
      <c r="CP13" s="200">
        <f>CP14/5</f>
        <v>0.31</v>
      </c>
      <c r="CQ13" s="188">
        <f>+CP13/CP10</f>
        <v>0.23484848484848483</v>
      </c>
      <c r="CR13" s="200">
        <f>CR14/5</f>
        <v>0.32999999999999996</v>
      </c>
      <c r="CS13" s="188">
        <f>+CR13/CR10</f>
        <v>0.24999999999999994</v>
      </c>
      <c r="CT13" s="201"/>
      <c r="CU13" s="200">
        <f>CU14/10</f>
        <v>0.28999999999999998</v>
      </c>
      <c r="CV13" s="188">
        <f>+CU13/CU10</f>
        <v>0.21969696969696967</v>
      </c>
      <c r="CW13" s="200">
        <f>CW14/10</f>
        <v>0.28999999999999998</v>
      </c>
      <c r="CX13" s="188">
        <f>+CW13/CW10</f>
        <v>0.21969696969696967</v>
      </c>
      <c r="CY13" s="200">
        <f>CY14/10</f>
        <v>0.28999999999999998</v>
      </c>
      <c r="CZ13" s="188">
        <f>+CY13/CY10</f>
        <v>0.21969696969696967</v>
      </c>
      <c r="DA13" s="200">
        <f>DA14/10</f>
        <v>0.3</v>
      </c>
      <c r="DB13" s="188">
        <f>+DA13/DA10</f>
        <v>0.22727272727272727</v>
      </c>
      <c r="DC13" s="200">
        <f>DC14/10</f>
        <v>0.32999999999999996</v>
      </c>
      <c r="DD13" s="188">
        <f>+DC13/DC10</f>
        <v>0.24999999999999994</v>
      </c>
      <c r="DE13" s="200">
        <f>DE14/10</f>
        <v>0.32999999999999996</v>
      </c>
      <c r="DF13" s="188">
        <f>+DE13/DE10</f>
        <v>0.23571428571428571</v>
      </c>
      <c r="DG13" s="200">
        <f>DG14/10</f>
        <v>0.32999999999999996</v>
      </c>
      <c r="DH13" s="188">
        <f>+DG13/DG10</f>
        <v>0.24999999999999994</v>
      </c>
      <c r="DI13" s="200">
        <f>DI14/10</f>
        <v>0.32999999999999996</v>
      </c>
      <c r="DJ13" s="188">
        <f>+DI13/DI10</f>
        <v>0.24999999999999994</v>
      </c>
      <c r="DK13" s="200">
        <f>DK14/10</f>
        <v>0.32999999999999996</v>
      </c>
      <c r="DL13" s="188">
        <f>+DK13/DK10</f>
        <v>0.24999999999999994</v>
      </c>
      <c r="DM13" s="200">
        <f>DM14/10</f>
        <v>0.32999999999999996</v>
      </c>
      <c r="DN13" s="188">
        <f>+DM13/DM10</f>
        <v>0.24999999999999994</v>
      </c>
      <c r="DO13" s="200">
        <f>DO14/10</f>
        <v>0.32999999999999996</v>
      </c>
      <c r="DP13" s="188">
        <f>+DO13/DO10</f>
        <v>0.24999999999999994</v>
      </c>
      <c r="DQ13" s="200">
        <f>DQ14/10</f>
        <v>0.32999999999999996</v>
      </c>
      <c r="DR13" s="188">
        <f>+DQ13/DQ10</f>
        <v>0.24999999999999994</v>
      </c>
      <c r="DS13" s="200">
        <f>DS14/10</f>
        <v>0.32999999999999996</v>
      </c>
      <c r="DT13" s="188">
        <f>+DS13/DS10</f>
        <v>0.24999999999999994</v>
      </c>
      <c r="DU13" s="200">
        <f>DU14/10</f>
        <v>0.32999999999999996</v>
      </c>
      <c r="DV13" s="188">
        <f>+DU13/DU10</f>
        <v>0.24999999999999994</v>
      </c>
      <c r="DW13" s="200">
        <f>DW14/10</f>
        <v>0.32999999999999996</v>
      </c>
      <c r="DX13" s="188">
        <f>+DW13/DW10</f>
        <v>0.24999999999999994</v>
      </c>
      <c r="DY13" s="200">
        <f>DY14/10</f>
        <v>0.32999999999999996</v>
      </c>
      <c r="DZ13" s="188">
        <f>+DY13/DY10</f>
        <v>0.24999999999999994</v>
      </c>
      <c r="EA13" s="200">
        <f>EA14/10</f>
        <v>0.32999999999999996</v>
      </c>
      <c r="EB13" s="188">
        <f>+EA13/EA10</f>
        <v>0.24999999999999994</v>
      </c>
      <c r="EC13" s="200">
        <f>EC14/10</f>
        <v>0.32999999999999996</v>
      </c>
      <c r="ED13" s="188">
        <f>+EC13/EC10</f>
        <v>0.24999999999999994</v>
      </c>
      <c r="EE13" s="200">
        <f>EE14/10</f>
        <v>0.32999999999999996</v>
      </c>
      <c r="EF13" s="188">
        <f>+EE13/EE10</f>
        <v>0.24999999999999994</v>
      </c>
      <c r="EG13" s="200">
        <f>EG14/10</f>
        <v>0.32999999999999996</v>
      </c>
      <c r="EH13" s="188">
        <f>+EG13/EG10</f>
        <v>0.24999999999999994</v>
      </c>
      <c r="EI13" s="200">
        <f>EI14/10</f>
        <v>0.32999999999999996</v>
      </c>
      <c r="EJ13" s="188">
        <f>+EI13/EI10</f>
        <v>0.24999999999999994</v>
      </c>
      <c r="EK13" s="200">
        <f>EK14/10</f>
        <v>0.32999999999999996</v>
      </c>
      <c r="EL13" s="188">
        <f>+EK13/EK10</f>
        <v>0.24999999999999994</v>
      </c>
      <c r="EM13" s="200">
        <f>EM14/10</f>
        <v>0.32999999999999996</v>
      </c>
      <c r="EN13" s="188">
        <f>+EM13/EM10</f>
        <v>0.24999999999999994</v>
      </c>
      <c r="EO13" s="200">
        <f>EO14/10</f>
        <v>0.32999999999999996</v>
      </c>
      <c r="EP13" s="188">
        <f>+EO13/EO10</f>
        <v>0.24999999999999994</v>
      </c>
      <c r="EQ13" s="200">
        <f>EQ14/10</f>
        <v>0.32999999999999996</v>
      </c>
      <c r="ER13" s="188">
        <f>+EQ13/EQ10</f>
        <v>0.24999999999999994</v>
      </c>
      <c r="ES13" s="200">
        <f>ES14/10</f>
        <v>0.32999999999999996</v>
      </c>
      <c r="ET13" s="188">
        <f>+ES13/ES10</f>
        <v>0.24999999999999994</v>
      </c>
      <c r="EU13" s="200">
        <f>EU14/10</f>
        <v>0.32999999999999996</v>
      </c>
      <c r="EV13" s="188">
        <f>+EU13/EU10</f>
        <v>0.24999999999999994</v>
      </c>
      <c r="EW13" s="200">
        <f>EW14/10</f>
        <v>0.32999999999999996</v>
      </c>
      <c r="EX13" s="188">
        <f>+EW13/EW10</f>
        <v>0.24999999999999994</v>
      </c>
      <c r="EY13" s="200">
        <f>EY14/10</f>
        <v>0.32999999999999996</v>
      </c>
      <c r="EZ13" s="188">
        <f>+EY13/EY10</f>
        <v>0.24999999999999994</v>
      </c>
      <c r="FA13" s="200">
        <f>FA14/10</f>
        <v>0.32999999999999996</v>
      </c>
      <c r="FB13" s="188">
        <f>+FA13/FA10</f>
        <v>0.24999999999999994</v>
      </c>
      <c r="FC13" s="200">
        <f>FC14/10</f>
        <v>0.32999999999999996</v>
      </c>
      <c r="FD13" s="188">
        <f>+FC13/FC10</f>
        <v>0.24999999999999994</v>
      </c>
      <c r="FE13" s="200">
        <f>FE14/10</f>
        <v>0.32999999999999996</v>
      </c>
      <c r="FF13" s="188">
        <f>+FE13/FE10</f>
        <v>0.24999999999999994</v>
      </c>
      <c r="FG13" s="200">
        <f>FG14/10</f>
        <v>0.32999999999999996</v>
      </c>
      <c r="FH13" s="188">
        <f>+FG13/FG10</f>
        <v>0.24999999999999994</v>
      </c>
      <c r="FI13" s="200">
        <f>FI14/10</f>
        <v>0.32999999999999996</v>
      </c>
      <c r="FJ13" s="188">
        <f>+FI13/FI10</f>
        <v>0.24999999999999994</v>
      </c>
      <c r="FK13" s="200">
        <f>FK14/10</f>
        <v>0.32999999999999996</v>
      </c>
      <c r="FL13" s="188">
        <f>+FK13/FK10</f>
        <v>0.24999999999999994</v>
      </c>
      <c r="FM13" s="200">
        <f>FM14/10</f>
        <v>0.30499999999999999</v>
      </c>
      <c r="FN13" s="188">
        <f>+FM13/FM10</f>
        <v>0.23106060606060605</v>
      </c>
      <c r="FO13" s="200">
        <f>FO14/10</f>
        <v>0.30499999999999999</v>
      </c>
      <c r="FP13" s="188">
        <f>+FO13/FO10</f>
        <v>0.23106060606060605</v>
      </c>
      <c r="FQ13" s="186"/>
      <c r="FR13" s="200">
        <f>FR14/5</f>
        <v>0.3</v>
      </c>
      <c r="FS13" s="188">
        <f>+FR13/FR10</f>
        <v>0.22727272727272727</v>
      </c>
      <c r="FT13" s="200">
        <f>FT14/5</f>
        <v>0.3</v>
      </c>
      <c r="FU13" s="188">
        <f>+FT13/FT10</f>
        <v>0.22727272727272727</v>
      </c>
      <c r="FV13" s="200">
        <f>FV14/5</f>
        <v>0.32</v>
      </c>
      <c r="FW13" s="188">
        <f>+FV13/FV10</f>
        <v>0.24242424242424243</v>
      </c>
      <c r="FX13" s="200">
        <f>FX14/5</f>
        <v>0.32</v>
      </c>
      <c r="FY13" s="188">
        <f>+FX13/FX10</f>
        <v>0.24242424242424243</v>
      </c>
      <c r="FZ13" s="200">
        <f>FZ14/5</f>
        <v>0.32</v>
      </c>
      <c r="GA13" s="188">
        <f>+FZ13/FZ10</f>
        <v>0.24242424242424243</v>
      </c>
      <c r="GB13" s="200">
        <f>GB14/5</f>
        <v>0.32999999999999996</v>
      </c>
      <c r="GC13" s="188">
        <f>+GB13/GB10</f>
        <v>0.24999999999999994</v>
      </c>
      <c r="GD13" s="200">
        <f>GD14/5</f>
        <v>0.32999999999999996</v>
      </c>
      <c r="GE13" s="188">
        <f>+GD13/GD10</f>
        <v>0.24999999999999994</v>
      </c>
      <c r="GF13" s="200">
        <f>GF14/5</f>
        <v>0.32999999999999996</v>
      </c>
      <c r="GG13" s="188">
        <f>+GF13/GF10</f>
        <v>0.24999999999999994</v>
      </c>
      <c r="GH13" s="200">
        <f>GH14/5</f>
        <v>0.32999999999999996</v>
      </c>
      <c r="GI13" s="188">
        <f>+GH13/GH10</f>
        <v>0.24999999999999994</v>
      </c>
      <c r="GJ13" s="200">
        <f>GJ14/5</f>
        <v>0.38</v>
      </c>
      <c r="GK13" s="188">
        <f>+GJ13/GJ10</f>
        <v>0.28787878787878785</v>
      </c>
      <c r="GL13" s="200">
        <f>GL14/5</f>
        <v>0.38</v>
      </c>
      <c r="GM13" s="188">
        <f>+GL13/GL10</f>
        <v>0.27142857142857146</v>
      </c>
      <c r="GN13" s="200">
        <f>GN14/5</f>
        <v>0.38</v>
      </c>
      <c r="GO13" s="188">
        <f>+GN13/GN10</f>
        <v>0.28787878787878785</v>
      </c>
      <c r="GP13" s="200">
        <f>GP14/5</f>
        <v>0.38</v>
      </c>
      <c r="GQ13" s="188">
        <f>+GP13/GP10</f>
        <v>0.28787878787878785</v>
      </c>
      <c r="GR13" s="200">
        <f>GR14/5</f>
        <v>0.38</v>
      </c>
      <c r="GS13" s="188">
        <f>+GR13/GR10</f>
        <v>0.28787878787878785</v>
      </c>
      <c r="GT13" s="200">
        <f>GT14/5</f>
        <v>0.38</v>
      </c>
      <c r="GU13" s="188">
        <f>+GT13/GT10</f>
        <v>0.28787878787878785</v>
      </c>
      <c r="GV13" s="200">
        <f>GV14/5</f>
        <v>0.38</v>
      </c>
      <c r="GW13" s="188">
        <f>+GV13/GV10</f>
        <v>0.28787878787878785</v>
      </c>
      <c r="GX13" s="200">
        <f>GX14/5</f>
        <v>0.38</v>
      </c>
      <c r="GY13" s="188">
        <f>+GX13/GX10</f>
        <v>0.28787878787878785</v>
      </c>
      <c r="GZ13" s="200">
        <f>GZ14/5</f>
        <v>0.38</v>
      </c>
      <c r="HA13" s="188">
        <f>+GZ13/GZ10</f>
        <v>0.28787878787878785</v>
      </c>
      <c r="HB13" s="200">
        <f>HB14/5</f>
        <v>0.38</v>
      </c>
      <c r="HC13" s="188">
        <f>+HB13/HB10</f>
        <v>0.28787878787878785</v>
      </c>
      <c r="HD13" s="200">
        <f>HD14/5</f>
        <v>0.38</v>
      </c>
      <c r="HE13" s="188">
        <f>+HD13/HD10</f>
        <v>0.28787878787878785</v>
      </c>
      <c r="HF13" s="200">
        <f>HF14/5</f>
        <v>0.38</v>
      </c>
      <c r="HG13" s="188">
        <f>+HF13/HF10</f>
        <v>0.28787878787878785</v>
      </c>
      <c r="HH13" s="200">
        <f>HH14/5</f>
        <v>0.38</v>
      </c>
      <c r="HI13" s="188">
        <f>+HH13/HH10</f>
        <v>0.28787878787878785</v>
      </c>
      <c r="HJ13" s="200">
        <f>HJ14/5</f>
        <v>0.38</v>
      </c>
      <c r="HK13" s="188">
        <f>+HJ13/HJ10</f>
        <v>0.28787878787878785</v>
      </c>
      <c r="HL13" s="200">
        <f>HL14/5</f>
        <v>0.38</v>
      </c>
      <c r="HM13" s="188">
        <f>+HL13/HL10</f>
        <v>0.28787878787878785</v>
      </c>
      <c r="HN13" s="200">
        <f>HN14/5</f>
        <v>0.38</v>
      </c>
      <c r="HO13" s="188">
        <f>+HN13/HN10</f>
        <v>0.28787878787878785</v>
      </c>
      <c r="HP13" s="200">
        <f>HP14/5</f>
        <v>0.38</v>
      </c>
      <c r="HQ13" s="188">
        <f>+HP13/HP10</f>
        <v>0.28787878787878785</v>
      </c>
      <c r="HR13" s="200">
        <f>HR14/5</f>
        <v>0.38</v>
      </c>
      <c r="HS13" s="188">
        <f>+HR13/HR10</f>
        <v>0.28787878787878785</v>
      </c>
      <c r="HT13" s="200">
        <f>HT14/5</f>
        <v>0.38</v>
      </c>
      <c r="HU13" s="188">
        <f>+HT13/HT10</f>
        <v>0.28787878787878785</v>
      </c>
      <c r="HV13" s="200">
        <f>HV14/5</f>
        <v>0.38</v>
      </c>
      <c r="HW13" s="188">
        <f>+HV13/HV10</f>
        <v>0.28787878787878785</v>
      </c>
      <c r="HX13" s="200">
        <f>HX14/5</f>
        <v>0.38</v>
      </c>
      <c r="HY13" s="188">
        <f>+HX13/HX10</f>
        <v>0.28787878787878785</v>
      </c>
      <c r="HZ13" s="200">
        <f>HZ14/5</f>
        <v>0.38</v>
      </c>
      <c r="IA13" s="188">
        <f>+HZ13/HZ10</f>
        <v>0.28787878787878785</v>
      </c>
      <c r="IB13" s="200">
        <f>IB14/5</f>
        <v>0.38</v>
      </c>
      <c r="IC13" s="188">
        <f>+IB13/IB10</f>
        <v>0.28787878787878785</v>
      </c>
      <c r="ID13" s="200">
        <f>ID14/5</f>
        <v>0.38</v>
      </c>
      <c r="IE13" s="188">
        <f>+ID13/ID10</f>
        <v>0.28787878787878785</v>
      </c>
      <c r="IF13" s="200">
        <f>IF14/5</f>
        <v>0.38</v>
      </c>
      <c r="IG13" s="188">
        <f>+IF13/IF10</f>
        <v>0.28787878787878785</v>
      </c>
      <c r="IH13" s="200">
        <f>IH14/5</f>
        <v>0.38</v>
      </c>
      <c r="II13" s="188">
        <f>+IH13/IH10</f>
        <v>0.28787878787878785</v>
      </c>
      <c r="IJ13" s="200">
        <f>IJ14/5</f>
        <v>0.38</v>
      </c>
      <c r="IK13" s="188">
        <f>+IJ13/IJ10</f>
        <v>0.28787878787878785</v>
      </c>
      <c r="IL13" s="200">
        <f>IL14/5</f>
        <v>0.38</v>
      </c>
      <c r="IM13" s="188">
        <f>+IL13/IL10</f>
        <v>0.28787878787878785</v>
      </c>
      <c r="IN13" s="200">
        <f>IN14/5</f>
        <v>0.38</v>
      </c>
      <c r="IO13" s="188">
        <f>+IN13/IN10</f>
        <v>0.28787878787878785</v>
      </c>
      <c r="IP13" s="200">
        <f>IP14/5</f>
        <v>0.38</v>
      </c>
      <c r="IQ13" s="188">
        <f>+IP13/IP10</f>
        <v>0.28787878787878785</v>
      </c>
      <c r="IR13" s="200">
        <f>IR14/5</f>
        <v>0.38</v>
      </c>
      <c r="IS13" s="188">
        <f>+IR13/IR10</f>
        <v>0.28787878787878785</v>
      </c>
      <c r="IT13" s="200">
        <f>IT14/5</f>
        <v>0.38</v>
      </c>
      <c r="IU13" s="188">
        <f>+IT13/IT10</f>
        <v>0.28787878787878785</v>
      </c>
      <c r="IV13" s="200">
        <f>IV14/5</f>
        <v>0.33999999999999997</v>
      </c>
      <c r="IW13" s="188">
        <f>+IV13/IV10</f>
        <v>0.25757575757575751</v>
      </c>
      <c r="IX13" s="200">
        <f>IX14/5</f>
        <v>0.33999999999999997</v>
      </c>
      <c r="IY13" s="188">
        <f>+IX13/IX10</f>
        <v>0.25757575757575751</v>
      </c>
      <c r="IZ13" s="186"/>
      <c r="JA13" s="200">
        <f>JA14/5</f>
        <v>0.33999999999999997</v>
      </c>
      <c r="JB13" s="188">
        <f>+JA13/JA10</f>
        <v>0.25373134328358204</v>
      </c>
      <c r="JC13" s="200">
        <f>JC14/5</f>
        <v>0.36</v>
      </c>
      <c r="JD13" s="188">
        <f>+JC13/JC10</f>
        <v>0.26865671641791045</v>
      </c>
      <c r="JE13" s="186"/>
      <c r="JF13" s="200">
        <f>JF14/5</f>
        <v>0.27999999999999997</v>
      </c>
      <c r="JG13" s="188">
        <f>+JF13/JF10</f>
        <v>0.2121212121212121</v>
      </c>
      <c r="JH13" s="200">
        <f>JH14/5</f>
        <v>0.27999999999999997</v>
      </c>
      <c r="JI13" s="188">
        <f>+JH13/JH10</f>
        <v>0.2121212121212121</v>
      </c>
      <c r="JJ13" s="200">
        <f>JJ14/5</f>
        <v>0.3</v>
      </c>
      <c r="JK13" s="188">
        <f>+JJ13/JJ10</f>
        <v>0.22727272727272727</v>
      </c>
      <c r="JL13" s="200">
        <f>JL14/5</f>
        <v>0.3</v>
      </c>
      <c r="JM13" s="188">
        <f>+JL13/JL10</f>
        <v>0.22727272727272727</v>
      </c>
      <c r="JN13" s="200">
        <f>JN14/5</f>
        <v>0.3</v>
      </c>
      <c r="JO13" s="188">
        <f>+JN13/JN10</f>
        <v>0.22727272727272727</v>
      </c>
      <c r="JP13" s="200">
        <f>JP14/5</f>
        <v>0.31</v>
      </c>
      <c r="JQ13" s="188">
        <f>+JP13/JP10</f>
        <v>0.23484848484848483</v>
      </c>
      <c r="JR13" s="200">
        <f>JR14/5</f>
        <v>0.31</v>
      </c>
      <c r="JS13" s="188">
        <f>+JR13/JR10</f>
        <v>0.23484848484848483</v>
      </c>
      <c r="JT13" s="200">
        <f>JT14/5</f>
        <v>0.31</v>
      </c>
      <c r="JU13" s="188">
        <f>+JT13/JT10</f>
        <v>0.23484848484848483</v>
      </c>
      <c r="JV13" s="200">
        <f>JV14/5</f>
        <v>0.31</v>
      </c>
      <c r="JW13" s="188">
        <f>+JV13/JV10</f>
        <v>0.22142857142857145</v>
      </c>
      <c r="JX13" s="200">
        <f>JX14/5</f>
        <v>0.31</v>
      </c>
      <c r="JY13" s="188">
        <f>+JX13/JX10</f>
        <v>0.23484848484848483</v>
      </c>
      <c r="JZ13" s="200">
        <f>JZ14/5</f>
        <v>0.31</v>
      </c>
      <c r="KA13" s="188">
        <f>+JZ13/JZ10</f>
        <v>0.23484848484848483</v>
      </c>
      <c r="KB13" s="200">
        <f>KB14/5</f>
        <v>0.31</v>
      </c>
      <c r="KC13" s="188">
        <f>+KB13/KB10</f>
        <v>0.23484848484848483</v>
      </c>
      <c r="KD13" s="200">
        <f>KD14/5</f>
        <v>0.31</v>
      </c>
      <c r="KE13" s="188">
        <f>+KD13/KD10</f>
        <v>0.23484848484848483</v>
      </c>
      <c r="KF13" s="200">
        <f>KF14/5</f>
        <v>0.31</v>
      </c>
      <c r="KG13" s="188">
        <f>+KF13/KF10</f>
        <v>0.23484848484848483</v>
      </c>
      <c r="KH13" s="200">
        <f>KH14/5</f>
        <v>0.31</v>
      </c>
      <c r="KI13" s="188">
        <f>+KH13/KH10</f>
        <v>0.23484848484848483</v>
      </c>
      <c r="KJ13" s="200">
        <f>KJ14/5</f>
        <v>0.31</v>
      </c>
      <c r="KK13" s="188">
        <f>+KJ13/KJ10</f>
        <v>0.23484848484848483</v>
      </c>
      <c r="KL13" s="200">
        <f>KL14/5</f>
        <v>0.31</v>
      </c>
      <c r="KM13" s="188">
        <f>+KL13/KL10</f>
        <v>0.23484848484848483</v>
      </c>
      <c r="KN13" s="200">
        <f>KN14/5</f>
        <v>0.31</v>
      </c>
      <c r="KO13" s="188">
        <f>+KN13/KN10</f>
        <v>0.23484848484848483</v>
      </c>
      <c r="KP13" s="200">
        <f>KP14/5</f>
        <v>0.31</v>
      </c>
      <c r="KQ13" s="188">
        <f>+KP13/KP10</f>
        <v>0.23484848484848483</v>
      </c>
      <c r="KR13" s="200">
        <f>KR14/5</f>
        <v>0.31</v>
      </c>
      <c r="KS13" s="188">
        <f>+KR13/KR10</f>
        <v>0.23484848484848483</v>
      </c>
      <c r="KT13" s="200">
        <f>KT14/5</f>
        <v>0.31</v>
      </c>
      <c r="KU13" s="188">
        <f>+KT13/KT10</f>
        <v>0.23484848484848483</v>
      </c>
      <c r="KV13" s="200">
        <f>KV14/5</f>
        <v>0.31</v>
      </c>
      <c r="KW13" s="188">
        <f>+KV13/KV10</f>
        <v>0.23484848484848483</v>
      </c>
      <c r="KX13" s="200">
        <f>KX14/5</f>
        <v>0.31</v>
      </c>
      <c r="KY13" s="188">
        <f>+KX13/KX10</f>
        <v>0.23484848484848483</v>
      </c>
      <c r="KZ13" s="200">
        <f>KZ14/5</f>
        <v>0.31</v>
      </c>
      <c r="LA13" s="188">
        <f>+KZ13/KZ10</f>
        <v>0.23484848484848483</v>
      </c>
      <c r="LB13" s="200">
        <f>LB14/5</f>
        <v>0.3</v>
      </c>
      <c r="LC13" s="188">
        <f>+LB13/LB10</f>
        <v>0.22727272727272727</v>
      </c>
      <c r="LD13" s="200">
        <f>LD14/5</f>
        <v>0.31</v>
      </c>
      <c r="LE13" s="188">
        <f>+LD13/LD10</f>
        <v>0.23484848484848483</v>
      </c>
      <c r="LF13" s="200">
        <f>LF14/5</f>
        <v>0.31</v>
      </c>
      <c r="LG13" s="188">
        <f>+LF13/LF10</f>
        <v>0.23484848484848483</v>
      </c>
      <c r="LH13" s="200">
        <f>LH14/5</f>
        <v>0.31</v>
      </c>
      <c r="LI13" s="188">
        <f>+LH13/LH10</f>
        <v>0.23484848484848483</v>
      </c>
      <c r="LJ13" s="200">
        <f>LJ14/5</f>
        <v>0.31</v>
      </c>
      <c r="LK13" s="188">
        <f>+LJ13/LJ10</f>
        <v>0.23484848484848483</v>
      </c>
      <c r="LL13" s="200">
        <f>LL14/5</f>
        <v>0.31</v>
      </c>
      <c r="LM13" s="188">
        <f>+LL13/LL10</f>
        <v>0.23484848484848483</v>
      </c>
      <c r="LN13" s="200">
        <f>LN14/5</f>
        <v>0.31</v>
      </c>
      <c r="LO13" s="188">
        <f>+LN13/LN10</f>
        <v>0.23484848484848483</v>
      </c>
      <c r="LP13" s="200">
        <f>LP14/5</f>
        <v>0.31</v>
      </c>
      <c r="LQ13" s="188">
        <f>+LP13/LP10</f>
        <v>0.23484848484848483</v>
      </c>
      <c r="LR13" s="200">
        <f>LR14/5</f>
        <v>0.31</v>
      </c>
      <c r="LS13" s="188">
        <f>+LR13/LR10</f>
        <v>0.23484848484848483</v>
      </c>
      <c r="LT13" s="200">
        <f>LT14/5</f>
        <v>0.3</v>
      </c>
      <c r="LU13" s="188">
        <f>+LT13/LT10</f>
        <v>0.22727272727272727</v>
      </c>
      <c r="LV13" s="200">
        <f>LV14/5</f>
        <v>0.3</v>
      </c>
      <c r="LW13" s="188">
        <f>+LV13/LV10</f>
        <v>0.22727272727272727</v>
      </c>
      <c r="LX13" s="200">
        <f>LX14/5</f>
        <v>0.3</v>
      </c>
      <c r="LY13" s="188">
        <f>+LX13/LX10</f>
        <v>0.22727272727272727</v>
      </c>
      <c r="LZ13" s="200">
        <f>LZ14/5</f>
        <v>0.3</v>
      </c>
      <c r="MA13" s="188">
        <f>+LZ13/LZ10</f>
        <v>0.22727272727272727</v>
      </c>
      <c r="MB13" s="200">
        <f>MB14/5</f>
        <v>0.3</v>
      </c>
      <c r="MC13" s="188">
        <f>+MB13/MB10</f>
        <v>0.22727272727272727</v>
      </c>
      <c r="MD13" s="200">
        <f>MD14/5</f>
        <v>0.3</v>
      </c>
      <c r="ME13" s="188">
        <f>+MD13/MD10</f>
        <v>0.22727272727272727</v>
      </c>
      <c r="MF13" s="200">
        <f>MF14/5</f>
        <v>0.24</v>
      </c>
      <c r="MG13" s="188">
        <f>+MF13/MF10</f>
        <v>0.1818181818181818</v>
      </c>
      <c r="MH13" s="186"/>
      <c r="MI13" s="200">
        <f>MI14/5</f>
        <v>0.24</v>
      </c>
      <c r="MJ13" s="188">
        <f>+MI13/MI10</f>
        <v>0.1818181818181818</v>
      </c>
      <c r="MK13" s="200">
        <f>MK14/5</f>
        <v>0.24</v>
      </c>
      <c r="ML13" s="188">
        <f>+MK13/MK10</f>
        <v>0.1818181818181818</v>
      </c>
      <c r="MM13" s="200">
        <f>MM14/5</f>
        <v>0.24</v>
      </c>
      <c r="MN13" s="188">
        <f>+MM13/MM10</f>
        <v>0.1818181818181818</v>
      </c>
      <c r="MO13" s="200">
        <f>MO14/5</f>
        <v>0.24</v>
      </c>
      <c r="MP13" s="188">
        <f>+MO13/MO10</f>
        <v>0.1818181818181818</v>
      </c>
      <c r="MQ13" s="200">
        <f>MQ14/5</f>
        <v>0.24</v>
      </c>
      <c r="MR13" s="188">
        <f>+MQ13/MQ10</f>
        <v>0.1818181818181818</v>
      </c>
      <c r="MS13" s="200">
        <f>MS14/5</f>
        <v>0.25</v>
      </c>
      <c r="MT13" s="188">
        <f>+MS13/MS10</f>
        <v>0.18939393939393939</v>
      </c>
      <c r="MU13" s="200">
        <f>MU14/5</f>
        <v>0.26</v>
      </c>
      <c r="MV13" s="188">
        <f>+MU13/MU10</f>
        <v>0.19696969696969696</v>
      </c>
      <c r="MW13" s="200">
        <f>MW14/5</f>
        <v>0.3</v>
      </c>
      <c r="MX13" s="188">
        <f>+MW13/MW10</f>
        <v>0.22727272727272727</v>
      </c>
      <c r="MY13" s="200">
        <f>MY14/5</f>
        <v>0.3</v>
      </c>
      <c r="MZ13" s="188">
        <f>+MY13/MY10</f>
        <v>0.2142857142857143</v>
      </c>
      <c r="NA13" s="200">
        <f>NA14/5</f>
        <v>0.3</v>
      </c>
      <c r="NB13" s="188">
        <f>+NA13/NA10</f>
        <v>0.22727272727272727</v>
      </c>
      <c r="NC13" s="200">
        <f>NC14/5</f>
        <v>0.3</v>
      </c>
      <c r="ND13" s="188">
        <f>+NC13/NC10</f>
        <v>0.22727272727272727</v>
      </c>
      <c r="NE13" s="200">
        <f>NE14/5</f>
        <v>0.3</v>
      </c>
      <c r="NF13" s="188">
        <f>+NE13/NE10</f>
        <v>0.22727272727272727</v>
      </c>
      <c r="NG13" s="200">
        <f>NG14/5</f>
        <v>0.3</v>
      </c>
      <c r="NH13" s="188">
        <f>+NG13/NG10</f>
        <v>0.22727272727272727</v>
      </c>
      <c r="NI13" s="200">
        <f>NI14/5</f>
        <v>0.3</v>
      </c>
      <c r="NJ13" s="188">
        <f>+NI13/NI10</f>
        <v>0.22727272727272727</v>
      </c>
      <c r="NK13" s="200">
        <f>NK14/5</f>
        <v>0.3</v>
      </c>
      <c r="NL13" s="188">
        <f>+NK13/NK10</f>
        <v>0.22727272727272727</v>
      </c>
      <c r="NM13" s="200">
        <f>NM14/5</f>
        <v>0.3</v>
      </c>
      <c r="NN13" s="188">
        <f>+NM13/NM10</f>
        <v>0.22727272727272727</v>
      </c>
      <c r="NO13" s="200">
        <f>NO14/5</f>
        <v>0.3</v>
      </c>
      <c r="NP13" s="188">
        <f>+NO13/NO10</f>
        <v>0.22727272727272727</v>
      </c>
      <c r="NQ13" s="200">
        <f>NQ14/5</f>
        <v>0.3</v>
      </c>
      <c r="NR13" s="188">
        <f>+NQ13/NQ10</f>
        <v>0.22727272727272727</v>
      </c>
      <c r="NS13" s="200">
        <f>NS14/5</f>
        <v>0.3</v>
      </c>
      <c r="NT13" s="188">
        <f>+NS13/NS10</f>
        <v>0.22727272727272727</v>
      </c>
      <c r="NU13" s="200">
        <f>NU14/5</f>
        <v>0.3</v>
      </c>
      <c r="NV13" s="188">
        <f>+NU13/NU10</f>
        <v>0.22727272727272727</v>
      </c>
      <c r="NW13" s="200">
        <f>NW14/5</f>
        <v>0.3</v>
      </c>
      <c r="NX13" s="188">
        <f>+NW13/NW10</f>
        <v>0.22727272727272727</v>
      </c>
      <c r="NY13" s="200">
        <f>NY14/5</f>
        <v>0.3</v>
      </c>
      <c r="NZ13" s="188">
        <f>+NY13/NY10</f>
        <v>0.22727272727272727</v>
      </c>
      <c r="OA13" s="200">
        <f>OA14/5</f>
        <v>0.3</v>
      </c>
      <c r="OB13" s="188">
        <f>+OA13/OA10</f>
        <v>0.22727272727272727</v>
      </c>
      <c r="OC13" s="200">
        <f>OC14/5</f>
        <v>0.3</v>
      </c>
      <c r="OD13" s="188">
        <f>+OC13/OC10</f>
        <v>0.22727272727272727</v>
      </c>
      <c r="OE13" s="200">
        <f>OE14/5</f>
        <v>0.3</v>
      </c>
      <c r="OF13" s="188">
        <f>+OE13/OE10</f>
        <v>0.22727272727272727</v>
      </c>
      <c r="OG13" s="200">
        <f>OG14/5</f>
        <v>0.3</v>
      </c>
      <c r="OH13" s="188">
        <f>+OG13/OG10</f>
        <v>0.22727272727272727</v>
      </c>
      <c r="OI13" s="200">
        <f>OI14/5</f>
        <v>0.3</v>
      </c>
      <c r="OJ13" s="188">
        <f>+OI13/OI10</f>
        <v>0.22727272727272727</v>
      </c>
      <c r="OK13" s="200">
        <f>OK14/5</f>
        <v>0.3</v>
      </c>
      <c r="OL13" s="188">
        <f>+OK13/OK10</f>
        <v>0.22727272727272727</v>
      </c>
      <c r="OM13" s="200">
        <f>OM14/5</f>
        <v>0.3</v>
      </c>
      <c r="ON13" s="188">
        <f>+OM13/OM10</f>
        <v>0.22727272727272727</v>
      </c>
      <c r="OO13" s="200">
        <f>OO14/5</f>
        <v>0.3</v>
      </c>
      <c r="OP13" s="188">
        <f>+OO13/OO10</f>
        <v>0.22727272727272727</v>
      </c>
      <c r="OQ13" s="200">
        <f>OQ14/5</f>
        <v>0.3</v>
      </c>
      <c r="OR13" s="188">
        <f>+OQ13/OQ10</f>
        <v>0.22727272727272727</v>
      </c>
      <c r="OS13" s="200">
        <f>OS14/5</f>
        <v>0.3</v>
      </c>
      <c r="OT13" s="188">
        <f>+OS13/OS10</f>
        <v>0.22727272727272727</v>
      </c>
      <c r="OU13" s="200">
        <f>OU14/5</f>
        <v>0.3</v>
      </c>
      <c r="OV13" s="188">
        <f>+OU13/OU10</f>
        <v>0.22727272727272727</v>
      </c>
      <c r="OW13" s="200">
        <f>OW14/5</f>
        <v>0.3</v>
      </c>
      <c r="OX13" s="188">
        <f>+OW13/OW10</f>
        <v>0.22727272727272727</v>
      </c>
      <c r="OY13" s="200">
        <f>OY14/5</f>
        <v>0.3</v>
      </c>
      <c r="OZ13" s="188">
        <f>+OY13/OY10</f>
        <v>0.22727272727272727</v>
      </c>
      <c r="PA13" s="200">
        <f>PA14/5</f>
        <v>0.3</v>
      </c>
      <c r="PB13" s="188">
        <f>+PA13/PA10</f>
        <v>0.22727272727272727</v>
      </c>
      <c r="PC13" s="200">
        <f>PC14/5</f>
        <v>0.3</v>
      </c>
      <c r="PD13" s="188">
        <f>+PC13/PC10</f>
        <v>0.22727272727272727</v>
      </c>
      <c r="PE13" s="200">
        <f>PE14/5</f>
        <v>0.3</v>
      </c>
      <c r="PF13" s="188">
        <f>+PE13/PE10</f>
        <v>0.22727272727272727</v>
      </c>
      <c r="PG13" s="200">
        <f>PG14/5</f>
        <v>0.3</v>
      </c>
      <c r="PH13" s="188">
        <f>+PG13/PG10</f>
        <v>0.22727272727272727</v>
      </c>
      <c r="PI13" s="200">
        <f>PI14/5</f>
        <v>0.25</v>
      </c>
      <c r="PJ13" s="188">
        <f>+PI13/PI10</f>
        <v>0.18939393939393939</v>
      </c>
      <c r="PK13" s="200">
        <f>PK14/5</f>
        <v>0.22999999999999998</v>
      </c>
      <c r="PL13" s="188">
        <f>+PK13/PK10</f>
        <v>0.17424242424242423</v>
      </c>
      <c r="PM13" s="200">
        <f>PM14/5</f>
        <v>0.24</v>
      </c>
      <c r="PN13" s="188">
        <f>+PM13/PM10</f>
        <v>0.1818181818181818</v>
      </c>
      <c r="PO13" s="200">
        <f>PO14/5</f>
        <v>0.19800000000000001</v>
      </c>
      <c r="PP13" s="188">
        <f>+PO13/PO10</f>
        <v>0.15</v>
      </c>
      <c r="PR13" s="200">
        <f>PR14/5</f>
        <v>0.7</v>
      </c>
      <c r="PS13" s="188">
        <f>+PR13/PR10</f>
        <v>0.53030303030303028</v>
      </c>
      <c r="PT13" s="200">
        <f>PT14/5</f>
        <v>0.7</v>
      </c>
      <c r="PU13" s="188">
        <f>+PT13/PT10</f>
        <v>0.53030303030303028</v>
      </c>
      <c r="PV13" s="200">
        <f>PV14/5</f>
        <v>0.6</v>
      </c>
      <c r="PW13" s="188">
        <f>+PV13/PV10</f>
        <v>0.45454545454545453</v>
      </c>
      <c r="PX13" s="200">
        <f>PX14/5</f>
        <v>0.6</v>
      </c>
      <c r="PY13" s="188">
        <f>+PX13/PX10</f>
        <v>0.45454545454545453</v>
      </c>
      <c r="PZ13" s="200">
        <f>PZ14/5</f>
        <v>0.5</v>
      </c>
      <c r="QA13" s="188">
        <f>+PZ13/PZ10</f>
        <v>0.37878787878787878</v>
      </c>
      <c r="QB13" s="200">
        <f>QB14/5</f>
        <v>0.5</v>
      </c>
      <c r="QC13" s="188">
        <f>+QB13/QB10</f>
        <v>0.37878787878787878</v>
      </c>
      <c r="QF13" s="200">
        <f>QF14/5</f>
        <v>0.7</v>
      </c>
      <c r="QG13" s="188">
        <f>+QF13/QF10</f>
        <v>0.53030303030303028</v>
      </c>
      <c r="QH13" s="200">
        <f>QH14/5</f>
        <v>0.7</v>
      </c>
      <c r="QI13" s="188">
        <f>+QH13/QH10</f>
        <v>0.53030303030303028</v>
      </c>
      <c r="QJ13" s="200">
        <f>QJ14/5</f>
        <v>0.6</v>
      </c>
      <c r="QK13" s="188">
        <f>+QJ13/QJ10</f>
        <v>0.45454545454545453</v>
      </c>
      <c r="QL13" s="200">
        <f>QL14/5</f>
        <v>0.6</v>
      </c>
      <c r="QM13" s="188">
        <f>+QL13/QL10</f>
        <v>0.45454545454545453</v>
      </c>
      <c r="QN13" s="200">
        <f>QN14/5</f>
        <v>0.6</v>
      </c>
      <c r="QO13" s="188">
        <f>+QN13/QN10</f>
        <v>0.45454545454545453</v>
      </c>
      <c r="QP13" s="200">
        <f>QP14/5</f>
        <v>0.6</v>
      </c>
      <c r="QQ13" s="188">
        <f>+QP13/QP10</f>
        <v>0.45454545454545453</v>
      </c>
    </row>
    <row r="14" spans="1:459" x14ac:dyDescent="0.45">
      <c r="A14" s="876"/>
      <c r="B14" s="202" t="s">
        <v>322</v>
      </c>
      <c r="C14" s="203"/>
      <c r="D14" s="204"/>
      <c r="E14" s="205"/>
      <c r="F14" s="206">
        <v>1.5</v>
      </c>
      <c r="G14" s="207">
        <f>+F14/F10</f>
        <v>1.1363636363636362</v>
      </c>
      <c r="H14" s="206">
        <v>1.5</v>
      </c>
      <c r="I14" s="207">
        <f>+H14/H10</f>
        <v>1.1363636363636362</v>
      </c>
      <c r="J14" s="206">
        <v>1.5</v>
      </c>
      <c r="K14" s="207">
        <f>+J14/J10</f>
        <v>1.1363636363636362</v>
      </c>
      <c r="L14" s="206">
        <v>1.5</v>
      </c>
      <c r="M14" s="207">
        <f>+L14/L10</f>
        <v>1.1363636363636362</v>
      </c>
      <c r="N14" s="206">
        <v>1.5</v>
      </c>
      <c r="O14" s="207">
        <f>+N14/N10</f>
        <v>1.1363636363636362</v>
      </c>
      <c r="P14" s="206">
        <v>1.6</v>
      </c>
      <c r="Q14" s="207">
        <f>+P14/P10</f>
        <v>1.2121212121212122</v>
      </c>
      <c r="R14" s="206">
        <v>1.6</v>
      </c>
      <c r="S14" s="207">
        <f>+R14/R10</f>
        <v>1.2121212121212122</v>
      </c>
      <c r="T14" s="206">
        <v>1.6</v>
      </c>
      <c r="U14" s="207">
        <f>+T14/T10</f>
        <v>1.2121212121212122</v>
      </c>
      <c r="V14" s="206">
        <v>1.65</v>
      </c>
      <c r="W14" s="207">
        <f>+V14/V10</f>
        <v>1.2499999999999998</v>
      </c>
      <c r="X14" s="206">
        <v>1.65</v>
      </c>
      <c r="Y14" s="207">
        <f>+X14/X10</f>
        <v>1.2499999999999998</v>
      </c>
      <c r="Z14" s="206">
        <v>1.65</v>
      </c>
      <c r="AA14" s="207">
        <f>+Z14/Z10</f>
        <v>1.2499999999999998</v>
      </c>
      <c r="AB14" s="206">
        <v>1.65</v>
      </c>
      <c r="AC14" s="207">
        <f>+AB14/AB10</f>
        <v>1.2499999999999998</v>
      </c>
      <c r="AD14" s="206">
        <v>1.75</v>
      </c>
      <c r="AE14" s="207">
        <f>+AD14/AD10</f>
        <v>1.3257575757575757</v>
      </c>
      <c r="AF14" s="206">
        <v>1.75</v>
      </c>
      <c r="AG14" s="207">
        <f>+AF14/AF10</f>
        <v>1.25</v>
      </c>
      <c r="AH14" s="206">
        <v>1.75</v>
      </c>
      <c r="AI14" s="207">
        <f>+AH14/AH10</f>
        <v>1.3257575757575757</v>
      </c>
      <c r="AJ14" s="206">
        <v>1.75</v>
      </c>
      <c r="AK14" s="207">
        <f>+AJ14/AJ10</f>
        <v>1.3257575757575757</v>
      </c>
      <c r="AL14" s="206">
        <v>1.75</v>
      </c>
      <c r="AM14" s="207">
        <f>+AL14/AL10</f>
        <v>1.3257575757575757</v>
      </c>
      <c r="AN14" s="206">
        <v>1.75</v>
      </c>
      <c r="AO14" s="207">
        <f>+AN14/AN10</f>
        <v>1.3257575757575757</v>
      </c>
      <c r="AP14" s="206">
        <v>1.75</v>
      </c>
      <c r="AQ14" s="207">
        <f>+AP14/AP10</f>
        <v>1.3257575757575757</v>
      </c>
      <c r="AR14" s="206">
        <v>1.75</v>
      </c>
      <c r="AS14" s="207">
        <f>+AR14/AR10</f>
        <v>1.3257575757575757</v>
      </c>
      <c r="AT14" s="206">
        <v>1.75</v>
      </c>
      <c r="AU14" s="207">
        <f>+AT14/AT10</f>
        <v>1.3257575757575757</v>
      </c>
      <c r="AV14" s="206">
        <v>1.75</v>
      </c>
      <c r="AW14" s="207">
        <f>+AV14/AV10</f>
        <v>1.3257575757575757</v>
      </c>
      <c r="AX14" s="206">
        <v>1.75</v>
      </c>
      <c r="AY14" s="207">
        <f>+AX14/AX10</f>
        <v>1.3257575757575757</v>
      </c>
      <c r="AZ14" s="206">
        <v>1.75</v>
      </c>
      <c r="BA14" s="207">
        <f>+AZ14/AZ10</f>
        <v>1.3257575757575757</v>
      </c>
      <c r="BB14" s="206">
        <v>1.75</v>
      </c>
      <c r="BC14" s="207">
        <f>+BB14/BB10</f>
        <v>1.3257575757575757</v>
      </c>
      <c r="BD14" s="206">
        <v>1.75</v>
      </c>
      <c r="BE14" s="207">
        <f>+BD14/BD10</f>
        <v>1.3257575757575757</v>
      </c>
      <c r="BF14" s="206">
        <v>1.75</v>
      </c>
      <c r="BG14" s="207">
        <f>+BF14/BF10</f>
        <v>1.3257575757575757</v>
      </c>
      <c r="BH14" s="206">
        <v>1.75</v>
      </c>
      <c r="BI14" s="207">
        <f>+BH14/BH10</f>
        <v>1.3257575757575757</v>
      </c>
      <c r="BJ14" s="206">
        <v>1.75</v>
      </c>
      <c r="BK14" s="207">
        <f>+BJ14/BJ10</f>
        <v>1.3257575757575757</v>
      </c>
      <c r="BL14" s="206">
        <v>1.75</v>
      </c>
      <c r="BM14" s="207">
        <f>+BL14/BL10</f>
        <v>1.3257575757575757</v>
      </c>
      <c r="BN14" s="206">
        <v>1.75</v>
      </c>
      <c r="BO14" s="207">
        <f>+BN14/BN10</f>
        <v>1.3257575757575757</v>
      </c>
      <c r="BP14" s="206">
        <v>1.75</v>
      </c>
      <c r="BQ14" s="207">
        <f>+BP14/BP10</f>
        <v>1.3257575757575757</v>
      </c>
      <c r="BR14" s="206">
        <v>1.75</v>
      </c>
      <c r="BS14" s="207">
        <f>+BR14/BR10</f>
        <v>1.3257575757575757</v>
      </c>
      <c r="BT14" s="206">
        <v>1.75</v>
      </c>
      <c r="BU14" s="207">
        <f>+BT14/BT10</f>
        <v>1.3257575757575757</v>
      </c>
      <c r="BV14" s="206">
        <v>1.75</v>
      </c>
      <c r="BW14" s="207">
        <f>+BV14/BV10</f>
        <v>1.3257575757575757</v>
      </c>
      <c r="BX14" s="206">
        <v>1.75</v>
      </c>
      <c r="BY14" s="207">
        <f>+BX14/BX10</f>
        <v>1.3257575757575757</v>
      </c>
      <c r="BZ14" s="206">
        <v>1.75</v>
      </c>
      <c r="CA14" s="207">
        <f>+BZ14/BZ10</f>
        <v>1.3257575757575757</v>
      </c>
      <c r="CB14" s="206">
        <v>1.75</v>
      </c>
      <c r="CC14" s="207">
        <f>+CB14/CB10</f>
        <v>1.3257575757575757</v>
      </c>
      <c r="CD14" s="206">
        <v>1.75</v>
      </c>
      <c r="CE14" s="207">
        <f>+CD14/CD10</f>
        <v>1.3257575757575757</v>
      </c>
      <c r="CF14" s="206">
        <v>1.75</v>
      </c>
      <c r="CG14" s="207">
        <f>+CF14/CF10</f>
        <v>1.3257575757575757</v>
      </c>
      <c r="CH14" s="206">
        <v>1.75</v>
      </c>
      <c r="CI14" s="207">
        <f>+CH14/CH10</f>
        <v>1.3257575757575757</v>
      </c>
      <c r="CJ14" s="206">
        <v>1.75</v>
      </c>
      <c r="CK14" s="207">
        <f>+CJ14/CJ10</f>
        <v>1.3257575757575757</v>
      </c>
      <c r="CL14" s="206">
        <v>1.75</v>
      </c>
      <c r="CM14" s="207">
        <f>+CL14/CL10</f>
        <v>1.3257575757575757</v>
      </c>
      <c r="CN14" s="208">
        <v>1.55</v>
      </c>
      <c r="CO14" s="207">
        <f>+CN14/CN10</f>
        <v>1.1742424242424243</v>
      </c>
      <c r="CP14" s="208">
        <v>1.55</v>
      </c>
      <c r="CQ14" s="207">
        <f>+CP14/CP10</f>
        <v>1.1742424242424243</v>
      </c>
      <c r="CR14" s="208">
        <v>1.65</v>
      </c>
      <c r="CS14" s="207">
        <f>+CR14/CR10</f>
        <v>1.2499999999999998</v>
      </c>
      <c r="CT14" s="209"/>
      <c r="CU14" s="206">
        <v>2.9</v>
      </c>
      <c r="CV14" s="207">
        <f>+CU14/CU10</f>
        <v>2.1969696969696968</v>
      </c>
      <c r="CW14" s="206">
        <v>2.9</v>
      </c>
      <c r="CX14" s="207">
        <f>+CW14/CW10</f>
        <v>2.1969696969696968</v>
      </c>
      <c r="CY14" s="206">
        <v>2.9</v>
      </c>
      <c r="CZ14" s="207">
        <f>+CY14/CY10</f>
        <v>2.1969696969696968</v>
      </c>
      <c r="DA14" s="206">
        <v>3</v>
      </c>
      <c r="DB14" s="207">
        <f>+DA14/DA10</f>
        <v>2.2727272727272725</v>
      </c>
      <c r="DC14" s="206">
        <v>3.3</v>
      </c>
      <c r="DD14" s="207">
        <f>+DC14/DC10</f>
        <v>2.4999999999999996</v>
      </c>
      <c r="DE14" s="206">
        <v>3.3</v>
      </c>
      <c r="DF14" s="207">
        <f>+DE14/DE10</f>
        <v>2.3571428571428572</v>
      </c>
      <c r="DG14" s="206">
        <v>3.3</v>
      </c>
      <c r="DH14" s="207">
        <f>+DG14/DG10</f>
        <v>2.4999999999999996</v>
      </c>
      <c r="DI14" s="206">
        <v>3.3</v>
      </c>
      <c r="DJ14" s="207">
        <f>+DI14/DI10</f>
        <v>2.4999999999999996</v>
      </c>
      <c r="DK14" s="206">
        <v>3.3</v>
      </c>
      <c r="DL14" s="207">
        <f>+DK14/DK10</f>
        <v>2.4999999999999996</v>
      </c>
      <c r="DM14" s="206">
        <v>3.3</v>
      </c>
      <c r="DN14" s="207">
        <f>+DM14/DM10</f>
        <v>2.4999999999999996</v>
      </c>
      <c r="DO14" s="206">
        <v>3.3</v>
      </c>
      <c r="DP14" s="207">
        <f>+DO14/DO10</f>
        <v>2.4999999999999996</v>
      </c>
      <c r="DQ14" s="206">
        <v>3.3</v>
      </c>
      <c r="DR14" s="207">
        <f>+DQ14/DQ10</f>
        <v>2.4999999999999996</v>
      </c>
      <c r="DS14" s="206">
        <v>3.3</v>
      </c>
      <c r="DT14" s="207">
        <f>+DS14/DS10</f>
        <v>2.4999999999999996</v>
      </c>
      <c r="DU14" s="206">
        <v>3.3</v>
      </c>
      <c r="DV14" s="207">
        <f>+DU14/DU10</f>
        <v>2.4999999999999996</v>
      </c>
      <c r="DW14" s="206">
        <v>3.3</v>
      </c>
      <c r="DX14" s="207">
        <f>+DW14/DW10</f>
        <v>2.4999999999999996</v>
      </c>
      <c r="DY14" s="206">
        <v>3.3</v>
      </c>
      <c r="DZ14" s="207">
        <f>+DY14/DY10</f>
        <v>2.4999999999999996</v>
      </c>
      <c r="EA14" s="206">
        <v>3.3</v>
      </c>
      <c r="EB14" s="207">
        <f>+EA14/EA10</f>
        <v>2.4999999999999996</v>
      </c>
      <c r="EC14" s="206">
        <v>3.3</v>
      </c>
      <c r="ED14" s="207">
        <f>+EC14/EC10</f>
        <v>2.4999999999999996</v>
      </c>
      <c r="EE14" s="206">
        <v>3.3</v>
      </c>
      <c r="EF14" s="207">
        <f>+EE14/EE10</f>
        <v>2.4999999999999996</v>
      </c>
      <c r="EG14" s="206">
        <v>3.3</v>
      </c>
      <c r="EH14" s="207">
        <f>+EG14/EG10</f>
        <v>2.4999999999999996</v>
      </c>
      <c r="EI14" s="206">
        <v>3.3</v>
      </c>
      <c r="EJ14" s="207">
        <f>+EI14/EI10</f>
        <v>2.4999999999999996</v>
      </c>
      <c r="EK14" s="206">
        <v>3.3</v>
      </c>
      <c r="EL14" s="207">
        <f>+EK14/EK10</f>
        <v>2.4999999999999996</v>
      </c>
      <c r="EM14" s="206">
        <v>3.3</v>
      </c>
      <c r="EN14" s="207">
        <f>+EM14/EM10</f>
        <v>2.4999999999999996</v>
      </c>
      <c r="EO14" s="206">
        <v>3.3</v>
      </c>
      <c r="EP14" s="207">
        <f>+EO14/EO10</f>
        <v>2.4999999999999996</v>
      </c>
      <c r="EQ14" s="206">
        <v>3.3</v>
      </c>
      <c r="ER14" s="207">
        <f>+EQ14/EQ10</f>
        <v>2.4999999999999996</v>
      </c>
      <c r="ES14" s="206">
        <v>3.3</v>
      </c>
      <c r="ET14" s="207">
        <f>+ES14/ES10</f>
        <v>2.4999999999999996</v>
      </c>
      <c r="EU14" s="206">
        <v>3.3</v>
      </c>
      <c r="EV14" s="207">
        <f>+EU14/EU10</f>
        <v>2.4999999999999996</v>
      </c>
      <c r="EW14" s="206">
        <v>3.3</v>
      </c>
      <c r="EX14" s="207">
        <f>+EW14/EW10</f>
        <v>2.4999999999999996</v>
      </c>
      <c r="EY14" s="206">
        <v>3.3</v>
      </c>
      <c r="EZ14" s="207">
        <f>+EY14/EY10</f>
        <v>2.4999999999999996</v>
      </c>
      <c r="FA14" s="206">
        <v>3.3</v>
      </c>
      <c r="FB14" s="207">
        <f>+FA14/FA10</f>
        <v>2.4999999999999996</v>
      </c>
      <c r="FC14" s="206">
        <v>3.3</v>
      </c>
      <c r="FD14" s="207">
        <f>+FC14/FC10</f>
        <v>2.4999999999999996</v>
      </c>
      <c r="FE14" s="206">
        <v>3.3</v>
      </c>
      <c r="FF14" s="207">
        <f>+FE14/FE10</f>
        <v>2.4999999999999996</v>
      </c>
      <c r="FG14" s="206">
        <v>3.3</v>
      </c>
      <c r="FH14" s="207">
        <f>+FG14/FG10</f>
        <v>2.4999999999999996</v>
      </c>
      <c r="FI14" s="206">
        <v>3.3</v>
      </c>
      <c r="FJ14" s="207">
        <f>+FI14/FI10</f>
        <v>2.4999999999999996</v>
      </c>
      <c r="FK14" s="206">
        <v>3.3</v>
      </c>
      <c r="FL14" s="207">
        <f>+FK14/FK10</f>
        <v>2.4999999999999996</v>
      </c>
      <c r="FM14" s="208">
        <v>3.05</v>
      </c>
      <c r="FN14" s="207">
        <f>+FM14/FM10</f>
        <v>2.3106060606060606</v>
      </c>
      <c r="FO14" s="208">
        <v>3.05</v>
      </c>
      <c r="FP14" s="207">
        <f>+FO14/FO10</f>
        <v>2.3106060606060606</v>
      </c>
      <c r="FQ14" s="205"/>
      <c r="FR14" s="206">
        <v>1.5</v>
      </c>
      <c r="FS14" s="207">
        <f>+FR14/FR10</f>
        <v>1.1363636363636362</v>
      </c>
      <c r="FT14" s="206">
        <v>1.5</v>
      </c>
      <c r="FU14" s="207">
        <f>+FT14/FT10</f>
        <v>1.1363636363636362</v>
      </c>
      <c r="FV14" s="206">
        <v>1.6</v>
      </c>
      <c r="FW14" s="207">
        <f>+FV14/FV10</f>
        <v>1.2121212121212122</v>
      </c>
      <c r="FX14" s="206">
        <v>1.6</v>
      </c>
      <c r="FY14" s="207">
        <f>+FX14/FX10</f>
        <v>1.2121212121212122</v>
      </c>
      <c r="FZ14" s="206">
        <v>1.6</v>
      </c>
      <c r="GA14" s="207">
        <f>+FZ14/FZ10</f>
        <v>1.2121212121212122</v>
      </c>
      <c r="GB14" s="206">
        <v>1.65</v>
      </c>
      <c r="GC14" s="207">
        <f>+GB14/GB10</f>
        <v>1.2499999999999998</v>
      </c>
      <c r="GD14" s="206">
        <v>1.65</v>
      </c>
      <c r="GE14" s="207">
        <f>+GD14/GD10</f>
        <v>1.2499999999999998</v>
      </c>
      <c r="GF14" s="206">
        <v>1.65</v>
      </c>
      <c r="GG14" s="207">
        <f>+GF14/GF10</f>
        <v>1.2499999999999998</v>
      </c>
      <c r="GH14" s="206">
        <v>1.65</v>
      </c>
      <c r="GI14" s="207">
        <f>+GH14/GH10</f>
        <v>1.2499999999999998</v>
      </c>
      <c r="GJ14" s="206">
        <v>1.9</v>
      </c>
      <c r="GK14" s="207">
        <f>+GJ14/GJ10</f>
        <v>1.4393939393939392</v>
      </c>
      <c r="GL14" s="206">
        <v>1.9</v>
      </c>
      <c r="GM14" s="207">
        <f>+GL14/GL10</f>
        <v>1.3571428571428572</v>
      </c>
      <c r="GN14" s="206">
        <v>1.9</v>
      </c>
      <c r="GO14" s="207">
        <f>+GN14/GN10</f>
        <v>1.4393939393939392</v>
      </c>
      <c r="GP14" s="206">
        <v>1.9</v>
      </c>
      <c r="GQ14" s="207">
        <f>+GP14/GP10</f>
        <v>1.4393939393939392</v>
      </c>
      <c r="GR14" s="206">
        <v>1.9</v>
      </c>
      <c r="GS14" s="207">
        <f>+GR14/GR10</f>
        <v>1.4393939393939392</v>
      </c>
      <c r="GT14" s="206">
        <v>1.9</v>
      </c>
      <c r="GU14" s="207">
        <f>+GT14/GT10</f>
        <v>1.4393939393939392</v>
      </c>
      <c r="GV14" s="206">
        <v>1.9</v>
      </c>
      <c r="GW14" s="207">
        <f>+GV14/GV10</f>
        <v>1.4393939393939392</v>
      </c>
      <c r="GX14" s="206">
        <v>1.9</v>
      </c>
      <c r="GY14" s="207">
        <f>+GX14/GX10</f>
        <v>1.4393939393939392</v>
      </c>
      <c r="GZ14" s="206">
        <v>1.9</v>
      </c>
      <c r="HA14" s="207">
        <f>+GZ14/GZ10</f>
        <v>1.4393939393939392</v>
      </c>
      <c r="HB14" s="206">
        <v>1.9</v>
      </c>
      <c r="HC14" s="207">
        <f>+HB14/HB10</f>
        <v>1.4393939393939392</v>
      </c>
      <c r="HD14" s="206">
        <v>1.9</v>
      </c>
      <c r="HE14" s="207">
        <f>+HD14/HD10</f>
        <v>1.4393939393939392</v>
      </c>
      <c r="HF14" s="206">
        <v>1.9</v>
      </c>
      <c r="HG14" s="207">
        <f>+HF14/HF10</f>
        <v>1.4393939393939392</v>
      </c>
      <c r="HH14" s="206">
        <v>1.9</v>
      </c>
      <c r="HI14" s="207">
        <f>+HH14/HH10</f>
        <v>1.4393939393939392</v>
      </c>
      <c r="HJ14" s="206">
        <v>1.9</v>
      </c>
      <c r="HK14" s="207">
        <f>+HJ14/HJ10</f>
        <v>1.4393939393939392</v>
      </c>
      <c r="HL14" s="206">
        <v>1.9</v>
      </c>
      <c r="HM14" s="207">
        <f>+HL14/HL10</f>
        <v>1.4393939393939392</v>
      </c>
      <c r="HN14" s="206">
        <v>1.9</v>
      </c>
      <c r="HO14" s="207">
        <f>+HN14/HN10</f>
        <v>1.4393939393939392</v>
      </c>
      <c r="HP14" s="206">
        <v>1.9</v>
      </c>
      <c r="HQ14" s="207">
        <f>+HP14/HP10</f>
        <v>1.4393939393939392</v>
      </c>
      <c r="HR14" s="206">
        <v>1.9</v>
      </c>
      <c r="HS14" s="207">
        <f>+HR14/HR10</f>
        <v>1.4393939393939392</v>
      </c>
      <c r="HT14" s="206">
        <v>1.9</v>
      </c>
      <c r="HU14" s="207">
        <f>+HT14/HT10</f>
        <v>1.4393939393939392</v>
      </c>
      <c r="HV14" s="206">
        <v>1.9</v>
      </c>
      <c r="HW14" s="207">
        <f>+HV14/HV10</f>
        <v>1.4393939393939392</v>
      </c>
      <c r="HX14" s="206">
        <v>1.9</v>
      </c>
      <c r="HY14" s="207">
        <f>+HX14/HX10</f>
        <v>1.4393939393939392</v>
      </c>
      <c r="HZ14" s="206">
        <v>1.9</v>
      </c>
      <c r="IA14" s="207">
        <f>+HZ14/HZ10</f>
        <v>1.4393939393939392</v>
      </c>
      <c r="IB14" s="206">
        <v>1.9</v>
      </c>
      <c r="IC14" s="207">
        <f>+IB14/IB10</f>
        <v>1.4393939393939392</v>
      </c>
      <c r="ID14" s="206">
        <v>1.9</v>
      </c>
      <c r="IE14" s="207">
        <f>+ID14/ID10</f>
        <v>1.4393939393939392</v>
      </c>
      <c r="IF14" s="206">
        <v>1.9</v>
      </c>
      <c r="IG14" s="207">
        <f>+IF14/IF10</f>
        <v>1.4393939393939392</v>
      </c>
      <c r="IH14" s="206">
        <v>1.9</v>
      </c>
      <c r="II14" s="207">
        <f>+IH14/IH10</f>
        <v>1.4393939393939392</v>
      </c>
      <c r="IJ14" s="206">
        <v>1.9</v>
      </c>
      <c r="IK14" s="207">
        <f>+IJ14/IJ10</f>
        <v>1.4393939393939392</v>
      </c>
      <c r="IL14" s="206">
        <v>1.9</v>
      </c>
      <c r="IM14" s="207">
        <f>+IL14/IL10</f>
        <v>1.4393939393939392</v>
      </c>
      <c r="IN14" s="206">
        <v>1.9</v>
      </c>
      <c r="IO14" s="207">
        <f>+IN14/IN10</f>
        <v>1.4393939393939392</v>
      </c>
      <c r="IP14" s="206">
        <v>1.9</v>
      </c>
      <c r="IQ14" s="207">
        <f>+IP14/IP10</f>
        <v>1.4393939393939392</v>
      </c>
      <c r="IR14" s="206">
        <v>1.9</v>
      </c>
      <c r="IS14" s="207">
        <f>+IR14/IR10</f>
        <v>1.4393939393939392</v>
      </c>
      <c r="IT14" s="206">
        <v>1.9</v>
      </c>
      <c r="IU14" s="207">
        <f>+IT14/IT10</f>
        <v>1.4393939393939392</v>
      </c>
      <c r="IV14" s="210">
        <v>1.7</v>
      </c>
      <c r="IW14" s="207">
        <f>+IV14/IV10</f>
        <v>1.2878787878787878</v>
      </c>
      <c r="IX14" s="208">
        <v>1.7</v>
      </c>
      <c r="IY14" s="207">
        <f>+IX14/IX10</f>
        <v>1.2878787878787878</v>
      </c>
      <c r="IZ14" s="205"/>
      <c r="JA14" s="211">
        <v>1.7</v>
      </c>
      <c r="JB14" s="207">
        <f>+JA14/JA10</f>
        <v>1.2686567164179103</v>
      </c>
      <c r="JC14" s="211">
        <v>1.8</v>
      </c>
      <c r="JD14" s="207">
        <f>+JC14/JC10</f>
        <v>1.3432835820895521</v>
      </c>
      <c r="JE14" s="205"/>
      <c r="JF14" s="206">
        <v>1.4</v>
      </c>
      <c r="JG14" s="207">
        <f>+JF14/JF10</f>
        <v>1.0606060606060606</v>
      </c>
      <c r="JH14" s="206">
        <v>1.4</v>
      </c>
      <c r="JI14" s="207">
        <f>+JH14/JH10</f>
        <v>1.0606060606060606</v>
      </c>
      <c r="JJ14" s="206">
        <v>1.5</v>
      </c>
      <c r="JK14" s="207">
        <f>+JJ14/JJ10</f>
        <v>1.1363636363636362</v>
      </c>
      <c r="JL14" s="206">
        <v>1.5</v>
      </c>
      <c r="JM14" s="207">
        <f>+JL14/JL10</f>
        <v>1.1363636363636362</v>
      </c>
      <c r="JN14" s="206">
        <v>1.5</v>
      </c>
      <c r="JO14" s="207">
        <f>+JN14/JN10</f>
        <v>1.1363636363636362</v>
      </c>
      <c r="JP14" s="206">
        <v>1.55</v>
      </c>
      <c r="JQ14" s="207">
        <f>+JP14/JP10</f>
        <v>1.1742424242424243</v>
      </c>
      <c r="JR14" s="206">
        <v>1.55</v>
      </c>
      <c r="JS14" s="207">
        <f>+JR14/JR10</f>
        <v>1.1742424242424243</v>
      </c>
      <c r="JT14" s="206">
        <v>1.55</v>
      </c>
      <c r="JU14" s="207">
        <f>+JT14/JT10</f>
        <v>1.1742424242424243</v>
      </c>
      <c r="JV14" s="206">
        <v>1.55</v>
      </c>
      <c r="JW14" s="207">
        <f>+JV14/JV10</f>
        <v>1.1071428571428572</v>
      </c>
      <c r="JX14" s="206">
        <v>1.55</v>
      </c>
      <c r="JY14" s="207">
        <f>+JX14/JX10</f>
        <v>1.1742424242424243</v>
      </c>
      <c r="JZ14" s="206">
        <v>1.55</v>
      </c>
      <c r="KA14" s="207">
        <f>+JZ14/JZ10</f>
        <v>1.1742424242424243</v>
      </c>
      <c r="KB14" s="206">
        <v>1.55</v>
      </c>
      <c r="KC14" s="207">
        <f>+KB14/KB10</f>
        <v>1.1742424242424243</v>
      </c>
      <c r="KD14" s="206">
        <v>1.55</v>
      </c>
      <c r="KE14" s="207">
        <f>+KD14/KD10</f>
        <v>1.1742424242424243</v>
      </c>
      <c r="KF14" s="206">
        <v>1.55</v>
      </c>
      <c r="KG14" s="207">
        <f>+KF14/KF10</f>
        <v>1.1742424242424243</v>
      </c>
      <c r="KH14" s="206">
        <v>1.55</v>
      </c>
      <c r="KI14" s="207">
        <f>+KH14/KH10</f>
        <v>1.1742424242424243</v>
      </c>
      <c r="KJ14" s="206">
        <v>1.55</v>
      </c>
      <c r="KK14" s="207">
        <f>+KJ14/KJ10</f>
        <v>1.1742424242424243</v>
      </c>
      <c r="KL14" s="206">
        <v>1.55</v>
      </c>
      <c r="KM14" s="207">
        <f>+KL14/KL10</f>
        <v>1.1742424242424243</v>
      </c>
      <c r="KN14" s="206">
        <v>1.55</v>
      </c>
      <c r="KO14" s="207">
        <f>+KN14/KN10</f>
        <v>1.1742424242424243</v>
      </c>
      <c r="KP14" s="206">
        <v>1.55</v>
      </c>
      <c r="KQ14" s="207">
        <f>+KP14/KP10</f>
        <v>1.1742424242424243</v>
      </c>
      <c r="KR14" s="206">
        <v>1.55</v>
      </c>
      <c r="KS14" s="207">
        <f>+KR14/KR10</f>
        <v>1.1742424242424243</v>
      </c>
      <c r="KT14" s="206">
        <v>1.55</v>
      </c>
      <c r="KU14" s="207">
        <f>+KT14/KT10</f>
        <v>1.1742424242424243</v>
      </c>
      <c r="KV14" s="206">
        <v>1.55</v>
      </c>
      <c r="KW14" s="207">
        <f>+KV14/KV10</f>
        <v>1.1742424242424243</v>
      </c>
      <c r="KX14" s="206">
        <v>1.55</v>
      </c>
      <c r="KY14" s="207">
        <f>+KX14/KX10</f>
        <v>1.1742424242424243</v>
      </c>
      <c r="KZ14" s="206">
        <v>1.55</v>
      </c>
      <c r="LA14" s="207">
        <f>+KZ14/KZ10</f>
        <v>1.1742424242424243</v>
      </c>
      <c r="LB14" s="206">
        <v>1.5</v>
      </c>
      <c r="LC14" s="207">
        <f>+LB14/LB10</f>
        <v>1.1363636363636362</v>
      </c>
      <c r="LD14" s="206">
        <v>1.55</v>
      </c>
      <c r="LE14" s="207">
        <f>+LD14/LD10</f>
        <v>1.1742424242424243</v>
      </c>
      <c r="LF14" s="206">
        <v>1.55</v>
      </c>
      <c r="LG14" s="207">
        <f>+LF14/LF10</f>
        <v>1.1742424242424243</v>
      </c>
      <c r="LH14" s="206">
        <v>1.55</v>
      </c>
      <c r="LI14" s="207">
        <f>+LH14/LH10</f>
        <v>1.1742424242424243</v>
      </c>
      <c r="LJ14" s="206">
        <v>1.55</v>
      </c>
      <c r="LK14" s="207">
        <f>+LJ14/LJ10</f>
        <v>1.1742424242424243</v>
      </c>
      <c r="LL14" s="206">
        <v>1.55</v>
      </c>
      <c r="LM14" s="207">
        <f>+LL14/LL10</f>
        <v>1.1742424242424243</v>
      </c>
      <c r="LN14" s="206">
        <v>1.55</v>
      </c>
      <c r="LO14" s="207">
        <f>+LN14/LN10</f>
        <v>1.1742424242424243</v>
      </c>
      <c r="LP14" s="206">
        <v>1.55</v>
      </c>
      <c r="LQ14" s="207">
        <f>+LP14/LP10</f>
        <v>1.1742424242424243</v>
      </c>
      <c r="LR14" s="206">
        <v>1.55</v>
      </c>
      <c r="LS14" s="207">
        <f>+LR14/LR10</f>
        <v>1.1742424242424243</v>
      </c>
      <c r="LT14" s="206">
        <v>1.5</v>
      </c>
      <c r="LU14" s="207">
        <f>+LT14/LT10</f>
        <v>1.1363636363636362</v>
      </c>
      <c r="LV14" s="206">
        <v>1.5</v>
      </c>
      <c r="LW14" s="207">
        <f>+LV14/LV10</f>
        <v>1.1363636363636362</v>
      </c>
      <c r="LX14" s="206">
        <v>1.5</v>
      </c>
      <c r="LY14" s="207">
        <f>+LX14/LX10</f>
        <v>1.1363636363636362</v>
      </c>
      <c r="LZ14" s="206">
        <v>1.5</v>
      </c>
      <c r="MA14" s="207">
        <f>+LZ14/LZ10</f>
        <v>1.1363636363636362</v>
      </c>
      <c r="MB14" s="206">
        <v>1.5</v>
      </c>
      <c r="MC14" s="207">
        <f>+MB14/MB10</f>
        <v>1.1363636363636362</v>
      </c>
      <c r="MD14" s="206">
        <v>1.5</v>
      </c>
      <c r="ME14" s="207">
        <f>+MD14/MD10</f>
        <v>1.1363636363636362</v>
      </c>
      <c r="MF14" s="208">
        <v>1.2</v>
      </c>
      <c r="MG14" s="207">
        <f>+MF14/MF10</f>
        <v>0.90909090909090906</v>
      </c>
      <c r="MH14" s="205"/>
      <c r="MI14" s="206">
        <v>1.2</v>
      </c>
      <c r="MJ14" s="207">
        <f>+MI14/MI10</f>
        <v>0.90909090909090906</v>
      </c>
      <c r="MK14" s="206">
        <v>1.2</v>
      </c>
      <c r="ML14" s="207">
        <f>+MK14/MK10</f>
        <v>0.90909090909090906</v>
      </c>
      <c r="MM14" s="206">
        <v>1.2</v>
      </c>
      <c r="MN14" s="207">
        <f>+MM14/MM10</f>
        <v>0.90909090909090906</v>
      </c>
      <c r="MO14" s="206">
        <v>1.2</v>
      </c>
      <c r="MP14" s="207">
        <f>+MO14/MO10</f>
        <v>0.90909090909090906</v>
      </c>
      <c r="MQ14" s="206">
        <v>1.2</v>
      </c>
      <c r="MR14" s="207">
        <f>+MQ14/MQ10</f>
        <v>0.90909090909090906</v>
      </c>
      <c r="MS14" s="206">
        <v>1.25</v>
      </c>
      <c r="MT14" s="207">
        <f>+MS14/MS10</f>
        <v>0.94696969696969691</v>
      </c>
      <c r="MU14" s="206">
        <v>1.3</v>
      </c>
      <c r="MV14" s="207">
        <f>+MU14/MU10</f>
        <v>0.98484848484848486</v>
      </c>
      <c r="MW14" s="206">
        <v>1.5</v>
      </c>
      <c r="MX14" s="207">
        <f>+MW14/MW10</f>
        <v>1.1363636363636362</v>
      </c>
      <c r="MY14" s="206">
        <v>1.5</v>
      </c>
      <c r="MZ14" s="207">
        <f>+MY14/MY10</f>
        <v>1.0714285714285714</v>
      </c>
      <c r="NA14" s="206">
        <v>1.5</v>
      </c>
      <c r="NB14" s="207">
        <f>+NA14/NA10</f>
        <v>1.1363636363636362</v>
      </c>
      <c r="NC14" s="206">
        <v>1.5</v>
      </c>
      <c r="ND14" s="207">
        <f>+NC14/NC10</f>
        <v>1.1363636363636362</v>
      </c>
      <c r="NE14" s="206">
        <v>1.5</v>
      </c>
      <c r="NF14" s="207">
        <f>+NE14/NE10</f>
        <v>1.1363636363636362</v>
      </c>
      <c r="NG14" s="206">
        <v>1.5</v>
      </c>
      <c r="NH14" s="207">
        <f>+NG14/NG10</f>
        <v>1.1363636363636362</v>
      </c>
      <c r="NI14" s="206">
        <v>1.5</v>
      </c>
      <c r="NJ14" s="207">
        <f>+NI14/NI10</f>
        <v>1.1363636363636362</v>
      </c>
      <c r="NK14" s="206">
        <v>1.5</v>
      </c>
      <c r="NL14" s="207">
        <f>+NK14/NK10</f>
        <v>1.1363636363636362</v>
      </c>
      <c r="NM14" s="206">
        <v>1.5</v>
      </c>
      <c r="NN14" s="207">
        <f>+NM14/NM10</f>
        <v>1.1363636363636362</v>
      </c>
      <c r="NO14" s="206">
        <v>1.5</v>
      </c>
      <c r="NP14" s="207">
        <f>+NO14/NO10</f>
        <v>1.1363636363636362</v>
      </c>
      <c r="NQ14" s="206">
        <v>1.5</v>
      </c>
      <c r="NR14" s="207">
        <f>+NQ14/NQ10</f>
        <v>1.1363636363636362</v>
      </c>
      <c r="NS14" s="206">
        <v>1.5</v>
      </c>
      <c r="NT14" s="207">
        <f>+NS14/NS10</f>
        <v>1.1363636363636362</v>
      </c>
      <c r="NU14" s="206">
        <v>1.5</v>
      </c>
      <c r="NV14" s="207">
        <f>+NU14/NU10</f>
        <v>1.1363636363636362</v>
      </c>
      <c r="NW14" s="206">
        <v>1.5</v>
      </c>
      <c r="NX14" s="207">
        <f>+NW14/NW10</f>
        <v>1.1363636363636362</v>
      </c>
      <c r="NY14" s="206">
        <v>1.5</v>
      </c>
      <c r="NZ14" s="207">
        <f>+NY14/NY10</f>
        <v>1.1363636363636362</v>
      </c>
      <c r="OA14" s="206">
        <v>1.5</v>
      </c>
      <c r="OB14" s="207">
        <f>+OA14/OA10</f>
        <v>1.1363636363636362</v>
      </c>
      <c r="OC14" s="206">
        <v>1.5</v>
      </c>
      <c r="OD14" s="207">
        <f>+OC14/OC10</f>
        <v>1.1363636363636362</v>
      </c>
      <c r="OE14" s="206">
        <v>1.5</v>
      </c>
      <c r="OF14" s="207">
        <f>+OE14/OE10</f>
        <v>1.1363636363636362</v>
      </c>
      <c r="OG14" s="206">
        <v>1.5</v>
      </c>
      <c r="OH14" s="207">
        <f>+OG14/OG10</f>
        <v>1.1363636363636362</v>
      </c>
      <c r="OI14" s="206">
        <v>1.5</v>
      </c>
      <c r="OJ14" s="207">
        <f>+OI14/OI10</f>
        <v>1.1363636363636362</v>
      </c>
      <c r="OK14" s="206">
        <v>1.5</v>
      </c>
      <c r="OL14" s="207">
        <f>+OK14/OK10</f>
        <v>1.1363636363636362</v>
      </c>
      <c r="OM14" s="206">
        <v>1.5</v>
      </c>
      <c r="ON14" s="207">
        <f>+OM14/OM10</f>
        <v>1.1363636363636362</v>
      </c>
      <c r="OO14" s="206">
        <v>1.5</v>
      </c>
      <c r="OP14" s="207">
        <f>+OO14/OO10</f>
        <v>1.1363636363636362</v>
      </c>
      <c r="OQ14" s="206">
        <v>1.5</v>
      </c>
      <c r="OR14" s="207">
        <f>+OQ14/OQ10</f>
        <v>1.1363636363636362</v>
      </c>
      <c r="OS14" s="206">
        <v>1.5</v>
      </c>
      <c r="OT14" s="207">
        <f>+OS14/OS10</f>
        <v>1.1363636363636362</v>
      </c>
      <c r="OU14" s="206">
        <v>1.5</v>
      </c>
      <c r="OV14" s="207">
        <f>+OU14/OU10</f>
        <v>1.1363636363636362</v>
      </c>
      <c r="OW14" s="206">
        <v>1.5</v>
      </c>
      <c r="OX14" s="207">
        <f>+OW14/OW10</f>
        <v>1.1363636363636362</v>
      </c>
      <c r="OY14" s="206">
        <v>1.5</v>
      </c>
      <c r="OZ14" s="207">
        <f>+OY14/OY10</f>
        <v>1.1363636363636362</v>
      </c>
      <c r="PA14" s="206">
        <v>1.5</v>
      </c>
      <c r="PB14" s="207">
        <f>+PA14/PA10</f>
        <v>1.1363636363636362</v>
      </c>
      <c r="PC14" s="206">
        <v>1.5</v>
      </c>
      <c r="PD14" s="207">
        <f>+PC14/PC10</f>
        <v>1.1363636363636362</v>
      </c>
      <c r="PE14" s="206">
        <v>1.5</v>
      </c>
      <c r="PF14" s="207">
        <f>+PE14/PE10</f>
        <v>1.1363636363636362</v>
      </c>
      <c r="PG14" s="206">
        <v>1.5</v>
      </c>
      <c r="PH14" s="207">
        <f>+PG14/PG10</f>
        <v>1.1363636363636362</v>
      </c>
      <c r="PI14" s="206">
        <v>1.25</v>
      </c>
      <c r="PJ14" s="207">
        <f>+PI14/PI10</f>
        <v>0.94696969696969691</v>
      </c>
      <c r="PK14" s="206">
        <v>1.1499999999999999</v>
      </c>
      <c r="PL14" s="207">
        <f>+PK14/PK10</f>
        <v>0.8712121212121211</v>
      </c>
      <c r="PM14" s="212">
        <v>1.2</v>
      </c>
      <c r="PN14" s="207">
        <f>+PM14/PM10</f>
        <v>0.90909090909090906</v>
      </c>
      <c r="PO14" s="212">
        <v>0.99</v>
      </c>
      <c r="PP14" s="207">
        <f>+PO14/PO10</f>
        <v>0.75</v>
      </c>
      <c r="PQ14" s="213"/>
      <c r="PR14" s="206">
        <v>3.5</v>
      </c>
      <c r="PS14" s="207">
        <f>+PR14/PR10</f>
        <v>2.6515151515151514</v>
      </c>
      <c r="PT14" s="206">
        <f>PR14</f>
        <v>3.5</v>
      </c>
      <c r="PU14" s="207">
        <f>+PT14/PT10</f>
        <v>2.6515151515151514</v>
      </c>
      <c r="PV14" s="212">
        <v>3</v>
      </c>
      <c r="PW14" s="207">
        <f>+PV14/PV10</f>
        <v>2.2727272727272725</v>
      </c>
      <c r="PX14" s="212">
        <v>3</v>
      </c>
      <c r="PY14" s="207">
        <f>+PX14/PX10</f>
        <v>2.2727272727272725</v>
      </c>
      <c r="PZ14" s="208">
        <v>2.5</v>
      </c>
      <c r="QA14" s="207">
        <f>+PZ14/PZ10</f>
        <v>1.8939393939393938</v>
      </c>
      <c r="QB14" s="208">
        <v>2.5</v>
      </c>
      <c r="QC14" s="207">
        <f>+QB14/QB10</f>
        <v>1.8939393939393938</v>
      </c>
      <c r="QD14" s="213"/>
      <c r="QE14" s="213"/>
      <c r="QF14" s="206">
        <v>3.5</v>
      </c>
      <c r="QG14" s="207">
        <f>+QF14/QF10</f>
        <v>2.6515151515151514</v>
      </c>
      <c r="QH14" s="206">
        <f>QF14</f>
        <v>3.5</v>
      </c>
      <c r="QI14" s="207">
        <f>+QH14/QH10</f>
        <v>2.6515151515151514</v>
      </c>
      <c r="QJ14" s="212">
        <v>3</v>
      </c>
      <c r="QK14" s="207">
        <f>+QJ14/QJ10</f>
        <v>2.2727272727272725</v>
      </c>
      <c r="QL14" s="212">
        <v>3</v>
      </c>
      <c r="QM14" s="207">
        <f>+QL14/QL10</f>
        <v>2.2727272727272725</v>
      </c>
      <c r="QN14" s="212">
        <v>3</v>
      </c>
      <c r="QO14" s="207">
        <f>+QN14/QN10</f>
        <v>2.2727272727272725</v>
      </c>
      <c r="QP14" s="212">
        <v>3</v>
      </c>
      <c r="QQ14" s="207">
        <f>+QP14/QP10</f>
        <v>2.2727272727272725</v>
      </c>
    </row>
    <row r="15" spans="1:459" x14ac:dyDescent="0.45">
      <c r="A15" s="876"/>
      <c r="B15" s="180" t="s">
        <v>323</v>
      </c>
      <c r="C15" s="214" t="s">
        <v>324</v>
      </c>
      <c r="D15" s="199"/>
      <c r="E15" s="186"/>
      <c r="F15" s="215">
        <f t="shared" ref="F15:BQ15" si="0">+F16*F13</f>
        <v>0</v>
      </c>
      <c r="G15" s="188">
        <f t="shared" si="0"/>
        <v>0</v>
      </c>
      <c r="H15" s="215">
        <f t="shared" si="0"/>
        <v>0</v>
      </c>
      <c r="I15" s="188">
        <f t="shared" si="0"/>
        <v>0</v>
      </c>
      <c r="J15" s="215">
        <f t="shared" si="0"/>
        <v>0</v>
      </c>
      <c r="K15" s="188">
        <f t="shared" si="0"/>
        <v>0</v>
      </c>
      <c r="L15" s="215">
        <f t="shared" si="0"/>
        <v>0</v>
      </c>
      <c r="M15" s="188">
        <f t="shared" si="0"/>
        <v>0</v>
      </c>
      <c r="N15" s="215">
        <f t="shared" si="0"/>
        <v>0</v>
      </c>
      <c r="O15" s="188">
        <f t="shared" si="0"/>
        <v>0</v>
      </c>
      <c r="P15" s="215">
        <f t="shared" si="0"/>
        <v>0</v>
      </c>
      <c r="Q15" s="188">
        <f t="shared" si="0"/>
        <v>0</v>
      </c>
      <c r="R15" s="215">
        <f t="shared" si="0"/>
        <v>0</v>
      </c>
      <c r="S15" s="188">
        <f t="shared" si="0"/>
        <v>0</v>
      </c>
      <c r="T15" s="215">
        <f t="shared" si="0"/>
        <v>0</v>
      </c>
      <c r="U15" s="188">
        <f t="shared" si="0"/>
        <v>0</v>
      </c>
      <c r="V15" s="215">
        <f t="shared" si="0"/>
        <v>0</v>
      </c>
      <c r="W15" s="188">
        <f t="shared" si="0"/>
        <v>0</v>
      </c>
      <c r="X15" s="215">
        <f t="shared" si="0"/>
        <v>0</v>
      </c>
      <c r="Y15" s="188">
        <f t="shared" si="0"/>
        <v>0</v>
      </c>
      <c r="Z15" s="215">
        <f t="shared" si="0"/>
        <v>0</v>
      </c>
      <c r="AA15" s="188">
        <f t="shared" si="0"/>
        <v>0</v>
      </c>
      <c r="AB15" s="215">
        <f t="shared" si="0"/>
        <v>0</v>
      </c>
      <c r="AC15" s="188">
        <f t="shared" si="0"/>
        <v>0</v>
      </c>
      <c r="AD15" s="215">
        <f t="shared" si="0"/>
        <v>0</v>
      </c>
      <c r="AE15" s="188">
        <f t="shared" si="0"/>
        <v>0</v>
      </c>
      <c r="AF15" s="215">
        <f t="shared" si="0"/>
        <v>0</v>
      </c>
      <c r="AG15" s="188">
        <f t="shared" si="0"/>
        <v>0</v>
      </c>
      <c r="AH15" s="215">
        <f t="shared" si="0"/>
        <v>0</v>
      </c>
      <c r="AI15" s="188">
        <f t="shared" si="0"/>
        <v>0</v>
      </c>
      <c r="AJ15" s="215">
        <f t="shared" si="0"/>
        <v>0</v>
      </c>
      <c r="AK15" s="188">
        <f t="shared" si="0"/>
        <v>0</v>
      </c>
      <c r="AL15" s="215">
        <f t="shared" si="0"/>
        <v>0</v>
      </c>
      <c r="AM15" s="188">
        <f t="shared" si="0"/>
        <v>0</v>
      </c>
      <c r="AN15" s="215">
        <f t="shared" si="0"/>
        <v>0</v>
      </c>
      <c r="AO15" s="188">
        <f t="shared" si="0"/>
        <v>0</v>
      </c>
      <c r="AP15" s="215">
        <f t="shared" si="0"/>
        <v>0</v>
      </c>
      <c r="AQ15" s="188">
        <f t="shared" si="0"/>
        <v>0</v>
      </c>
      <c r="AR15" s="215">
        <f t="shared" si="0"/>
        <v>0</v>
      </c>
      <c r="AS15" s="188">
        <f t="shared" si="0"/>
        <v>0</v>
      </c>
      <c r="AT15" s="215">
        <f t="shared" si="0"/>
        <v>0</v>
      </c>
      <c r="AU15" s="188">
        <f t="shared" si="0"/>
        <v>0</v>
      </c>
      <c r="AV15" s="215">
        <f t="shared" si="0"/>
        <v>0</v>
      </c>
      <c r="AW15" s="188">
        <f t="shared" si="0"/>
        <v>0</v>
      </c>
      <c r="AX15" s="215">
        <f t="shared" si="0"/>
        <v>0</v>
      </c>
      <c r="AY15" s="188">
        <f t="shared" si="0"/>
        <v>0</v>
      </c>
      <c r="AZ15" s="215">
        <f t="shared" si="0"/>
        <v>0</v>
      </c>
      <c r="BA15" s="188">
        <f t="shared" si="0"/>
        <v>0</v>
      </c>
      <c r="BB15" s="215">
        <f t="shared" si="0"/>
        <v>0</v>
      </c>
      <c r="BC15" s="188">
        <f t="shared" si="0"/>
        <v>0</v>
      </c>
      <c r="BD15" s="215">
        <f t="shared" si="0"/>
        <v>0</v>
      </c>
      <c r="BE15" s="188">
        <f t="shared" si="0"/>
        <v>0</v>
      </c>
      <c r="BF15" s="215">
        <f t="shared" si="0"/>
        <v>0</v>
      </c>
      <c r="BG15" s="188">
        <f t="shared" si="0"/>
        <v>0</v>
      </c>
      <c r="BH15" s="215">
        <f t="shared" si="0"/>
        <v>0</v>
      </c>
      <c r="BI15" s="188">
        <f t="shared" si="0"/>
        <v>0</v>
      </c>
      <c r="BJ15" s="215">
        <f t="shared" si="0"/>
        <v>0</v>
      </c>
      <c r="BK15" s="188">
        <f t="shared" si="0"/>
        <v>0</v>
      </c>
      <c r="BL15" s="215">
        <f t="shared" si="0"/>
        <v>0</v>
      </c>
      <c r="BM15" s="188">
        <f t="shared" si="0"/>
        <v>0</v>
      </c>
      <c r="BN15" s="215">
        <f t="shared" si="0"/>
        <v>0</v>
      </c>
      <c r="BO15" s="188">
        <f t="shared" si="0"/>
        <v>0</v>
      </c>
      <c r="BP15" s="215">
        <f t="shared" si="0"/>
        <v>0</v>
      </c>
      <c r="BQ15" s="188">
        <f t="shared" si="0"/>
        <v>0</v>
      </c>
      <c r="BR15" s="215">
        <f t="shared" ref="BR15:CS15" si="1">+BR16*BR13</f>
        <v>0</v>
      </c>
      <c r="BS15" s="188">
        <f t="shared" si="1"/>
        <v>0</v>
      </c>
      <c r="BT15" s="215">
        <f t="shared" si="1"/>
        <v>0</v>
      </c>
      <c r="BU15" s="188">
        <f t="shared" si="1"/>
        <v>0</v>
      </c>
      <c r="BV15" s="215">
        <f t="shared" si="1"/>
        <v>0</v>
      </c>
      <c r="BW15" s="188">
        <f t="shared" si="1"/>
        <v>0</v>
      </c>
      <c r="BX15" s="215">
        <f t="shared" si="1"/>
        <v>0</v>
      </c>
      <c r="BY15" s="188">
        <f t="shared" si="1"/>
        <v>0</v>
      </c>
      <c r="BZ15" s="215">
        <f t="shared" si="1"/>
        <v>0</v>
      </c>
      <c r="CA15" s="188">
        <f t="shared" si="1"/>
        <v>0</v>
      </c>
      <c r="CB15" s="215">
        <f t="shared" si="1"/>
        <v>0</v>
      </c>
      <c r="CC15" s="188">
        <f t="shared" si="1"/>
        <v>0</v>
      </c>
      <c r="CD15" s="215">
        <f t="shared" si="1"/>
        <v>0</v>
      </c>
      <c r="CE15" s="188">
        <f t="shared" si="1"/>
        <v>0</v>
      </c>
      <c r="CF15" s="215">
        <f t="shared" si="1"/>
        <v>0</v>
      </c>
      <c r="CG15" s="188">
        <f t="shared" si="1"/>
        <v>0</v>
      </c>
      <c r="CH15" s="215">
        <f t="shared" si="1"/>
        <v>0</v>
      </c>
      <c r="CI15" s="188">
        <f t="shared" si="1"/>
        <v>0</v>
      </c>
      <c r="CJ15" s="215">
        <f t="shared" si="1"/>
        <v>0</v>
      </c>
      <c r="CK15" s="188">
        <f t="shared" si="1"/>
        <v>0</v>
      </c>
      <c r="CL15" s="215">
        <f t="shared" si="1"/>
        <v>0</v>
      </c>
      <c r="CM15" s="188">
        <f t="shared" si="1"/>
        <v>0</v>
      </c>
      <c r="CN15" s="215">
        <f t="shared" si="1"/>
        <v>0</v>
      </c>
      <c r="CO15" s="188">
        <f t="shared" si="1"/>
        <v>0</v>
      </c>
      <c r="CP15" s="215">
        <f t="shared" si="1"/>
        <v>0</v>
      </c>
      <c r="CQ15" s="188">
        <f t="shared" si="1"/>
        <v>0</v>
      </c>
      <c r="CR15" s="215">
        <f t="shared" si="1"/>
        <v>0</v>
      </c>
      <c r="CS15" s="188">
        <f t="shared" si="1"/>
        <v>0</v>
      </c>
      <c r="CT15" s="201"/>
      <c r="CU15" s="215">
        <f t="shared" ref="CU15:FF15" si="2">+CU16*CU13</f>
        <v>0</v>
      </c>
      <c r="CV15" s="188">
        <f t="shared" si="2"/>
        <v>0</v>
      </c>
      <c r="CW15" s="215">
        <f t="shared" si="2"/>
        <v>0</v>
      </c>
      <c r="CX15" s="188">
        <f t="shared" si="2"/>
        <v>0</v>
      </c>
      <c r="CY15" s="215">
        <f t="shared" si="2"/>
        <v>0</v>
      </c>
      <c r="CZ15" s="188">
        <f t="shared" si="2"/>
        <v>0</v>
      </c>
      <c r="DA15" s="215">
        <f t="shared" si="2"/>
        <v>0</v>
      </c>
      <c r="DB15" s="188">
        <f t="shared" si="2"/>
        <v>0</v>
      </c>
      <c r="DC15" s="215">
        <f t="shared" si="2"/>
        <v>0</v>
      </c>
      <c r="DD15" s="188">
        <f t="shared" si="2"/>
        <v>0</v>
      </c>
      <c r="DE15" s="215">
        <f t="shared" si="2"/>
        <v>0</v>
      </c>
      <c r="DF15" s="188">
        <f t="shared" si="2"/>
        <v>0</v>
      </c>
      <c r="DG15" s="215">
        <f t="shared" si="2"/>
        <v>0</v>
      </c>
      <c r="DH15" s="188">
        <f t="shared" si="2"/>
        <v>0</v>
      </c>
      <c r="DI15" s="215">
        <f t="shared" si="2"/>
        <v>0</v>
      </c>
      <c r="DJ15" s="188">
        <f t="shared" si="2"/>
        <v>0</v>
      </c>
      <c r="DK15" s="215">
        <f t="shared" si="2"/>
        <v>0</v>
      </c>
      <c r="DL15" s="188">
        <f t="shared" si="2"/>
        <v>0</v>
      </c>
      <c r="DM15" s="215">
        <f t="shared" si="2"/>
        <v>0</v>
      </c>
      <c r="DN15" s="188">
        <f t="shared" si="2"/>
        <v>0</v>
      </c>
      <c r="DO15" s="215">
        <f t="shared" si="2"/>
        <v>0</v>
      </c>
      <c r="DP15" s="188">
        <f t="shared" si="2"/>
        <v>0</v>
      </c>
      <c r="DQ15" s="215">
        <f t="shared" si="2"/>
        <v>0</v>
      </c>
      <c r="DR15" s="188">
        <f t="shared" si="2"/>
        <v>0</v>
      </c>
      <c r="DS15" s="215">
        <f t="shared" si="2"/>
        <v>0</v>
      </c>
      <c r="DT15" s="188">
        <f t="shared" si="2"/>
        <v>0</v>
      </c>
      <c r="DU15" s="215">
        <f t="shared" si="2"/>
        <v>0</v>
      </c>
      <c r="DV15" s="188">
        <f t="shared" si="2"/>
        <v>0</v>
      </c>
      <c r="DW15" s="215">
        <f t="shared" si="2"/>
        <v>0</v>
      </c>
      <c r="DX15" s="188">
        <f t="shared" si="2"/>
        <v>0</v>
      </c>
      <c r="DY15" s="215">
        <f t="shared" si="2"/>
        <v>0</v>
      </c>
      <c r="DZ15" s="188">
        <f t="shared" si="2"/>
        <v>0</v>
      </c>
      <c r="EA15" s="215">
        <f t="shared" si="2"/>
        <v>0</v>
      </c>
      <c r="EB15" s="188">
        <f t="shared" si="2"/>
        <v>0</v>
      </c>
      <c r="EC15" s="215">
        <f t="shared" si="2"/>
        <v>0</v>
      </c>
      <c r="ED15" s="188">
        <f t="shared" si="2"/>
        <v>0</v>
      </c>
      <c r="EE15" s="215">
        <f t="shared" si="2"/>
        <v>0</v>
      </c>
      <c r="EF15" s="188">
        <f t="shared" si="2"/>
        <v>0</v>
      </c>
      <c r="EG15" s="215">
        <f t="shared" si="2"/>
        <v>0</v>
      </c>
      <c r="EH15" s="188">
        <f t="shared" si="2"/>
        <v>0</v>
      </c>
      <c r="EI15" s="215">
        <f t="shared" si="2"/>
        <v>0</v>
      </c>
      <c r="EJ15" s="188">
        <f t="shared" si="2"/>
        <v>0</v>
      </c>
      <c r="EK15" s="215">
        <f t="shared" si="2"/>
        <v>0</v>
      </c>
      <c r="EL15" s="188">
        <f t="shared" si="2"/>
        <v>0</v>
      </c>
      <c r="EM15" s="215">
        <f t="shared" si="2"/>
        <v>0</v>
      </c>
      <c r="EN15" s="188">
        <f t="shared" si="2"/>
        <v>0</v>
      </c>
      <c r="EO15" s="215">
        <f t="shared" si="2"/>
        <v>0</v>
      </c>
      <c r="EP15" s="188">
        <f t="shared" si="2"/>
        <v>0</v>
      </c>
      <c r="EQ15" s="215">
        <f t="shared" si="2"/>
        <v>0</v>
      </c>
      <c r="ER15" s="188">
        <f t="shared" si="2"/>
        <v>0</v>
      </c>
      <c r="ES15" s="215">
        <f t="shared" si="2"/>
        <v>0</v>
      </c>
      <c r="ET15" s="188">
        <f t="shared" si="2"/>
        <v>0</v>
      </c>
      <c r="EU15" s="215">
        <f t="shared" si="2"/>
        <v>0</v>
      </c>
      <c r="EV15" s="188">
        <f t="shared" si="2"/>
        <v>0</v>
      </c>
      <c r="EW15" s="215">
        <f t="shared" si="2"/>
        <v>0</v>
      </c>
      <c r="EX15" s="188">
        <f t="shared" si="2"/>
        <v>0</v>
      </c>
      <c r="EY15" s="215">
        <f t="shared" si="2"/>
        <v>0</v>
      </c>
      <c r="EZ15" s="188">
        <f t="shared" si="2"/>
        <v>0</v>
      </c>
      <c r="FA15" s="215">
        <f t="shared" si="2"/>
        <v>0</v>
      </c>
      <c r="FB15" s="188">
        <f t="shared" si="2"/>
        <v>0</v>
      </c>
      <c r="FC15" s="215">
        <f t="shared" si="2"/>
        <v>0</v>
      </c>
      <c r="FD15" s="188">
        <f t="shared" si="2"/>
        <v>0</v>
      </c>
      <c r="FE15" s="215">
        <f t="shared" si="2"/>
        <v>0</v>
      </c>
      <c r="FF15" s="188">
        <f t="shared" si="2"/>
        <v>0</v>
      </c>
      <c r="FG15" s="215">
        <f t="shared" ref="FG15:FP15" si="3">+FG16*FG13</f>
        <v>0</v>
      </c>
      <c r="FH15" s="188">
        <f t="shared" si="3"/>
        <v>0</v>
      </c>
      <c r="FI15" s="215">
        <f t="shared" si="3"/>
        <v>0</v>
      </c>
      <c r="FJ15" s="188">
        <f t="shared" si="3"/>
        <v>0</v>
      </c>
      <c r="FK15" s="215">
        <f t="shared" si="3"/>
        <v>0</v>
      </c>
      <c r="FL15" s="188">
        <f t="shared" si="3"/>
        <v>0</v>
      </c>
      <c r="FM15" s="215">
        <f t="shared" si="3"/>
        <v>0</v>
      </c>
      <c r="FN15" s="188">
        <f t="shared" si="3"/>
        <v>0</v>
      </c>
      <c r="FO15" s="215">
        <f t="shared" si="3"/>
        <v>0</v>
      </c>
      <c r="FP15" s="188">
        <f t="shared" si="3"/>
        <v>0</v>
      </c>
      <c r="FQ15" s="186"/>
      <c r="FR15" s="215">
        <f t="shared" ref="FR15:IC15" si="4">+FR16*FR13</f>
        <v>0</v>
      </c>
      <c r="FS15" s="188">
        <f t="shared" si="4"/>
        <v>0</v>
      </c>
      <c r="FT15" s="215">
        <f t="shared" si="4"/>
        <v>0</v>
      </c>
      <c r="FU15" s="188">
        <f t="shared" si="4"/>
        <v>0</v>
      </c>
      <c r="FV15" s="215">
        <f t="shared" si="4"/>
        <v>0</v>
      </c>
      <c r="FW15" s="188">
        <f t="shared" si="4"/>
        <v>0</v>
      </c>
      <c r="FX15" s="215">
        <f t="shared" si="4"/>
        <v>0</v>
      </c>
      <c r="FY15" s="188">
        <f t="shared" si="4"/>
        <v>0</v>
      </c>
      <c r="FZ15" s="215">
        <f t="shared" si="4"/>
        <v>0</v>
      </c>
      <c r="GA15" s="188">
        <f t="shared" si="4"/>
        <v>0</v>
      </c>
      <c r="GB15" s="215">
        <f t="shared" si="4"/>
        <v>0</v>
      </c>
      <c r="GC15" s="188">
        <f t="shared" si="4"/>
        <v>0</v>
      </c>
      <c r="GD15" s="215">
        <f t="shared" si="4"/>
        <v>0</v>
      </c>
      <c r="GE15" s="188">
        <f t="shared" si="4"/>
        <v>0</v>
      </c>
      <c r="GF15" s="215">
        <f t="shared" si="4"/>
        <v>0</v>
      </c>
      <c r="GG15" s="188">
        <f t="shared" si="4"/>
        <v>0</v>
      </c>
      <c r="GH15" s="215">
        <f t="shared" si="4"/>
        <v>0</v>
      </c>
      <c r="GI15" s="188">
        <f t="shared" si="4"/>
        <v>0</v>
      </c>
      <c r="GJ15" s="215">
        <f t="shared" si="4"/>
        <v>0</v>
      </c>
      <c r="GK15" s="188">
        <f t="shared" si="4"/>
        <v>0</v>
      </c>
      <c r="GL15" s="215">
        <f t="shared" si="4"/>
        <v>0</v>
      </c>
      <c r="GM15" s="188">
        <f t="shared" si="4"/>
        <v>0</v>
      </c>
      <c r="GN15" s="215">
        <f t="shared" si="4"/>
        <v>0</v>
      </c>
      <c r="GO15" s="188">
        <f t="shared" si="4"/>
        <v>0</v>
      </c>
      <c r="GP15" s="215">
        <f t="shared" si="4"/>
        <v>0</v>
      </c>
      <c r="GQ15" s="188">
        <f t="shared" si="4"/>
        <v>0</v>
      </c>
      <c r="GR15" s="215">
        <f t="shared" si="4"/>
        <v>0</v>
      </c>
      <c r="GS15" s="188">
        <f t="shared" si="4"/>
        <v>0</v>
      </c>
      <c r="GT15" s="215">
        <f t="shared" si="4"/>
        <v>0</v>
      </c>
      <c r="GU15" s="188">
        <f t="shared" si="4"/>
        <v>0</v>
      </c>
      <c r="GV15" s="215">
        <f t="shared" si="4"/>
        <v>0</v>
      </c>
      <c r="GW15" s="188">
        <f t="shared" si="4"/>
        <v>0</v>
      </c>
      <c r="GX15" s="215">
        <f t="shared" si="4"/>
        <v>0</v>
      </c>
      <c r="GY15" s="188">
        <f t="shared" si="4"/>
        <v>0</v>
      </c>
      <c r="GZ15" s="215">
        <f t="shared" si="4"/>
        <v>0</v>
      </c>
      <c r="HA15" s="188">
        <f t="shared" si="4"/>
        <v>0</v>
      </c>
      <c r="HB15" s="215">
        <f t="shared" si="4"/>
        <v>0</v>
      </c>
      <c r="HC15" s="188">
        <f t="shared" si="4"/>
        <v>0</v>
      </c>
      <c r="HD15" s="215">
        <f t="shared" si="4"/>
        <v>0</v>
      </c>
      <c r="HE15" s="188">
        <f t="shared" si="4"/>
        <v>0</v>
      </c>
      <c r="HF15" s="215">
        <f t="shared" si="4"/>
        <v>0</v>
      </c>
      <c r="HG15" s="188">
        <f t="shared" si="4"/>
        <v>0</v>
      </c>
      <c r="HH15" s="215">
        <f t="shared" si="4"/>
        <v>0</v>
      </c>
      <c r="HI15" s="188">
        <f t="shared" si="4"/>
        <v>0</v>
      </c>
      <c r="HJ15" s="215">
        <f t="shared" si="4"/>
        <v>0</v>
      </c>
      <c r="HK15" s="188">
        <f t="shared" si="4"/>
        <v>0</v>
      </c>
      <c r="HL15" s="215">
        <f t="shared" si="4"/>
        <v>0</v>
      </c>
      <c r="HM15" s="188">
        <f t="shared" si="4"/>
        <v>0</v>
      </c>
      <c r="HN15" s="215">
        <f t="shared" si="4"/>
        <v>0</v>
      </c>
      <c r="HO15" s="188">
        <f t="shared" si="4"/>
        <v>0</v>
      </c>
      <c r="HP15" s="215">
        <f t="shared" si="4"/>
        <v>0</v>
      </c>
      <c r="HQ15" s="188">
        <f t="shared" si="4"/>
        <v>0</v>
      </c>
      <c r="HR15" s="215">
        <f t="shared" si="4"/>
        <v>0</v>
      </c>
      <c r="HS15" s="188">
        <f t="shared" si="4"/>
        <v>0</v>
      </c>
      <c r="HT15" s="215">
        <f t="shared" si="4"/>
        <v>0</v>
      </c>
      <c r="HU15" s="188">
        <f t="shared" si="4"/>
        <v>0</v>
      </c>
      <c r="HV15" s="215">
        <f t="shared" si="4"/>
        <v>0</v>
      </c>
      <c r="HW15" s="188">
        <f t="shared" si="4"/>
        <v>0</v>
      </c>
      <c r="HX15" s="215">
        <f t="shared" si="4"/>
        <v>0</v>
      </c>
      <c r="HY15" s="188">
        <f t="shared" si="4"/>
        <v>0</v>
      </c>
      <c r="HZ15" s="215">
        <f t="shared" si="4"/>
        <v>0</v>
      </c>
      <c r="IA15" s="188">
        <f t="shared" si="4"/>
        <v>0</v>
      </c>
      <c r="IB15" s="215">
        <f t="shared" si="4"/>
        <v>0</v>
      </c>
      <c r="IC15" s="188">
        <f t="shared" si="4"/>
        <v>0</v>
      </c>
      <c r="ID15" s="215">
        <f t="shared" ref="ID15:IY15" si="5">+ID16*ID13</f>
        <v>0</v>
      </c>
      <c r="IE15" s="188">
        <f t="shared" si="5"/>
        <v>0</v>
      </c>
      <c r="IF15" s="215">
        <f t="shared" si="5"/>
        <v>0</v>
      </c>
      <c r="IG15" s="188">
        <f t="shared" si="5"/>
        <v>0</v>
      </c>
      <c r="IH15" s="215">
        <f t="shared" si="5"/>
        <v>0</v>
      </c>
      <c r="II15" s="188">
        <f t="shared" si="5"/>
        <v>0</v>
      </c>
      <c r="IJ15" s="215">
        <f t="shared" si="5"/>
        <v>0</v>
      </c>
      <c r="IK15" s="188">
        <f t="shared" si="5"/>
        <v>0</v>
      </c>
      <c r="IL15" s="215">
        <f t="shared" si="5"/>
        <v>0</v>
      </c>
      <c r="IM15" s="188">
        <f t="shared" si="5"/>
        <v>0</v>
      </c>
      <c r="IN15" s="215">
        <f t="shared" si="5"/>
        <v>0</v>
      </c>
      <c r="IO15" s="188">
        <f t="shared" si="5"/>
        <v>0</v>
      </c>
      <c r="IP15" s="215">
        <f t="shared" si="5"/>
        <v>0</v>
      </c>
      <c r="IQ15" s="188">
        <f t="shared" si="5"/>
        <v>0</v>
      </c>
      <c r="IR15" s="215">
        <f t="shared" si="5"/>
        <v>0</v>
      </c>
      <c r="IS15" s="188">
        <f t="shared" si="5"/>
        <v>0</v>
      </c>
      <c r="IT15" s="215">
        <f t="shared" si="5"/>
        <v>0</v>
      </c>
      <c r="IU15" s="188">
        <f t="shared" si="5"/>
        <v>0</v>
      </c>
      <c r="IV15" s="215">
        <f t="shared" si="5"/>
        <v>0</v>
      </c>
      <c r="IW15" s="188">
        <f t="shared" si="5"/>
        <v>0</v>
      </c>
      <c r="IX15" s="215">
        <f t="shared" si="5"/>
        <v>0</v>
      </c>
      <c r="IY15" s="188">
        <f t="shared" si="5"/>
        <v>0</v>
      </c>
      <c r="IZ15" s="186"/>
      <c r="JA15" s="215">
        <f>+JA16*JA13</f>
        <v>0</v>
      </c>
      <c r="JB15" s="188">
        <f>+JB16*JB13</f>
        <v>0</v>
      </c>
      <c r="JC15" s="215">
        <f>+JC16*JC13</f>
        <v>0</v>
      </c>
      <c r="JD15" s="188">
        <f>+JD16*JD13</f>
        <v>0</v>
      </c>
      <c r="JE15" s="186"/>
      <c r="JF15" s="215">
        <f t="shared" ref="JF15:LQ15" si="6">+JF16*JF13</f>
        <v>0</v>
      </c>
      <c r="JG15" s="188">
        <f t="shared" si="6"/>
        <v>0</v>
      </c>
      <c r="JH15" s="215">
        <f t="shared" si="6"/>
        <v>0</v>
      </c>
      <c r="JI15" s="188">
        <f t="shared" si="6"/>
        <v>0</v>
      </c>
      <c r="JJ15" s="215">
        <f t="shared" si="6"/>
        <v>0</v>
      </c>
      <c r="JK15" s="188">
        <f t="shared" si="6"/>
        <v>0</v>
      </c>
      <c r="JL15" s="215">
        <f t="shared" si="6"/>
        <v>0</v>
      </c>
      <c r="JM15" s="188">
        <f t="shared" si="6"/>
        <v>0</v>
      </c>
      <c r="JN15" s="215">
        <f t="shared" si="6"/>
        <v>0</v>
      </c>
      <c r="JO15" s="188">
        <f t="shared" si="6"/>
        <v>0</v>
      </c>
      <c r="JP15" s="215">
        <f t="shared" si="6"/>
        <v>0</v>
      </c>
      <c r="JQ15" s="188">
        <f t="shared" si="6"/>
        <v>0</v>
      </c>
      <c r="JR15" s="215">
        <f t="shared" si="6"/>
        <v>0</v>
      </c>
      <c r="JS15" s="188">
        <f t="shared" si="6"/>
        <v>0</v>
      </c>
      <c r="JT15" s="215">
        <f t="shared" si="6"/>
        <v>0</v>
      </c>
      <c r="JU15" s="188">
        <f t="shared" si="6"/>
        <v>0</v>
      </c>
      <c r="JV15" s="215">
        <f t="shared" si="6"/>
        <v>0</v>
      </c>
      <c r="JW15" s="188">
        <f t="shared" si="6"/>
        <v>0</v>
      </c>
      <c r="JX15" s="215">
        <f t="shared" si="6"/>
        <v>0</v>
      </c>
      <c r="JY15" s="188">
        <f t="shared" si="6"/>
        <v>0</v>
      </c>
      <c r="JZ15" s="215">
        <f t="shared" si="6"/>
        <v>0</v>
      </c>
      <c r="KA15" s="188">
        <f t="shared" si="6"/>
        <v>0</v>
      </c>
      <c r="KB15" s="215">
        <f t="shared" si="6"/>
        <v>0</v>
      </c>
      <c r="KC15" s="188">
        <f t="shared" si="6"/>
        <v>0</v>
      </c>
      <c r="KD15" s="215">
        <f t="shared" si="6"/>
        <v>0</v>
      </c>
      <c r="KE15" s="188">
        <f t="shared" si="6"/>
        <v>0</v>
      </c>
      <c r="KF15" s="215">
        <f t="shared" si="6"/>
        <v>0</v>
      </c>
      <c r="KG15" s="188">
        <f t="shared" si="6"/>
        <v>0</v>
      </c>
      <c r="KH15" s="215">
        <f t="shared" si="6"/>
        <v>0</v>
      </c>
      <c r="KI15" s="188">
        <f t="shared" si="6"/>
        <v>0</v>
      </c>
      <c r="KJ15" s="215">
        <f t="shared" si="6"/>
        <v>0</v>
      </c>
      <c r="KK15" s="188">
        <f t="shared" si="6"/>
        <v>0</v>
      </c>
      <c r="KL15" s="215">
        <f t="shared" si="6"/>
        <v>0</v>
      </c>
      <c r="KM15" s="188">
        <f t="shared" si="6"/>
        <v>0</v>
      </c>
      <c r="KN15" s="215">
        <f t="shared" si="6"/>
        <v>0</v>
      </c>
      <c r="KO15" s="188">
        <f t="shared" si="6"/>
        <v>0</v>
      </c>
      <c r="KP15" s="215">
        <f t="shared" si="6"/>
        <v>0</v>
      </c>
      <c r="KQ15" s="188">
        <f t="shared" si="6"/>
        <v>0</v>
      </c>
      <c r="KR15" s="215">
        <f t="shared" si="6"/>
        <v>0</v>
      </c>
      <c r="KS15" s="188">
        <f t="shared" si="6"/>
        <v>0</v>
      </c>
      <c r="KT15" s="215">
        <f t="shared" si="6"/>
        <v>0</v>
      </c>
      <c r="KU15" s="188">
        <f t="shared" si="6"/>
        <v>0</v>
      </c>
      <c r="KV15" s="215">
        <f t="shared" si="6"/>
        <v>0</v>
      </c>
      <c r="KW15" s="188">
        <f t="shared" si="6"/>
        <v>0</v>
      </c>
      <c r="KX15" s="215">
        <f t="shared" si="6"/>
        <v>0</v>
      </c>
      <c r="KY15" s="188">
        <f t="shared" si="6"/>
        <v>0</v>
      </c>
      <c r="KZ15" s="215">
        <f t="shared" si="6"/>
        <v>0</v>
      </c>
      <c r="LA15" s="188">
        <f t="shared" si="6"/>
        <v>0</v>
      </c>
      <c r="LB15" s="215">
        <f t="shared" si="6"/>
        <v>0</v>
      </c>
      <c r="LC15" s="188">
        <f t="shared" si="6"/>
        <v>0</v>
      </c>
      <c r="LD15" s="215">
        <f t="shared" si="6"/>
        <v>0</v>
      </c>
      <c r="LE15" s="188">
        <f t="shared" si="6"/>
        <v>0</v>
      </c>
      <c r="LF15" s="215">
        <f t="shared" si="6"/>
        <v>0</v>
      </c>
      <c r="LG15" s="188">
        <f t="shared" si="6"/>
        <v>0</v>
      </c>
      <c r="LH15" s="215">
        <f t="shared" si="6"/>
        <v>0</v>
      </c>
      <c r="LI15" s="188">
        <f t="shared" si="6"/>
        <v>0</v>
      </c>
      <c r="LJ15" s="215">
        <f t="shared" si="6"/>
        <v>0</v>
      </c>
      <c r="LK15" s="188">
        <f t="shared" si="6"/>
        <v>0</v>
      </c>
      <c r="LL15" s="215">
        <f t="shared" si="6"/>
        <v>0</v>
      </c>
      <c r="LM15" s="188">
        <f t="shared" si="6"/>
        <v>0</v>
      </c>
      <c r="LN15" s="215">
        <f t="shared" si="6"/>
        <v>0</v>
      </c>
      <c r="LO15" s="188">
        <f t="shared" si="6"/>
        <v>0</v>
      </c>
      <c r="LP15" s="215">
        <f t="shared" si="6"/>
        <v>0</v>
      </c>
      <c r="LQ15" s="188">
        <f t="shared" si="6"/>
        <v>0</v>
      </c>
      <c r="LR15" s="215">
        <f t="shared" ref="LR15:MG15" si="7">+LR16*LR13</f>
        <v>0</v>
      </c>
      <c r="LS15" s="188">
        <f t="shared" si="7"/>
        <v>0</v>
      </c>
      <c r="LT15" s="215">
        <f t="shared" si="7"/>
        <v>0</v>
      </c>
      <c r="LU15" s="188">
        <f t="shared" si="7"/>
        <v>0</v>
      </c>
      <c r="LV15" s="215">
        <f t="shared" si="7"/>
        <v>0</v>
      </c>
      <c r="LW15" s="188">
        <f t="shared" si="7"/>
        <v>0</v>
      </c>
      <c r="LX15" s="215">
        <f t="shared" si="7"/>
        <v>0</v>
      </c>
      <c r="LY15" s="188">
        <f t="shared" si="7"/>
        <v>0</v>
      </c>
      <c r="LZ15" s="215">
        <f t="shared" si="7"/>
        <v>0</v>
      </c>
      <c r="MA15" s="188">
        <f t="shared" si="7"/>
        <v>0</v>
      </c>
      <c r="MB15" s="215">
        <f t="shared" si="7"/>
        <v>0</v>
      </c>
      <c r="MC15" s="188">
        <f t="shared" si="7"/>
        <v>0</v>
      </c>
      <c r="MD15" s="215">
        <f t="shared" si="7"/>
        <v>0</v>
      </c>
      <c r="ME15" s="188">
        <f t="shared" si="7"/>
        <v>0</v>
      </c>
      <c r="MF15" s="215">
        <f t="shared" si="7"/>
        <v>0</v>
      </c>
      <c r="MG15" s="188">
        <f t="shared" si="7"/>
        <v>0</v>
      </c>
      <c r="MH15" s="186"/>
      <c r="MI15" s="215">
        <f t="shared" ref="MI15:OT15" si="8">+MI16*MI13</f>
        <v>0</v>
      </c>
      <c r="MJ15" s="188">
        <f t="shared" si="8"/>
        <v>0</v>
      </c>
      <c r="MK15" s="215">
        <f t="shared" si="8"/>
        <v>0</v>
      </c>
      <c r="ML15" s="188">
        <f t="shared" si="8"/>
        <v>0</v>
      </c>
      <c r="MM15" s="215">
        <f t="shared" si="8"/>
        <v>0</v>
      </c>
      <c r="MN15" s="188">
        <f t="shared" si="8"/>
        <v>0</v>
      </c>
      <c r="MO15" s="215">
        <f t="shared" si="8"/>
        <v>0</v>
      </c>
      <c r="MP15" s="188">
        <f t="shared" si="8"/>
        <v>0</v>
      </c>
      <c r="MQ15" s="215">
        <f t="shared" si="8"/>
        <v>0</v>
      </c>
      <c r="MR15" s="188">
        <f t="shared" si="8"/>
        <v>0</v>
      </c>
      <c r="MS15" s="215">
        <f t="shared" si="8"/>
        <v>0</v>
      </c>
      <c r="MT15" s="188">
        <f t="shared" si="8"/>
        <v>0</v>
      </c>
      <c r="MU15" s="215">
        <f t="shared" si="8"/>
        <v>0</v>
      </c>
      <c r="MV15" s="188">
        <f t="shared" si="8"/>
        <v>0</v>
      </c>
      <c r="MW15" s="215">
        <f t="shared" si="8"/>
        <v>0</v>
      </c>
      <c r="MX15" s="188">
        <f t="shared" si="8"/>
        <v>0</v>
      </c>
      <c r="MY15" s="215">
        <f t="shared" si="8"/>
        <v>0</v>
      </c>
      <c r="MZ15" s="188">
        <f t="shared" si="8"/>
        <v>0</v>
      </c>
      <c r="NA15" s="215">
        <f t="shared" si="8"/>
        <v>0</v>
      </c>
      <c r="NB15" s="188">
        <f t="shared" si="8"/>
        <v>0</v>
      </c>
      <c r="NC15" s="215">
        <f t="shared" si="8"/>
        <v>0</v>
      </c>
      <c r="ND15" s="188">
        <f t="shared" si="8"/>
        <v>0</v>
      </c>
      <c r="NE15" s="215">
        <f t="shared" si="8"/>
        <v>0</v>
      </c>
      <c r="NF15" s="188">
        <f t="shared" si="8"/>
        <v>0</v>
      </c>
      <c r="NG15" s="215">
        <f t="shared" si="8"/>
        <v>0</v>
      </c>
      <c r="NH15" s="188">
        <f t="shared" si="8"/>
        <v>0</v>
      </c>
      <c r="NI15" s="215">
        <f t="shared" si="8"/>
        <v>0</v>
      </c>
      <c r="NJ15" s="188">
        <f t="shared" si="8"/>
        <v>0</v>
      </c>
      <c r="NK15" s="215">
        <f t="shared" si="8"/>
        <v>0</v>
      </c>
      <c r="NL15" s="188">
        <f t="shared" si="8"/>
        <v>0</v>
      </c>
      <c r="NM15" s="215">
        <f t="shared" si="8"/>
        <v>0</v>
      </c>
      <c r="NN15" s="188">
        <f t="shared" si="8"/>
        <v>0</v>
      </c>
      <c r="NO15" s="215">
        <f t="shared" si="8"/>
        <v>0</v>
      </c>
      <c r="NP15" s="188">
        <f t="shared" si="8"/>
        <v>0</v>
      </c>
      <c r="NQ15" s="215">
        <f t="shared" si="8"/>
        <v>0</v>
      </c>
      <c r="NR15" s="188">
        <f t="shared" si="8"/>
        <v>0</v>
      </c>
      <c r="NS15" s="215">
        <f t="shared" si="8"/>
        <v>0</v>
      </c>
      <c r="NT15" s="188">
        <f t="shared" si="8"/>
        <v>0</v>
      </c>
      <c r="NU15" s="215">
        <f t="shared" si="8"/>
        <v>0</v>
      </c>
      <c r="NV15" s="188">
        <f t="shared" si="8"/>
        <v>0</v>
      </c>
      <c r="NW15" s="215">
        <f t="shared" si="8"/>
        <v>0</v>
      </c>
      <c r="NX15" s="188">
        <f t="shared" si="8"/>
        <v>0</v>
      </c>
      <c r="NY15" s="215">
        <f t="shared" si="8"/>
        <v>0</v>
      </c>
      <c r="NZ15" s="188">
        <f t="shared" si="8"/>
        <v>0</v>
      </c>
      <c r="OA15" s="215">
        <f t="shared" si="8"/>
        <v>0</v>
      </c>
      <c r="OB15" s="188">
        <f t="shared" si="8"/>
        <v>0</v>
      </c>
      <c r="OC15" s="215">
        <f t="shared" si="8"/>
        <v>0</v>
      </c>
      <c r="OD15" s="188">
        <f t="shared" si="8"/>
        <v>0</v>
      </c>
      <c r="OE15" s="215">
        <f t="shared" si="8"/>
        <v>0</v>
      </c>
      <c r="OF15" s="188">
        <f t="shared" si="8"/>
        <v>0</v>
      </c>
      <c r="OG15" s="215">
        <f t="shared" si="8"/>
        <v>0</v>
      </c>
      <c r="OH15" s="188">
        <f t="shared" si="8"/>
        <v>0</v>
      </c>
      <c r="OI15" s="215">
        <f t="shared" si="8"/>
        <v>0</v>
      </c>
      <c r="OJ15" s="188">
        <f t="shared" si="8"/>
        <v>0</v>
      </c>
      <c r="OK15" s="215">
        <f t="shared" si="8"/>
        <v>0</v>
      </c>
      <c r="OL15" s="188">
        <f t="shared" si="8"/>
        <v>0</v>
      </c>
      <c r="OM15" s="215">
        <f t="shared" si="8"/>
        <v>0</v>
      </c>
      <c r="ON15" s="188">
        <f t="shared" si="8"/>
        <v>0</v>
      </c>
      <c r="OO15" s="215">
        <f t="shared" si="8"/>
        <v>0</v>
      </c>
      <c r="OP15" s="188">
        <f t="shared" si="8"/>
        <v>0</v>
      </c>
      <c r="OQ15" s="215">
        <f t="shared" si="8"/>
        <v>0</v>
      </c>
      <c r="OR15" s="188">
        <f t="shared" si="8"/>
        <v>0</v>
      </c>
      <c r="OS15" s="215">
        <f t="shared" si="8"/>
        <v>0</v>
      </c>
      <c r="OT15" s="188">
        <f t="shared" si="8"/>
        <v>0</v>
      </c>
      <c r="OU15" s="215">
        <f t="shared" ref="OU15:PL15" si="9">+OU16*OU13</f>
        <v>0</v>
      </c>
      <c r="OV15" s="188">
        <f t="shared" si="9"/>
        <v>0</v>
      </c>
      <c r="OW15" s="215">
        <f t="shared" si="9"/>
        <v>0</v>
      </c>
      <c r="OX15" s="188">
        <f t="shared" si="9"/>
        <v>0</v>
      </c>
      <c r="OY15" s="215">
        <f t="shared" si="9"/>
        <v>0</v>
      </c>
      <c r="OZ15" s="188">
        <f t="shared" si="9"/>
        <v>0</v>
      </c>
      <c r="PA15" s="215">
        <f t="shared" si="9"/>
        <v>0</v>
      </c>
      <c r="PB15" s="188">
        <f t="shared" si="9"/>
        <v>0</v>
      </c>
      <c r="PC15" s="215">
        <f t="shared" si="9"/>
        <v>0</v>
      </c>
      <c r="PD15" s="188">
        <f t="shared" si="9"/>
        <v>0</v>
      </c>
      <c r="PE15" s="215">
        <f t="shared" si="9"/>
        <v>0</v>
      </c>
      <c r="PF15" s="188">
        <f t="shared" si="9"/>
        <v>0</v>
      </c>
      <c r="PG15" s="215">
        <f t="shared" si="9"/>
        <v>0</v>
      </c>
      <c r="PH15" s="188">
        <f t="shared" si="9"/>
        <v>0</v>
      </c>
      <c r="PI15" s="215">
        <f t="shared" si="9"/>
        <v>0</v>
      </c>
      <c r="PJ15" s="188">
        <f t="shared" si="9"/>
        <v>0</v>
      </c>
      <c r="PK15" s="215">
        <f t="shared" si="9"/>
        <v>0</v>
      </c>
      <c r="PL15" s="188">
        <f t="shared" si="9"/>
        <v>0</v>
      </c>
      <c r="PM15" s="215">
        <f>+PM16*PM13</f>
        <v>0</v>
      </c>
      <c r="PN15" s="188">
        <f>+PN16*PN13</f>
        <v>0</v>
      </c>
      <c r="PO15" s="215">
        <f>+PO16*PO13</f>
        <v>0</v>
      </c>
      <c r="PP15" s="188">
        <f>+PP16*PP13</f>
        <v>0</v>
      </c>
      <c r="PR15" s="215">
        <f t="shared" ref="PR15:QC15" si="10">+PR16*PR13</f>
        <v>0</v>
      </c>
      <c r="PS15" s="188">
        <f t="shared" si="10"/>
        <v>0</v>
      </c>
      <c r="PT15" s="215">
        <f t="shared" si="10"/>
        <v>0</v>
      </c>
      <c r="PU15" s="188">
        <f t="shared" si="10"/>
        <v>0</v>
      </c>
      <c r="PV15" s="215">
        <f t="shared" si="10"/>
        <v>0</v>
      </c>
      <c r="PW15" s="188">
        <f t="shared" si="10"/>
        <v>0</v>
      </c>
      <c r="PX15" s="215">
        <f t="shared" si="10"/>
        <v>0</v>
      </c>
      <c r="PY15" s="188">
        <f t="shared" si="10"/>
        <v>0</v>
      </c>
      <c r="PZ15" s="215">
        <f t="shared" si="10"/>
        <v>0</v>
      </c>
      <c r="QA15" s="188">
        <f>+QA16*QA13</f>
        <v>0</v>
      </c>
      <c r="QB15" s="215">
        <f t="shared" si="10"/>
        <v>0</v>
      </c>
      <c r="QC15" s="188">
        <f t="shared" si="10"/>
        <v>0</v>
      </c>
      <c r="QF15" s="215">
        <f t="shared" ref="QF15:QQ15" si="11">+QF16*QF13</f>
        <v>0</v>
      </c>
      <c r="QG15" s="188">
        <f t="shared" si="11"/>
        <v>0</v>
      </c>
      <c r="QH15" s="215">
        <f t="shared" si="11"/>
        <v>0</v>
      </c>
      <c r="QI15" s="188">
        <f t="shared" si="11"/>
        <v>0</v>
      </c>
      <c r="QJ15" s="215">
        <f t="shared" si="11"/>
        <v>0</v>
      </c>
      <c r="QK15" s="188">
        <f t="shared" si="11"/>
        <v>0</v>
      </c>
      <c r="QL15" s="215">
        <f t="shared" si="11"/>
        <v>0</v>
      </c>
      <c r="QM15" s="188">
        <f t="shared" si="11"/>
        <v>0</v>
      </c>
      <c r="QN15" s="215">
        <f t="shared" si="11"/>
        <v>0</v>
      </c>
      <c r="QO15" s="188">
        <f t="shared" si="11"/>
        <v>0</v>
      </c>
      <c r="QP15" s="215">
        <f t="shared" si="11"/>
        <v>0</v>
      </c>
      <c r="QQ15" s="188">
        <f t="shared" si="11"/>
        <v>0</v>
      </c>
    </row>
    <row r="16" spans="1:459" x14ac:dyDescent="0.45">
      <c r="A16" s="876"/>
      <c r="B16" s="180" t="s">
        <v>325</v>
      </c>
      <c r="C16" s="181"/>
      <c r="D16" s="182"/>
      <c r="E16" s="216"/>
      <c r="F16" s="217">
        <v>0</v>
      </c>
      <c r="G16" s="218">
        <f>F16</f>
        <v>0</v>
      </c>
      <c r="H16" s="217">
        <v>0</v>
      </c>
      <c r="I16" s="218">
        <f>H16</f>
        <v>0</v>
      </c>
      <c r="J16" s="217">
        <v>0</v>
      </c>
      <c r="K16" s="218">
        <f>J16</f>
        <v>0</v>
      </c>
      <c r="L16" s="217">
        <v>0</v>
      </c>
      <c r="M16" s="218">
        <f>L16</f>
        <v>0</v>
      </c>
      <c r="N16" s="217">
        <v>0</v>
      </c>
      <c r="O16" s="218">
        <f>N16</f>
        <v>0</v>
      </c>
      <c r="P16" s="217">
        <v>0</v>
      </c>
      <c r="Q16" s="218">
        <f>P16</f>
        <v>0</v>
      </c>
      <c r="R16" s="217">
        <v>0</v>
      </c>
      <c r="S16" s="218">
        <f>R16</f>
        <v>0</v>
      </c>
      <c r="T16" s="217">
        <v>0</v>
      </c>
      <c r="U16" s="218">
        <f>T16</f>
        <v>0</v>
      </c>
      <c r="V16" s="217">
        <v>0</v>
      </c>
      <c r="W16" s="218">
        <f>V16</f>
        <v>0</v>
      </c>
      <c r="X16" s="217">
        <v>0</v>
      </c>
      <c r="Y16" s="218">
        <f>X16</f>
        <v>0</v>
      </c>
      <c r="Z16" s="217">
        <v>0</v>
      </c>
      <c r="AA16" s="218">
        <f>Z16</f>
        <v>0</v>
      </c>
      <c r="AB16" s="217">
        <v>0</v>
      </c>
      <c r="AC16" s="218">
        <f>AB16</f>
        <v>0</v>
      </c>
      <c r="AD16" s="217">
        <v>0</v>
      </c>
      <c r="AE16" s="218">
        <f>AD16</f>
        <v>0</v>
      </c>
      <c r="AF16" s="217">
        <v>0</v>
      </c>
      <c r="AG16" s="218">
        <f>AF16</f>
        <v>0</v>
      </c>
      <c r="AH16" s="217">
        <v>0</v>
      </c>
      <c r="AI16" s="218">
        <f>AH16</f>
        <v>0</v>
      </c>
      <c r="AJ16" s="217">
        <v>0</v>
      </c>
      <c r="AK16" s="218">
        <f>AJ16</f>
        <v>0</v>
      </c>
      <c r="AL16" s="217">
        <v>0</v>
      </c>
      <c r="AM16" s="218">
        <f>AL16</f>
        <v>0</v>
      </c>
      <c r="AN16" s="217">
        <v>0</v>
      </c>
      <c r="AO16" s="218">
        <f>AN16</f>
        <v>0</v>
      </c>
      <c r="AP16" s="217">
        <v>0</v>
      </c>
      <c r="AQ16" s="218">
        <f>AP16</f>
        <v>0</v>
      </c>
      <c r="AR16" s="217">
        <v>0</v>
      </c>
      <c r="AS16" s="218">
        <f>AR16</f>
        <v>0</v>
      </c>
      <c r="AT16" s="217">
        <v>0</v>
      </c>
      <c r="AU16" s="218">
        <f>AT16</f>
        <v>0</v>
      </c>
      <c r="AV16" s="217">
        <v>0</v>
      </c>
      <c r="AW16" s="218">
        <f>AV16</f>
        <v>0</v>
      </c>
      <c r="AX16" s="217">
        <v>0</v>
      </c>
      <c r="AY16" s="218">
        <f>AX16</f>
        <v>0</v>
      </c>
      <c r="AZ16" s="217">
        <v>0</v>
      </c>
      <c r="BA16" s="218">
        <f>AZ16</f>
        <v>0</v>
      </c>
      <c r="BB16" s="217">
        <v>0</v>
      </c>
      <c r="BC16" s="218">
        <f>BB16</f>
        <v>0</v>
      </c>
      <c r="BD16" s="217">
        <v>0</v>
      </c>
      <c r="BE16" s="218">
        <f>BD16</f>
        <v>0</v>
      </c>
      <c r="BF16" s="217">
        <v>0</v>
      </c>
      <c r="BG16" s="218">
        <f>BF16</f>
        <v>0</v>
      </c>
      <c r="BH16" s="217">
        <v>0</v>
      </c>
      <c r="BI16" s="218">
        <f>BH16</f>
        <v>0</v>
      </c>
      <c r="BJ16" s="217">
        <v>0</v>
      </c>
      <c r="BK16" s="218">
        <f>BJ16</f>
        <v>0</v>
      </c>
      <c r="BL16" s="217">
        <v>0</v>
      </c>
      <c r="BM16" s="218">
        <f>BL16</f>
        <v>0</v>
      </c>
      <c r="BN16" s="217">
        <v>0</v>
      </c>
      <c r="BO16" s="218">
        <f>BN16</f>
        <v>0</v>
      </c>
      <c r="BP16" s="217">
        <v>0</v>
      </c>
      <c r="BQ16" s="218">
        <f>BP16</f>
        <v>0</v>
      </c>
      <c r="BR16" s="217">
        <v>0</v>
      </c>
      <c r="BS16" s="218">
        <f>BR16</f>
        <v>0</v>
      </c>
      <c r="BT16" s="217">
        <v>0</v>
      </c>
      <c r="BU16" s="218">
        <f>BT16</f>
        <v>0</v>
      </c>
      <c r="BV16" s="217">
        <v>0</v>
      </c>
      <c r="BW16" s="218">
        <f>BV16</f>
        <v>0</v>
      </c>
      <c r="BX16" s="217">
        <v>0</v>
      </c>
      <c r="BY16" s="218">
        <f>BX16</f>
        <v>0</v>
      </c>
      <c r="BZ16" s="217">
        <v>0</v>
      </c>
      <c r="CA16" s="218">
        <f>BZ16</f>
        <v>0</v>
      </c>
      <c r="CB16" s="217">
        <v>0</v>
      </c>
      <c r="CC16" s="218">
        <f>CB16</f>
        <v>0</v>
      </c>
      <c r="CD16" s="217">
        <v>0</v>
      </c>
      <c r="CE16" s="218">
        <f>CD16</f>
        <v>0</v>
      </c>
      <c r="CF16" s="217">
        <v>0</v>
      </c>
      <c r="CG16" s="218">
        <f>CF16</f>
        <v>0</v>
      </c>
      <c r="CH16" s="217">
        <v>0</v>
      </c>
      <c r="CI16" s="218">
        <f>CH16</f>
        <v>0</v>
      </c>
      <c r="CJ16" s="217">
        <v>0</v>
      </c>
      <c r="CK16" s="218">
        <f>CJ16</f>
        <v>0</v>
      </c>
      <c r="CL16" s="217">
        <v>0</v>
      </c>
      <c r="CM16" s="218">
        <f>CL16</f>
        <v>0</v>
      </c>
      <c r="CN16" s="217">
        <v>0</v>
      </c>
      <c r="CO16" s="218">
        <f>CN16</f>
        <v>0</v>
      </c>
      <c r="CP16" s="217">
        <v>0</v>
      </c>
      <c r="CQ16" s="218">
        <f>CP16</f>
        <v>0</v>
      </c>
      <c r="CR16" s="217">
        <v>0</v>
      </c>
      <c r="CS16" s="218">
        <f>CR16</f>
        <v>0</v>
      </c>
      <c r="CT16" s="136"/>
      <c r="CU16" s="217">
        <v>0</v>
      </c>
      <c r="CV16" s="218">
        <f>CU16</f>
        <v>0</v>
      </c>
      <c r="CW16" s="217">
        <v>0</v>
      </c>
      <c r="CX16" s="218">
        <f>CW16</f>
        <v>0</v>
      </c>
      <c r="CY16" s="217">
        <v>0</v>
      </c>
      <c r="CZ16" s="218">
        <f>CY16</f>
        <v>0</v>
      </c>
      <c r="DA16" s="217">
        <v>0</v>
      </c>
      <c r="DB16" s="218">
        <f>DA16</f>
        <v>0</v>
      </c>
      <c r="DC16" s="217">
        <v>0</v>
      </c>
      <c r="DD16" s="218">
        <f>DC16</f>
        <v>0</v>
      </c>
      <c r="DE16" s="217">
        <v>0</v>
      </c>
      <c r="DF16" s="218">
        <f>DE16</f>
        <v>0</v>
      </c>
      <c r="DG16" s="217">
        <v>0</v>
      </c>
      <c r="DH16" s="218">
        <f>DG16</f>
        <v>0</v>
      </c>
      <c r="DI16" s="217">
        <v>0</v>
      </c>
      <c r="DJ16" s="218">
        <f>DI16</f>
        <v>0</v>
      </c>
      <c r="DK16" s="217">
        <v>0</v>
      </c>
      <c r="DL16" s="218">
        <f>DK16</f>
        <v>0</v>
      </c>
      <c r="DM16" s="217">
        <v>0</v>
      </c>
      <c r="DN16" s="218">
        <f>DM16</f>
        <v>0</v>
      </c>
      <c r="DO16" s="217">
        <v>0</v>
      </c>
      <c r="DP16" s="218">
        <f>DO16</f>
        <v>0</v>
      </c>
      <c r="DQ16" s="217">
        <v>0</v>
      </c>
      <c r="DR16" s="218">
        <f>DQ16</f>
        <v>0</v>
      </c>
      <c r="DS16" s="217">
        <v>0</v>
      </c>
      <c r="DT16" s="218">
        <f>DS16</f>
        <v>0</v>
      </c>
      <c r="DU16" s="217">
        <v>0</v>
      </c>
      <c r="DV16" s="218">
        <f>DU16</f>
        <v>0</v>
      </c>
      <c r="DW16" s="217">
        <v>0</v>
      </c>
      <c r="DX16" s="218">
        <f>DW16</f>
        <v>0</v>
      </c>
      <c r="DY16" s="217">
        <v>0</v>
      </c>
      <c r="DZ16" s="218">
        <f>DY16</f>
        <v>0</v>
      </c>
      <c r="EA16" s="217">
        <v>0</v>
      </c>
      <c r="EB16" s="218">
        <f>EA16</f>
        <v>0</v>
      </c>
      <c r="EC16" s="217">
        <v>0</v>
      </c>
      <c r="ED16" s="218">
        <f>EC16</f>
        <v>0</v>
      </c>
      <c r="EE16" s="217">
        <v>0</v>
      </c>
      <c r="EF16" s="218">
        <f>EE16</f>
        <v>0</v>
      </c>
      <c r="EG16" s="217">
        <v>0</v>
      </c>
      <c r="EH16" s="218">
        <f>EG16</f>
        <v>0</v>
      </c>
      <c r="EI16" s="217">
        <v>0</v>
      </c>
      <c r="EJ16" s="218">
        <f>EI16</f>
        <v>0</v>
      </c>
      <c r="EK16" s="217">
        <v>0</v>
      </c>
      <c r="EL16" s="218">
        <f>EK16</f>
        <v>0</v>
      </c>
      <c r="EM16" s="217">
        <v>0</v>
      </c>
      <c r="EN16" s="218">
        <f>EM16</f>
        <v>0</v>
      </c>
      <c r="EO16" s="217">
        <v>0</v>
      </c>
      <c r="EP16" s="218">
        <f>EO16</f>
        <v>0</v>
      </c>
      <c r="EQ16" s="217">
        <v>0</v>
      </c>
      <c r="ER16" s="218">
        <f>EQ16</f>
        <v>0</v>
      </c>
      <c r="ES16" s="217">
        <v>0</v>
      </c>
      <c r="ET16" s="218">
        <f>ES16</f>
        <v>0</v>
      </c>
      <c r="EU16" s="217">
        <v>0</v>
      </c>
      <c r="EV16" s="218">
        <f>EU16</f>
        <v>0</v>
      </c>
      <c r="EW16" s="217">
        <v>0</v>
      </c>
      <c r="EX16" s="218">
        <f>EW16</f>
        <v>0</v>
      </c>
      <c r="EY16" s="217">
        <v>0</v>
      </c>
      <c r="EZ16" s="218">
        <f>EY16</f>
        <v>0</v>
      </c>
      <c r="FA16" s="217">
        <v>0</v>
      </c>
      <c r="FB16" s="218">
        <f>FA16</f>
        <v>0</v>
      </c>
      <c r="FC16" s="217">
        <v>0</v>
      </c>
      <c r="FD16" s="218">
        <f>FC16</f>
        <v>0</v>
      </c>
      <c r="FE16" s="217">
        <v>0</v>
      </c>
      <c r="FF16" s="218">
        <f>FE16</f>
        <v>0</v>
      </c>
      <c r="FG16" s="217">
        <v>0</v>
      </c>
      <c r="FH16" s="218">
        <f>FG16</f>
        <v>0</v>
      </c>
      <c r="FI16" s="217">
        <v>0</v>
      </c>
      <c r="FJ16" s="218">
        <f>FI16</f>
        <v>0</v>
      </c>
      <c r="FK16" s="217">
        <v>0</v>
      </c>
      <c r="FL16" s="218">
        <f>FK16</f>
        <v>0</v>
      </c>
      <c r="FM16" s="217">
        <v>0</v>
      </c>
      <c r="FN16" s="218">
        <f>FM16</f>
        <v>0</v>
      </c>
      <c r="FO16" s="217">
        <v>0</v>
      </c>
      <c r="FP16" s="218">
        <f>FO16</f>
        <v>0</v>
      </c>
      <c r="FQ16" s="216"/>
      <c r="FR16" s="217">
        <v>0</v>
      </c>
      <c r="FS16" s="218">
        <f>FR16</f>
        <v>0</v>
      </c>
      <c r="FT16" s="217">
        <v>0</v>
      </c>
      <c r="FU16" s="218">
        <f>FT16</f>
        <v>0</v>
      </c>
      <c r="FV16" s="217">
        <v>0</v>
      </c>
      <c r="FW16" s="218">
        <f>FV16</f>
        <v>0</v>
      </c>
      <c r="FX16" s="217">
        <v>0</v>
      </c>
      <c r="FY16" s="218">
        <f>FX16</f>
        <v>0</v>
      </c>
      <c r="FZ16" s="217">
        <v>0</v>
      </c>
      <c r="GA16" s="218">
        <f>FZ16</f>
        <v>0</v>
      </c>
      <c r="GB16" s="217">
        <v>0</v>
      </c>
      <c r="GC16" s="218">
        <f>GB16</f>
        <v>0</v>
      </c>
      <c r="GD16" s="217">
        <v>0</v>
      </c>
      <c r="GE16" s="218">
        <f>GD16</f>
        <v>0</v>
      </c>
      <c r="GF16" s="217">
        <v>0</v>
      </c>
      <c r="GG16" s="218">
        <f>GF16</f>
        <v>0</v>
      </c>
      <c r="GH16" s="217">
        <v>0</v>
      </c>
      <c r="GI16" s="218">
        <f>GH16</f>
        <v>0</v>
      </c>
      <c r="GJ16" s="217">
        <v>0</v>
      </c>
      <c r="GK16" s="218">
        <f>GJ16</f>
        <v>0</v>
      </c>
      <c r="GL16" s="217">
        <v>0</v>
      </c>
      <c r="GM16" s="218">
        <f>GL16</f>
        <v>0</v>
      </c>
      <c r="GN16" s="217">
        <v>0</v>
      </c>
      <c r="GO16" s="218">
        <f>GN16</f>
        <v>0</v>
      </c>
      <c r="GP16" s="217">
        <v>0</v>
      </c>
      <c r="GQ16" s="218">
        <f>GP16</f>
        <v>0</v>
      </c>
      <c r="GR16" s="217">
        <v>0</v>
      </c>
      <c r="GS16" s="218">
        <f>GR16</f>
        <v>0</v>
      </c>
      <c r="GT16" s="217">
        <v>0</v>
      </c>
      <c r="GU16" s="218">
        <f>GT16</f>
        <v>0</v>
      </c>
      <c r="GV16" s="217">
        <v>0</v>
      </c>
      <c r="GW16" s="218">
        <f>GV16</f>
        <v>0</v>
      </c>
      <c r="GX16" s="217">
        <v>0</v>
      </c>
      <c r="GY16" s="218">
        <f>GX16</f>
        <v>0</v>
      </c>
      <c r="GZ16" s="217">
        <v>0</v>
      </c>
      <c r="HA16" s="218">
        <f>GZ16</f>
        <v>0</v>
      </c>
      <c r="HB16" s="217">
        <v>0</v>
      </c>
      <c r="HC16" s="218">
        <f>HB16</f>
        <v>0</v>
      </c>
      <c r="HD16" s="217">
        <v>0</v>
      </c>
      <c r="HE16" s="218">
        <f>HD16</f>
        <v>0</v>
      </c>
      <c r="HF16" s="217">
        <v>0</v>
      </c>
      <c r="HG16" s="218">
        <f>HF16</f>
        <v>0</v>
      </c>
      <c r="HH16" s="217">
        <v>0</v>
      </c>
      <c r="HI16" s="218">
        <f>HH16</f>
        <v>0</v>
      </c>
      <c r="HJ16" s="217">
        <v>0</v>
      </c>
      <c r="HK16" s="218">
        <f>HJ16</f>
        <v>0</v>
      </c>
      <c r="HL16" s="217">
        <v>0</v>
      </c>
      <c r="HM16" s="218">
        <f>HL16</f>
        <v>0</v>
      </c>
      <c r="HN16" s="217">
        <v>0</v>
      </c>
      <c r="HO16" s="218">
        <f>HN16</f>
        <v>0</v>
      </c>
      <c r="HP16" s="217">
        <v>0</v>
      </c>
      <c r="HQ16" s="218">
        <f>HP16</f>
        <v>0</v>
      </c>
      <c r="HR16" s="217">
        <v>0</v>
      </c>
      <c r="HS16" s="218">
        <f>HR16</f>
        <v>0</v>
      </c>
      <c r="HT16" s="217">
        <v>0</v>
      </c>
      <c r="HU16" s="218">
        <f>HT16</f>
        <v>0</v>
      </c>
      <c r="HV16" s="217">
        <v>0</v>
      </c>
      <c r="HW16" s="218">
        <f>HV16</f>
        <v>0</v>
      </c>
      <c r="HX16" s="217">
        <v>0</v>
      </c>
      <c r="HY16" s="218">
        <f>HX16</f>
        <v>0</v>
      </c>
      <c r="HZ16" s="217">
        <v>0</v>
      </c>
      <c r="IA16" s="218">
        <f>HZ16</f>
        <v>0</v>
      </c>
      <c r="IB16" s="217">
        <v>0</v>
      </c>
      <c r="IC16" s="218">
        <f>IB16</f>
        <v>0</v>
      </c>
      <c r="ID16" s="217">
        <v>0</v>
      </c>
      <c r="IE16" s="218">
        <f>ID16</f>
        <v>0</v>
      </c>
      <c r="IF16" s="217">
        <v>0</v>
      </c>
      <c r="IG16" s="218">
        <f>IF16</f>
        <v>0</v>
      </c>
      <c r="IH16" s="217">
        <v>0</v>
      </c>
      <c r="II16" s="218">
        <f>IH16</f>
        <v>0</v>
      </c>
      <c r="IJ16" s="217">
        <v>0</v>
      </c>
      <c r="IK16" s="218">
        <f>IJ16</f>
        <v>0</v>
      </c>
      <c r="IL16" s="217">
        <v>0</v>
      </c>
      <c r="IM16" s="218">
        <f>IL16</f>
        <v>0</v>
      </c>
      <c r="IN16" s="217">
        <v>0</v>
      </c>
      <c r="IO16" s="218">
        <f>IN16</f>
        <v>0</v>
      </c>
      <c r="IP16" s="217">
        <v>0</v>
      </c>
      <c r="IQ16" s="218">
        <f>IP16</f>
        <v>0</v>
      </c>
      <c r="IR16" s="217">
        <v>0</v>
      </c>
      <c r="IS16" s="218">
        <f>IR16</f>
        <v>0</v>
      </c>
      <c r="IT16" s="217">
        <v>0</v>
      </c>
      <c r="IU16" s="218">
        <f>IT16</f>
        <v>0</v>
      </c>
      <c r="IV16" s="217">
        <v>0</v>
      </c>
      <c r="IW16" s="218">
        <f>IV16</f>
        <v>0</v>
      </c>
      <c r="IX16" s="217">
        <v>0</v>
      </c>
      <c r="IY16" s="218">
        <f>IX16</f>
        <v>0</v>
      </c>
      <c r="IZ16" s="216"/>
      <c r="JA16" s="217">
        <v>0</v>
      </c>
      <c r="JB16" s="218">
        <f>JA16</f>
        <v>0</v>
      </c>
      <c r="JC16" s="217">
        <v>0</v>
      </c>
      <c r="JD16" s="218">
        <f>JC16</f>
        <v>0</v>
      </c>
      <c r="JE16" s="216"/>
      <c r="JF16" s="217">
        <v>0</v>
      </c>
      <c r="JG16" s="218">
        <f>JF16</f>
        <v>0</v>
      </c>
      <c r="JH16" s="217">
        <v>0</v>
      </c>
      <c r="JI16" s="218">
        <f>JH16</f>
        <v>0</v>
      </c>
      <c r="JJ16" s="217">
        <v>0</v>
      </c>
      <c r="JK16" s="218">
        <f>JJ16</f>
        <v>0</v>
      </c>
      <c r="JL16" s="217">
        <v>0</v>
      </c>
      <c r="JM16" s="218">
        <f>JL16</f>
        <v>0</v>
      </c>
      <c r="JN16" s="217">
        <v>0</v>
      </c>
      <c r="JO16" s="218">
        <f>JN16</f>
        <v>0</v>
      </c>
      <c r="JP16" s="217">
        <v>0</v>
      </c>
      <c r="JQ16" s="218">
        <f>JP16</f>
        <v>0</v>
      </c>
      <c r="JR16" s="217">
        <v>0</v>
      </c>
      <c r="JS16" s="218">
        <f>JR16</f>
        <v>0</v>
      </c>
      <c r="JT16" s="217">
        <v>0</v>
      </c>
      <c r="JU16" s="218">
        <f>JT16</f>
        <v>0</v>
      </c>
      <c r="JV16" s="217">
        <v>0</v>
      </c>
      <c r="JW16" s="218">
        <f>JV16</f>
        <v>0</v>
      </c>
      <c r="JX16" s="217">
        <v>0</v>
      </c>
      <c r="JY16" s="218">
        <f>JX16</f>
        <v>0</v>
      </c>
      <c r="JZ16" s="217">
        <v>0</v>
      </c>
      <c r="KA16" s="218">
        <f>JZ16</f>
        <v>0</v>
      </c>
      <c r="KB16" s="217">
        <v>0</v>
      </c>
      <c r="KC16" s="218">
        <f>KB16</f>
        <v>0</v>
      </c>
      <c r="KD16" s="217">
        <v>0</v>
      </c>
      <c r="KE16" s="218">
        <f>KD16</f>
        <v>0</v>
      </c>
      <c r="KF16" s="217">
        <v>0</v>
      </c>
      <c r="KG16" s="218">
        <f>KF16</f>
        <v>0</v>
      </c>
      <c r="KH16" s="217">
        <v>0</v>
      </c>
      <c r="KI16" s="218">
        <f>KH16</f>
        <v>0</v>
      </c>
      <c r="KJ16" s="217">
        <v>0</v>
      </c>
      <c r="KK16" s="218">
        <f>KJ16</f>
        <v>0</v>
      </c>
      <c r="KL16" s="217">
        <v>0</v>
      </c>
      <c r="KM16" s="218">
        <f>KL16</f>
        <v>0</v>
      </c>
      <c r="KN16" s="217">
        <v>0</v>
      </c>
      <c r="KO16" s="218">
        <f>KN16</f>
        <v>0</v>
      </c>
      <c r="KP16" s="217">
        <v>0</v>
      </c>
      <c r="KQ16" s="218">
        <f>KP16</f>
        <v>0</v>
      </c>
      <c r="KR16" s="217">
        <v>0</v>
      </c>
      <c r="KS16" s="218">
        <f>KR16</f>
        <v>0</v>
      </c>
      <c r="KT16" s="217">
        <v>0</v>
      </c>
      <c r="KU16" s="218">
        <f>KT16</f>
        <v>0</v>
      </c>
      <c r="KV16" s="217">
        <v>0</v>
      </c>
      <c r="KW16" s="218">
        <f>KV16</f>
        <v>0</v>
      </c>
      <c r="KX16" s="217">
        <v>0</v>
      </c>
      <c r="KY16" s="218">
        <f>KX16</f>
        <v>0</v>
      </c>
      <c r="KZ16" s="217">
        <v>0</v>
      </c>
      <c r="LA16" s="218">
        <f>KZ16</f>
        <v>0</v>
      </c>
      <c r="LB16" s="217">
        <v>0</v>
      </c>
      <c r="LC16" s="218">
        <f>LB16</f>
        <v>0</v>
      </c>
      <c r="LD16" s="217">
        <v>0</v>
      </c>
      <c r="LE16" s="218">
        <f>LD16</f>
        <v>0</v>
      </c>
      <c r="LF16" s="217">
        <v>0</v>
      </c>
      <c r="LG16" s="218">
        <f>LF16</f>
        <v>0</v>
      </c>
      <c r="LH16" s="217">
        <v>0</v>
      </c>
      <c r="LI16" s="218">
        <f>LH16</f>
        <v>0</v>
      </c>
      <c r="LJ16" s="217">
        <v>0</v>
      </c>
      <c r="LK16" s="218">
        <f>LJ16</f>
        <v>0</v>
      </c>
      <c r="LL16" s="217">
        <v>0</v>
      </c>
      <c r="LM16" s="218">
        <f>LL16</f>
        <v>0</v>
      </c>
      <c r="LN16" s="217">
        <v>0</v>
      </c>
      <c r="LO16" s="218">
        <f>LN16</f>
        <v>0</v>
      </c>
      <c r="LP16" s="217">
        <v>0</v>
      </c>
      <c r="LQ16" s="218">
        <f>LP16</f>
        <v>0</v>
      </c>
      <c r="LR16" s="217">
        <v>0</v>
      </c>
      <c r="LS16" s="218">
        <f>LR16</f>
        <v>0</v>
      </c>
      <c r="LT16" s="217">
        <v>0</v>
      </c>
      <c r="LU16" s="218">
        <f>LT16</f>
        <v>0</v>
      </c>
      <c r="LV16" s="217">
        <v>0</v>
      </c>
      <c r="LW16" s="218">
        <f>LV16</f>
        <v>0</v>
      </c>
      <c r="LX16" s="217">
        <v>0</v>
      </c>
      <c r="LY16" s="218">
        <f>LX16</f>
        <v>0</v>
      </c>
      <c r="LZ16" s="217">
        <v>0</v>
      </c>
      <c r="MA16" s="218">
        <f>LZ16</f>
        <v>0</v>
      </c>
      <c r="MB16" s="217">
        <v>0</v>
      </c>
      <c r="MC16" s="218">
        <f>MB16</f>
        <v>0</v>
      </c>
      <c r="MD16" s="217">
        <v>0</v>
      </c>
      <c r="ME16" s="218">
        <f>MD16</f>
        <v>0</v>
      </c>
      <c r="MF16" s="217">
        <v>0</v>
      </c>
      <c r="MG16" s="218">
        <f>MF16</f>
        <v>0</v>
      </c>
      <c r="MH16" s="216"/>
      <c r="MI16" s="217">
        <v>0</v>
      </c>
      <c r="MJ16" s="218">
        <f>MI16</f>
        <v>0</v>
      </c>
      <c r="MK16" s="217">
        <v>0</v>
      </c>
      <c r="ML16" s="218">
        <f>MK16</f>
        <v>0</v>
      </c>
      <c r="MM16" s="217">
        <v>0</v>
      </c>
      <c r="MN16" s="218">
        <f>MM16</f>
        <v>0</v>
      </c>
      <c r="MO16" s="217">
        <v>0</v>
      </c>
      <c r="MP16" s="218">
        <f>MO16</f>
        <v>0</v>
      </c>
      <c r="MQ16" s="217">
        <v>0</v>
      </c>
      <c r="MR16" s="218">
        <f>MQ16</f>
        <v>0</v>
      </c>
      <c r="MS16" s="217">
        <v>0</v>
      </c>
      <c r="MT16" s="218">
        <f>MS16</f>
        <v>0</v>
      </c>
      <c r="MU16" s="217">
        <v>0</v>
      </c>
      <c r="MV16" s="218">
        <f>MU16</f>
        <v>0</v>
      </c>
      <c r="MW16" s="217">
        <v>0</v>
      </c>
      <c r="MX16" s="218">
        <f>MW16</f>
        <v>0</v>
      </c>
      <c r="MY16" s="217">
        <v>0</v>
      </c>
      <c r="MZ16" s="218">
        <f>MY16</f>
        <v>0</v>
      </c>
      <c r="NA16" s="217">
        <v>0</v>
      </c>
      <c r="NB16" s="218">
        <f>NA16</f>
        <v>0</v>
      </c>
      <c r="NC16" s="217">
        <v>0</v>
      </c>
      <c r="ND16" s="218">
        <f>NC16</f>
        <v>0</v>
      </c>
      <c r="NE16" s="217">
        <v>0</v>
      </c>
      <c r="NF16" s="218">
        <f>NE16</f>
        <v>0</v>
      </c>
      <c r="NG16" s="217">
        <v>0</v>
      </c>
      <c r="NH16" s="218">
        <f>NG16</f>
        <v>0</v>
      </c>
      <c r="NI16" s="217">
        <v>0</v>
      </c>
      <c r="NJ16" s="218">
        <f>NI16</f>
        <v>0</v>
      </c>
      <c r="NK16" s="217">
        <v>0</v>
      </c>
      <c r="NL16" s="218">
        <f>NK16</f>
        <v>0</v>
      </c>
      <c r="NM16" s="217">
        <v>0</v>
      </c>
      <c r="NN16" s="218">
        <f>NM16</f>
        <v>0</v>
      </c>
      <c r="NO16" s="217">
        <v>0</v>
      </c>
      <c r="NP16" s="218">
        <f>NO16</f>
        <v>0</v>
      </c>
      <c r="NQ16" s="217">
        <v>0</v>
      </c>
      <c r="NR16" s="218">
        <f>NQ16</f>
        <v>0</v>
      </c>
      <c r="NS16" s="217">
        <v>0</v>
      </c>
      <c r="NT16" s="218">
        <f>NS16</f>
        <v>0</v>
      </c>
      <c r="NU16" s="217">
        <v>0</v>
      </c>
      <c r="NV16" s="218">
        <f>NU16</f>
        <v>0</v>
      </c>
      <c r="NW16" s="217">
        <v>0</v>
      </c>
      <c r="NX16" s="218">
        <f>NW16</f>
        <v>0</v>
      </c>
      <c r="NY16" s="217">
        <v>0</v>
      </c>
      <c r="NZ16" s="218">
        <f>NY16</f>
        <v>0</v>
      </c>
      <c r="OA16" s="217">
        <v>0</v>
      </c>
      <c r="OB16" s="218">
        <f>OA16</f>
        <v>0</v>
      </c>
      <c r="OC16" s="217">
        <v>0</v>
      </c>
      <c r="OD16" s="218">
        <f>OC16</f>
        <v>0</v>
      </c>
      <c r="OE16" s="217">
        <v>0</v>
      </c>
      <c r="OF16" s="218">
        <f>OE16</f>
        <v>0</v>
      </c>
      <c r="OG16" s="217">
        <v>0</v>
      </c>
      <c r="OH16" s="218">
        <f>OG16</f>
        <v>0</v>
      </c>
      <c r="OI16" s="217">
        <v>0</v>
      </c>
      <c r="OJ16" s="218">
        <f>OI16</f>
        <v>0</v>
      </c>
      <c r="OK16" s="217">
        <v>0</v>
      </c>
      <c r="OL16" s="218">
        <f>OK16</f>
        <v>0</v>
      </c>
      <c r="OM16" s="217">
        <v>0</v>
      </c>
      <c r="ON16" s="218">
        <f>OM16</f>
        <v>0</v>
      </c>
      <c r="OO16" s="217">
        <v>0</v>
      </c>
      <c r="OP16" s="218">
        <f>OO16</f>
        <v>0</v>
      </c>
      <c r="OQ16" s="217">
        <v>0</v>
      </c>
      <c r="OR16" s="218">
        <f>OQ16</f>
        <v>0</v>
      </c>
      <c r="OS16" s="217">
        <v>0</v>
      </c>
      <c r="OT16" s="218">
        <f>OS16</f>
        <v>0</v>
      </c>
      <c r="OU16" s="217">
        <v>0</v>
      </c>
      <c r="OV16" s="218">
        <f>OU16</f>
        <v>0</v>
      </c>
      <c r="OW16" s="217">
        <v>0</v>
      </c>
      <c r="OX16" s="218">
        <f>OW16</f>
        <v>0</v>
      </c>
      <c r="OY16" s="217">
        <v>0</v>
      </c>
      <c r="OZ16" s="218">
        <f>OY16</f>
        <v>0</v>
      </c>
      <c r="PA16" s="217">
        <v>0</v>
      </c>
      <c r="PB16" s="218">
        <f>PA16</f>
        <v>0</v>
      </c>
      <c r="PC16" s="217">
        <v>0</v>
      </c>
      <c r="PD16" s="218">
        <f>PC16</f>
        <v>0</v>
      </c>
      <c r="PE16" s="217">
        <v>0</v>
      </c>
      <c r="PF16" s="218">
        <f>PE16</f>
        <v>0</v>
      </c>
      <c r="PG16" s="217">
        <v>0</v>
      </c>
      <c r="PH16" s="218">
        <f>PG16</f>
        <v>0</v>
      </c>
      <c r="PI16" s="217">
        <v>0</v>
      </c>
      <c r="PJ16" s="218">
        <f>PI16</f>
        <v>0</v>
      </c>
      <c r="PK16" s="217">
        <v>0</v>
      </c>
      <c r="PL16" s="218">
        <f>PK16</f>
        <v>0</v>
      </c>
      <c r="PM16" s="217">
        <v>0</v>
      </c>
      <c r="PN16" s="218">
        <f>PM16</f>
        <v>0</v>
      </c>
      <c r="PO16" s="217">
        <v>0</v>
      </c>
      <c r="PP16" s="218">
        <f>PO16</f>
        <v>0</v>
      </c>
      <c r="PR16" s="217">
        <v>0</v>
      </c>
      <c r="PS16" s="218">
        <f>PR16</f>
        <v>0</v>
      </c>
      <c r="PT16" s="217">
        <v>0</v>
      </c>
      <c r="PU16" s="218">
        <f>PT16</f>
        <v>0</v>
      </c>
      <c r="PV16" s="217">
        <v>0</v>
      </c>
      <c r="PW16" s="218">
        <f>PV16</f>
        <v>0</v>
      </c>
      <c r="PX16" s="217">
        <v>0</v>
      </c>
      <c r="PY16" s="218">
        <f>PX16</f>
        <v>0</v>
      </c>
      <c r="PZ16" s="217">
        <v>0</v>
      </c>
      <c r="QA16" s="218">
        <f>PZ16</f>
        <v>0</v>
      </c>
      <c r="QB16" s="217">
        <v>0</v>
      </c>
      <c r="QC16" s="218">
        <f>QB16</f>
        <v>0</v>
      </c>
      <c r="QF16" s="217">
        <v>0</v>
      </c>
      <c r="QG16" s="218">
        <f>QF16</f>
        <v>0</v>
      </c>
      <c r="QH16" s="217">
        <v>0</v>
      </c>
      <c r="QI16" s="218">
        <f>QH16</f>
        <v>0</v>
      </c>
      <c r="QJ16" s="217">
        <v>0</v>
      </c>
      <c r="QK16" s="218">
        <f>QJ16</f>
        <v>0</v>
      </c>
      <c r="QL16" s="217">
        <v>0</v>
      </c>
      <c r="QM16" s="218">
        <f>QL16</f>
        <v>0</v>
      </c>
      <c r="QN16" s="217">
        <v>0</v>
      </c>
      <c r="QO16" s="218">
        <f>QN16</f>
        <v>0</v>
      </c>
      <c r="QP16" s="217">
        <v>0</v>
      </c>
      <c r="QQ16" s="218">
        <f>QP16</f>
        <v>0</v>
      </c>
    </row>
    <row r="17" spans="1:459" x14ac:dyDescent="0.45">
      <c r="A17" s="876"/>
      <c r="B17" s="202" t="s">
        <v>326</v>
      </c>
      <c r="C17" s="203"/>
      <c r="D17" s="204"/>
      <c r="E17" s="219"/>
      <c r="F17" s="220">
        <f t="shared" ref="F17:BQ17" si="12">+F13-F15</f>
        <v>0.3</v>
      </c>
      <c r="G17" s="221">
        <f t="shared" si="12"/>
        <v>0.22727272727272727</v>
      </c>
      <c r="H17" s="220">
        <f t="shared" si="12"/>
        <v>0.3</v>
      </c>
      <c r="I17" s="221">
        <f t="shared" si="12"/>
        <v>0.22727272727272727</v>
      </c>
      <c r="J17" s="220">
        <f t="shared" si="12"/>
        <v>0.3</v>
      </c>
      <c r="K17" s="221">
        <f t="shared" si="12"/>
        <v>0.22727272727272727</v>
      </c>
      <c r="L17" s="220">
        <f t="shared" si="12"/>
        <v>0.3</v>
      </c>
      <c r="M17" s="221">
        <f t="shared" si="12"/>
        <v>0.22727272727272727</v>
      </c>
      <c r="N17" s="220">
        <f t="shared" si="12"/>
        <v>0.3</v>
      </c>
      <c r="O17" s="221">
        <f t="shared" si="12"/>
        <v>0.22727272727272727</v>
      </c>
      <c r="P17" s="220">
        <f t="shared" si="12"/>
        <v>0.32</v>
      </c>
      <c r="Q17" s="221">
        <f t="shared" si="12"/>
        <v>0.24242424242424243</v>
      </c>
      <c r="R17" s="220">
        <f t="shared" si="12"/>
        <v>0.32</v>
      </c>
      <c r="S17" s="221">
        <f t="shared" si="12"/>
        <v>0.24242424242424243</v>
      </c>
      <c r="T17" s="220">
        <f t="shared" si="12"/>
        <v>0.32</v>
      </c>
      <c r="U17" s="221">
        <f t="shared" si="12"/>
        <v>0.24242424242424243</v>
      </c>
      <c r="V17" s="220">
        <f t="shared" si="12"/>
        <v>0.32999999999999996</v>
      </c>
      <c r="W17" s="221">
        <f t="shared" si="12"/>
        <v>0.24999999999999994</v>
      </c>
      <c r="X17" s="220">
        <f t="shared" si="12"/>
        <v>0.32999999999999996</v>
      </c>
      <c r="Y17" s="221">
        <f t="shared" si="12"/>
        <v>0.24999999999999994</v>
      </c>
      <c r="Z17" s="220">
        <f t="shared" si="12"/>
        <v>0.32999999999999996</v>
      </c>
      <c r="AA17" s="221">
        <f t="shared" si="12"/>
        <v>0.24999999999999994</v>
      </c>
      <c r="AB17" s="220">
        <f t="shared" si="12"/>
        <v>0.32999999999999996</v>
      </c>
      <c r="AC17" s="221">
        <f t="shared" si="12"/>
        <v>0.24999999999999994</v>
      </c>
      <c r="AD17" s="220">
        <f t="shared" si="12"/>
        <v>0.35</v>
      </c>
      <c r="AE17" s="221">
        <f t="shared" si="12"/>
        <v>0.26515151515151514</v>
      </c>
      <c r="AF17" s="220">
        <f t="shared" si="12"/>
        <v>0.35</v>
      </c>
      <c r="AG17" s="221">
        <f t="shared" si="12"/>
        <v>0.25</v>
      </c>
      <c r="AH17" s="220">
        <f t="shared" si="12"/>
        <v>0.35</v>
      </c>
      <c r="AI17" s="221">
        <f t="shared" si="12"/>
        <v>0.26515151515151514</v>
      </c>
      <c r="AJ17" s="220">
        <f t="shared" si="12"/>
        <v>0.35</v>
      </c>
      <c r="AK17" s="221">
        <f t="shared" si="12"/>
        <v>0.26515151515151514</v>
      </c>
      <c r="AL17" s="220">
        <f t="shared" si="12"/>
        <v>0.35</v>
      </c>
      <c r="AM17" s="221">
        <f t="shared" si="12"/>
        <v>0.26515151515151514</v>
      </c>
      <c r="AN17" s="220">
        <f t="shared" si="12"/>
        <v>0.35</v>
      </c>
      <c r="AO17" s="221">
        <f t="shared" si="12"/>
        <v>0.26515151515151514</v>
      </c>
      <c r="AP17" s="220">
        <f t="shared" si="12"/>
        <v>0.35</v>
      </c>
      <c r="AQ17" s="221">
        <f t="shared" si="12"/>
        <v>0.26515151515151514</v>
      </c>
      <c r="AR17" s="220">
        <f t="shared" si="12"/>
        <v>0.35</v>
      </c>
      <c r="AS17" s="221">
        <f t="shared" si="12"/>
        <v>0.26515151515151514</v>
      </c>
      <c r="AT17" s="220">
        <f t="shared" si="12"/>
        <v>0.35</v>
      </c>
      <c r="AU17" s="221">
        <f t="shared" si="12"/>
        <v>0.26515151515151514</v>
      </c>
      <c r="AV17" s="220">
        <f t="shared" si="12"/>
        <v>0.35</v>
      </c>
      <c r="AW17" s="221">
        <f t="shared" si="12"/>
        <v>0.26515151515151514</v>
      </c>
      <c r="AX17" s="220">
        <f t="shared" si="12"/>
        <v>0.35</v>
      </c>
      <c r="AY17" s="221">
        <f t="shared" si="12"/>
        <v>0.26515151515151514</v>
      </c>
      <c r="AZ17" s="220">
        <f t="shared" si="12"/>
        <v>0.35</v>
      </c>
      <c r="BA17" s="221">
        <f t="shared" si="12"/>
        <v>0.26515151515151514</v>
      </c>
      <c r="BB17" s="220">
        <f t="shared" si="12"/>
        <v>0.35</v>
      </c>
      <c r="BC17" s="221">
        <f t="shared" si="12"/>
        <v>0.26515151515151514</v>
      </c>
      <c r="BD17" s="220">
        <f t="shared" si="12"/>
        <v>0.35</v>
      </c>
      <c r="BE17" s="221">
        <f t="shared" si="12"/>
        <v>0.26515151515151514</v>
      </c>
      <c r="BF17" s="220">
        <f t="shared" si="12"/>
        <v>0.35</v>
      </c>
      <c r="BG17" s="221">
        <f t="shared" si="12"/>
        <v>0.26515151515151514</v>
      </c>
      <c r="BH17" s="220">
        <f t="shared" si="12"/>
        <v>0.35</v>
      </c>
      <c r="BI17" s="221">
        <f t="shared" si="12"/>
        <v>0.26515151515151514</v>
      </c>
      <c r="BJ17" s="220">
        <f t="shared" si="12"/>
        <v>0.35</v>
      </c>
      <c r="BK17" s="221">
        <f t="shared" si="12"/>
        <v>0.26515151515151514</v>
      </c>
      <c r="BL17" s="220">
        <f t="shared" si="12"/>
        <v>0.35</v>
      </c>
      <c r="BM17" s="221">
        <f t="shared" si="12"/>
        <v>0.26515151515151514</v>
      </c>
      <c r="BN17" s="220">
        <f t="shared" si="12"/>
        <v>0.35</v>
      </c>
      <c r="BO17" s="221">
        <f t="shared" si="12"/>
        <v>0.26515151515151514</v>
      </c>
      <c r="BP17" s="220">
        <f t="shared" si="12"/>
        <v>0.35</v>
      </c>
      <c r="BQ17" s="221">
        <f t="shared" si="12"/>
        <v>0.26515151515151514</v>
      </c>
      <c r="BR17" s="220">
        <f t="shared" ref="BR17:CS17" si="13">+BR13-BR15</f>
        <v>0.35</v>
      </c>
      <c r="BS17" s="221">
        <f t="shared" si="13"/>
        <v>0.26515151515151514</v>
      </c>
      <c r="BT17" s="220">
        <f t="shared" si="13"/>
        <v>0.35</v>
      </c>
      <c r="BU17" s="221">
        <f t="shared" si="13"/>
        <v>0.26515151515151514</v>
      </c>
      <c r="BV17" s="220">
        <f t="shared" si="13"/>
        <v>0.35</v>
      </c>
      <c r="BW17" s="221">
        <f t="shared" si="13"/>
        <v>0.26515151515151514</v>
      </c>
      <c r="BX17" s="220">
        <f t="shared" si="13"/>
        <v>0.35</v>
      </c>
      <c r="BY17" s="221">
        <f t="shared" si="13"/>
        <v>0.26515151515151514</v>
      </c>
      <c r="BZ17" s="220">
        <f t="shared" si="13"/>
        <v>0.35</v>
      </c>
      <c r="CA17" s="221">
        <f t="shared" si="13"/>
        <v>0.26515151515151514</v>
      </c>
      <c r="CB17" s="220">
        <f t="shared" si="13"/>
        <v>0.35</v>
      </c>
      <c r="CC17" s="221">
        <f t="shared" si="13"/>
        <v>0.26515151515151514</v>
      </c>
      <c r="CD17" s="220">
        <f t="shared" si="13"/>
        <v>0.35</v>
      </c>
      <c r="CE17" s="221">
        <f t="shared" si="13"/>
        <v>0.26515151515151514</v>
      </c>
      <c r="CF17" s="220">
        <f t="shared" si="13"/>
        <v>0.35</v>
      </c>
      <c r="CG17" s="221">
        <f t="shared" si="13"/>
        <v>0.26515151515151514</v>
      </c>
      <c r="CH17" s="220">
        <f t="shared" si="13"/>
        <v>0.35</v>
      </c>
      <c r="CI17" s="221">
        <f t="shared" si="13"/>
        <v>0.26515151515151514</v>
      </c>
      <c r="CJ17" s="220">
        <f t="shared" si="13"/>
        <v>0.35</v>
      </c>
      <c r="CK17" s="221">
        <f t="shared" si="13"/>
        <v>0.26515151515151514</v>
      </c>
      <c r="CL17" s="220">
        <f t="shared" si="13"/>
        <v>0.35</v>
      </c>
      <c r="CM17" s="221">
        <f t="shared" si="13"/>
        <v>0.26515151515151514</v>
      </c>
      <c r="CN17" s="220">
        <f t="shared" si="13"/>
        <v>0.31</v>
      </c>
      <c r="CO17" s="221">
        <f t="shared" si="13"/>
        <v>0.23484848484848483</v>
      </c>
      <c r="CP17" s="220">
        <f t="shared" si="13"/>
        <v>0.31</v>
      </c>
      <c r="CQ17" s="221">
        <f t="shared" si="13"/>
        <v>0.23484848484848483</v>
      </c>
      <c r="CR17" s="220">
        <f t="shared" si="13"/>
        <v>0.32999999999999996</v>
      </c>
      <c r="CS17" s="221">
        <f t="shared" si="13"/>
        <v>0.24999999999999994</v>
      </c>
      <c r="CT17" s="209"/>
      <c r="CU17" s="220">
        <f t="shared" ref="CU17:FF17" si="14">+CU13-CU15</f>
        <v>0.28999999999999998</v>
      </c>
      <c r="CV17" s="221">
        <f t="shared" si="14"/>
        <v>0.21969696969696967</v>
      </c>
      <c r="CW17" s="220">
        <f t="shared" si="14"/>
        <v>0.28999999999999998</v>
      </c>
      <c r="CX17" s="221">
        <f t="shared" si="14"/>
        <v>0.21969696969696967</v>
      </c>
      <c r="CY17" s="220">
        <f t="shared" si="14"/>
        <v>0.28999999999999998</v>
      </c>
      <c r="CZ17" s="221">
        <f t="shared" si="14"/>
        <v>0.21969696969696967</v>
      </c>
      <c r="DA17" s="220">
        <f t="shared" si="14"/>
        <v>0.3</v>
      </c>
      <c r="DB17" s="221">
        <f t="shared" si="14"/>
        <v>0.22727272727272727</v>
      </c>
      <c r="DC17" s="220">
        <f t="shared" si="14"/>
        <v>0.32999999999999996</v>
      </c>
      <c r="DD17" s="221">
        <f t="shared" si="14"/>
        <v>0.24999999999999994</v>
      </c>
      <c r="DE17" s="220">
        <f t="shared" si="14"/>
        <v>0.32999999999999996</v>
      </c>
      <c r="DF17" s="221">
        <f t="shared" si="14"/>
        <v>0.23571428571428571</v>
      </c>
      <c r="DG17" s="220">
        <f t="shared" si="14"/>
        <v>0.32999999999999996</v>
      </c>
      <c r="DH17" s="221">
        <f t="shared" si="14"/>
        <v>0.24999999999999994</v>
      </c>
      <c r="DI17" s="220">
        <f t="shared" si="14"/>
        <v>0.32999999999999996</v>
      </c>
      <c r="DJ17" s="221">
        <f t="shared" si="14"/>
        <v>0.24999999999999994</v>
      </c>
      <c r="DK17" s="220">
        <f t="shared" si="14"/>
        <v>0.32999999999999996</v>
      </c>
      <c r="DL17" s="221">
        <f t="shared" si="14"/>
        <v>0.24999999999999994</v>
      </c>
      <c r="DM17" s="220">
        <f t="shared" si="14"/>
        <v>0.32999999999999996</v>
      </c>
      <c r="DN17" s="221">
        <f t="shared" si="14"/>
        <v>0.24999999999999994</v>
      </c>
      <c r="DO17" s="220">
        <f t="shared" si="14"/>
        <v>0.32999999999999996</v>
      </c>
      <c r="DP17" s="221">
        <f t="shared" si="14"/>
        <v>0.24999999999999994</v>
      </c>
      <c r="DQ17" s="220">
        <f t="shared" si="14"/>
        <v>0.32999999999999996</v>
      </c>
      <c r="DR17" s="221">
        <f t="shared" si="14"/>
        <v>0.24999999999999994</v>
      </c>
      <c r="DS17" s="220">
        <f t="shared" si="14"/>
        <v>0.32999999999999996</v>
      </c>
      <c r="DT17" s="221">
        <f t="shared" si="14"/>
        <v>0.24999999999999994</v>
      </c>
      <c r="DU17" s="220">
        <f t="shared" si="14"/>
        <v>0.32999999999999996</v>
      </c>
      <c r="DV17" s="221">
        <f t="shared" si="14"/>
        <v>0.24999999999999994</v>
      </c>
      <c r="DW17" s="220">
        <f t="shared" si="14"/>
        <v>0.32999999999999996</v>
      </c>
      <c r="DX17" s="221">
        <f t="shared" si="14"/>
        <v>0.24999999999999994</v>
      </c>
      <c r="DY17" s="220">
        <f t="shared" si="14"/>
        <v>0.32999999999999996</v>
      </c>
      <c r="DZ17" s="221">
        <f t="shared" si="14"/>
        <v>0.24999999999999994</v>
      </c>
      <c r="EA17" s="220">
        <f t="shared" si="14"/>
        <v>0.32999999999999996</v>
      </c>
      <c r="EB17" s="221">
        <f t="shared" si="14"/>
        <v>0.24999999999999994</v>
      </c>
      <c r="EC17" s="220">
        <f t="shared" si="14"/>
        <v>0.32999999999999996</v>
      </c>
      <c r="ED17" s="221">
        <f t="shared" si="14"/>
        <v>0.24999999999999994</v>
      </c>
      <c r="EE17" s="220">
        <f t="shared" si="14"/>
        <v>0.32999999999999996</v>
      </c>
      <c r="EF17" s="221">
        <f t="shared" si="14"/>
        <v>0.24999999999999994</v>
      </c>
      <c r="EG17" s="220">
        <f t="shared" si="14"/>
        <v>0.32999999999999996</v>
      </c>
      <c r="EH17" s="221">
        <f t="shared" si="14"/>
        <v>0.24999999999999994</v>
      </c>
      <c r="EI17" s="220">
        <f t="shared" si="14"/>
        <v>0.32999999999999996</v>
      </c>
      <c r="EJ17" s="221">
        <f t="shared" si="14"/>
        <v>0.24999999999999994</v>
      </c>
      <c r="EK17" s="220">
        <f t="shared" si="14"/>
        <v>0.32999999999999996</v>
      </c>
      <c r="EL17" s="221">
        <f t="shared" si="14"/>
        <v>0.24999999999999994</v>
      </c>
      <c r="EM17" s="220">
        <f t="shared" si="14"/>
        <v>0.32999999999999996</v>
      </c>
      <c r="EN17" s="221">
        <f t="shared" si="14"/>
        <v>0.24999999999999994</v>
      </c>
      <c r="EO17" s="220">
        <f t="shared" si="14"/>
        <v>0.32999999999999996</v>
      </c>
      <c r="EP17" s="221">
        <f t="shared" si="14"/>
        <v>0.24999999999999994</v>
      </c>
      <c r="EQ17" s="220">
        <f t="shared" si="14"/>
        <v>0.32999999999999996</v>
      </c>
      <c r="ER17" s="221">
        <f t="shared" si="14"/>
        <v>0.24999999999999994</v>
      </c>
      <c r="ES17" s="220">
        <f t="shared" si="14"/>
        <v>0.32999999999999996</v>
      </c>
      <c r="ET17" s="221">
        <f t="shared" si="14"/>
        <v>0.24999999999999994</v>
      </c>
      <c r="EU17" s="220">
        <f t="shared" si="14"/>
        <v>0.32999999999999996</v>
      </c>
      <c r="EV17" s="221">
        <f t="shared" si="14"/>
        <v>0.24999999999999994</v>
      </c>
      <c r="EW17" s="220">
        <f t="shared" si="14"/>
        <v>0.32999999999999996</v>
      </c>
      <c r="EX17" s="221">
        <f t="shared" si="14"/>
        <v>0.24999999999999994</v>
      </c>
      <c r="EY17" s="220">
        <f t="shared" si="14"/>
        <v>0.32999999999999996</v>
      </c>
      <c r="EZ17" s="221">
        <f t="shared" si="14"/>
        <v>0.24999999999999994</v>
      </c>
      <c r="FA17" s="220">
        <f t="shared" si="14"/>
        <v>0.32999999999999996</v>
      </c>
      <c r="FB17" s="221">
        <f t="shared" si="14"/>
        <v>0.24999999999999994</v>
      </c>
      <c r="FC17" s="220">
        <f t="shared" si="14"/>
        <v>0.32999999999999996</v>
      </c>
      <c r="FD17" s="221">
        <f t="shared" si="14"/>
        <v>0.24999999999999994</v>
      </c>
      <c r="FE17" s="220">
        <f t="shared" si="14"/>
        <v>0.32999999999999996</v>
      </c>
      <c r="FF17" s="221">
        <f t="shared" si="14"/>
        <v>0.24999999999999994</v>
      </c>
      <c r="FG17" s="220">
        <f t="shared" ref="FG17:FP17" si="15">+FG13-FG15</f>
        <v>0.32999999999999996</v>
      </c>
      <c r="FH17" s="221">
        <f t="shared" si="15"/>
        <v>0.24999999999999994</v>
      </c>
      <c r="FI17" s="220">
        <f t="shared" si="15"/>
        <v>0.32999999999999996</v>
      </c>
      <c r="FJ17" s="221">
        <f t="shared" si="15"/>
        <v>0.24999999999999994</v>
      </c>
      <c r="FK17" s="220">
        <f t="shared" si="15"/>
        <v>0.32999999999999996</v>
      </c>
      <c r="FL17" s="221">
        <f t="shared" si="15"/>
        <v>0.24999999999999994</v>
      </c>
      <c r="FM17" s="220">
        <f t="shared" si="15"/>
        <v>0.30499999999999999</v>
      </c>
      <c r="FN17" s="221">
        <f t="shared" si="15"/>
        <v>0.23106060606060605</v>
      </c>
      <c r="FO17" s="220">
        <f t="shared" si="15"/>
        <v>0.30499999999999999</v>
      </c>
      <c r="FP17" s="221">
        <f t="shared" si="15"/>
        <v>0.23106060606060605</v>
      </c>
      <c r="FQ17" s="219"/>
      <c r="FR17" s="220">
        <f t="shared" ref="FR17:IC17" si="16">+FR13-FR15</f>
        <v>0.3</v>
      </c>
      <c r="FS17" s="221">
        <f t="shared" si="16"/>
        <v>0.22727272727272727</v>
      </c>
      <c r="FT17" s="220">
        <f t="shared" si="16"/>
        <v>0.3</v>
      </c>
      <c r="FU17" s="221">
        <f t="shared" si="16"/>
        <v>0.22727272727272727</v>
      </c>
      <c r="FV17" s="220">
        <f t="shared" si="16"/>
        <v>0.32</v>
      </c>
      <c r="FW17" s="221">
        <f t="shared" si="16"/>
        <v>0.24242424242424243</v>
      </c>
      <c r="FX17" s="220">
        <f t="shared" si="16"/>
        <v>0.32</v>
      </c>
      <c r="FY17" s="221">
        <f t="shared" si="16"/>
        <v>0.24242424242424243</v>
      </c>
      <c r="FZ17" s="220">
        <f t="shared" si="16"/>
        <v>0.32</v>
      </c>
      <c r="GA17" s="221">
        <f t="shared" si="16"/>
        <v>0.24242424242424243</v>
      </c>
      <c r="GB17" s="220">
        <f t="shared" si="16"/>
        <v>0.32999999999999996</v>
      </c>
      <c r="GC17" s="221">
        <f t="shared" si="16"/>
        <v>0.24999999999999994</v>
      </c>
      <c r="GD17" s="220">
        <f t="shared" si="16"/>
        <v>0.32999999999999996</v>
      </c>
      <c r="GE17" s="221">
        <f t="shared" si="16"/>
        <v>0.24999999999999994</v>
      </c>
      <c r="GF17" s="220">
        <f t="shared" si="16"/>
        <v>0.32999999999999996</v>
      </c>
      <c r="GG17" s="221">
        <f t="shared" si="16"/>
        <v>0.24999999999999994</v>
      </c>
      <c r="GH17" s="220">
        <f t="shared" si="16"/>
        <v>0.32999999999999996</v>
      </c>
      <c r="GI17" s="221">
        <f t="shared" si="16"/>
        <v>0.24999999999999994</v>
      </c>
      <c r="GJ17" s="220">
        <f t="shared" si="16"/>
        <v>0.38</v>
      </c>
      <c r="GK17" s="221">
        <f t="shared" si="16"/>
        <v>0.28787878787878785</v>
      </c>
      <c r="GL17" s="220">
        <f t="shared" si="16"/>
        <v>0.38</v>
      </c>
      <c r="GM17" s="221">
        <f t="shared" si="16"/>
        <v>0.27142857142857146</v>
      </c>
      <c r="GN17" s="220">
        <f t="shared" si="16"/>
        <v>0.38</v>
      </c>
      <c r="GO17" s="221">
        <f t="shared" si="16"/>
        <v>0.28787878787878785</v>
      </c>
      <c r="GP17" s="220">
        <f t="shared" si="16"/>
        <v>0.38</v>
      </c>
      <c r="GQ17" s="221">
        <f t="shared" si="16"/>
        <v>0.28787878787878785</v>
      </c>
      <c r="GR17" s="220">
        <f t="shared" si="16"/>
        <v>0.38</v>
      </c>
      <c r="GS17" s="221">
        <f t="shared" si="16"/>
        <v>0.28787878787878785</v>
      </c>
      <c r="GT17" s="220">
        <f t="shared" si="16"/>
        <v>0.38</v>
      </c>
      <c r="GU17" s="221">
        <f t="shared" si="16"/>
        <v>0.28787878787878785</v>
      </c>
      <c r="GV17" s="220">
        <f t="shared" si="16"/>
        <v>0.38</v>
      </c>
      <c r="GW17" s="221">
        <f t="shared" si="16"/>
        <v>0.28787878787878785</v>
      </c>
      <c r="GX17" s="220">
        <f t="shared" si="16"/>
        <v>0.38</v>
      </c>
      <c r="GY17" s="221">
        <f t="shared" si="16"/>
        <v>0.28787878787878785</v>
      </c>
      <c r="GZ17" s="220">
        <f t="shared" si="16"/>
        <v>0.38</v>
      </c>
      <c r="HA17" s="221">
        <f t="shared" si="16"/>
        <v>0.28787878787878785</v>
      </c>
      <c r="HB17" s="220">
        <f t="shared" si="16"/>
        <v>0.38</v>
      </c>
      <c r="HC17" s="221">
        <f t="shared" si="16"/>
        <v>0.28787878787878785</v>
      </c>
      <c r="HD17" s="220">
        <f t="shared" si="16"/>
        <v>0.38</v>
      </c>
      <c r="HE17" s="221">
        <f t="shared" si="16"/>
        <v>0.28787878787878785</v>
      </c>
      <c r="HF17" s="220">
        <f t="shared" si="16"/>
        <v>0.38</v>
      </c>
      <c r="HG17" s="221">
        <f t="shared" si="16"/>
        <v>0.28787878787878785</v>
      </c>
      <c r="HH17" s="220">
        <f t="shared" si="16"/>
        <v>0.38</v>
      </c>
      <c r="HI17" s="221">
        <f t="shared" si="16"/>
        <v>0.28787878787878785</v>
      </c>
      <c r="HJ17" s="220">
        <f t="shared" si="16"/>
        <v>0.38</v>
      </c>
      <c r="HK17" s="221">
        <f t="shared" si="16"/>
        <v>0.28787878787878785</v>
      </c>
      <c r="HL17" s="220">
        <f t="shared" si="16"/>
        <v>0.38</v>
      </c>
      <c r="HM17" s="221">
        <f t="shared" si="16"/>
        <v>0.28787878787878785</v>
      </c>
      <c r="HN17" s="220">
        <f t="shared" si="16"/>
        <v>0.38</v>
      </c>
      <c r="HO17" s="221">
        <f t="shared" si="16"/>
        <v>0.28787878787878785</v>
      </c>
      <c r="HP17" s="220">
        <f t="shared" si="16"/>
        <v>0.38</v>
      </c>
      <c r="HQ17" s="221">
        <f t="shared" si="16"/>
        <v>0.28787878787878785</v>
      </c>
      <c r="HR17" s="220">
        <f t="shared" si="16"/>
        <v>0.38</v>
      </c>
      <c r="HS17" s="221">
        <f t="shared" si="16"/>
        <v>0.28787878787878785</v>
      </c>
      <c r="HT17" s="220">
        <f t="shared" si="16"/>
        <v>0.38</v>
      </c>
      <c r="HU17" s="221">
        <f t="shared" si="16"/>
        <v>0.28787878787878785</v>
      </c>
      <c r="HV17" s="220">
        <f t="shared" si="16"/>
        <v>0.38</v>
      </c>
      <c r="HW17" s="221">
        <f t="shared" si="16"/>
        <v>0.28787878787878785</v>
      </c>
      <c r="HX17" s="220">
        <f t="shared" si="16"/>
        <v>0.38</v>
      </c>
      <c r="HY17" s="221">
        <f t="shared" si="16"/>
        <v>0.28787878787878785</v>
      </c>
      <c r="HZ17" s="220">
        <f t="shared" si="16"/>
        <v>0.38</v>
      </c>
      <c r="IA17" s="221">
        <f t="shared" si="16"/>
        <v>0.28787878787878785</v>
      </c>
      <c r="IB17" s="220">
        <f t="shared" si="16"/>
        <v>0.38</v>
      </c>
      <c r="IC17" s="221">
        <f t="shared" si="16"/>
        <v>0.28787878787878785</v>
      </c>
      <c r="ID17" s="220">
        <f t="shared" ref="ID17:IY17" si="17">+ID13-ID15</f>
        <v>0.38</v>
      </c>
      <c r="IE17" s="221">
        <f t="shared" si="17"/>
        <v>0.28787878787878785</v>
      </c>
      <c r="IF17" s="220">
        <f t="shared" si="17"/>
        <v>0.38</v>
      </c>
      <c r="IG17" s="221">
        <f t="shared" si="17"/>
        <v>0.28787878787878785</v>
      </c>
      <c r="IH17" s="220">
        <f t="shared" si="17"/>
        <v>0.38</v>
      </c>
      <c r="II17" s="221">
        <f t="shared" si="17"/>
        <v>0.28787878787878785</v>
      </c>
      <c r="IJ17" s="220">
        <f t="shared" si="17"/>
        <v>0.38</v>
      </c>
      <c r="IK17" s="221">
        <f t="shared" si="17"/>
        <v>0.28787878787878785</v>
      </c>
      <c r="IL17" s="220">
        <f t="shared" si="17"/>
        <v>0.38</v>
      </c>
      <c r="IM17" s="221">
        <f t="shared" si="17"/>
        <v>0.28787878787878785</v>
      </c>
      <c r="IN17" s="220">
        <f t="shared" si="17"/>
        <v>0.38</v>
      </c>
      <c r="IO17" s="221">
        <f t="shared" si="17"/>
        <v>0.28787878787878785</v>
      </c>
      <c r="IP17" s="220">
        <f t="shared" si="17"/>
        <v>0.38</v>
      </c>
      <c r="IQ17" s="221">
        <f t="shared" si="17"/>
        <v>0.28787878787878785</v>
      </c>
      <c r="IR17" s="220">
        <f t="shared" si="17"/>
        <v>0.38</v>
      </c>
      <c r="IS17" s="221">
        <f t="shared" si="17"/>
        <v>0.28787878787878785</v>
      </c>
      <c r="IT17" s="220">
        <f t="shared" si="17"/>
        <v>0.38</v>
      </c>
      <c r="IU17" s="221">
        <f t="shared" si="17"/>
        <v>0.28787878787878785</v>
      </c>
      <c r="IV17" s="220">
        <f t="shared" si="17"/>
        <v>0.33999999999999997</v>
      </c>
      <c r="IW17" s="221">
        <f t="shared" si="17"/>
        <v>0.25757575757575751</v>
      </c>
      <c r="IX17" s="220">
        <f t="shared" si="17"/>
        <v>0.33999999999999997</v>
      </c>
      <c r="IY17" s="221">
        <f t="shared" si="17"/>
        <v>0.25757575757575751</v>
      </c>
      <c r="IZ17" s="219"/>
      <c r="JA17" s="220">
        <f>+JA13-JA15</f>
        <v>0.33999999999999997</v>
      </c>
      <c r="JB17" s="221">
        <f>+JB13-JB15</f>
        <v>0.25373134328358204</v>
      </c>
      <c r="JC17" s="220">
        <f>+JC13-JC15</f>
        <v>0.36</v>
      </c>
      <c r="JD17" s="221">
        <f>+JD13-JD15</f>
        <v>0.26865671641791045</v>
      </c>
      <c r="JE17" s="219"/>
      <c r="JF17" s="220">
        <f t="shared" ref="JF17:LQ17" si="18">+JF13-JF15</f>
        <v>0.27999999999999997</v>
      </c>
      <c r="JG17" s="221">
        <f t="shared" si="18"/>
        <v>0.2121212121212121</v>
      </c>
      <c r="JH17" s="220">
        <f t="shared" si="18"/>
        <v>0.27999999999999997</v>
      </c>
      <c r="JI17" s="221">
        <f t="shared" si="18"/>
        <v>0.2121212121212121</v>
      </c>
      <c r="JJ17" s="220">
        <f t="shared" si="18"/>
        <v>0.3</v>
      </c>
      <c r="JK17" s="221">
        <f t="shared" si="18"/>
        <v>0.22727272727272727</v>
      </c>
      <c r="JL17" s="220">
        <f t="shared" si="18"/>
        <v>0.3</v>
      </c>
      <c r="JM17" s="221">
        <f t="shared" si="18"/>
        <v>0.22727272727272727</v>
      </c>
      <c r="JN17" s="220">
        <f t="shared" si="18"/>
        <v>0.3</v>
      </c>
      <c r="JO17" s="221">
        <f t="shared" si="18"/>
        <v>0.22727272727272727</v>
      </c>
      <c r="JP17" s="220">
        <f>+JP13-JP15</f>
        <v>0.31</v>
      </c>
      <c r="JQ17" s="221">
        <f t="shared" si="18"/>
        <v>0.23484848484848483</v>
      </c>
      <c r="JR17" s="220">
        <f t="shared" si="18"/>
        <v>0.31</v>
      </c>
      <c r="JS17" s="221">
        <f t="shared" si="18"/>
        <v>0.23484848484848483</v>
      </c>
      <c r="JT17" s="220">
        <f t="shared" si="18"/>
        <v>0.31</v>
      </c>
      <c r="JU17" s="221">
        <f t="shared" si="18"/>
        <v>0.23484848484848483</v>
      </c>
      <c r="JV17" s="220">
        <f t="shared" si="18"/>
        <v>0.31</v>
      </c>
      <c r="JW17" s="221">
        <f t="shared" si="18"/>
        <v>0.22142857142857145</v>
      </c>
      <c r="JX17" s="220">
        <f t="shared" si="18"/>
        <v>0.31</v>
      </c>
      <c r="JY17" s="221">
        <f t="shared" si="18"/>
        <v>0.23484848484848483</v>
      </c>
      <c r="JZ17" s="220">
        <f t="shared" si="18"/>
        <v>0.31</v>
      </c>
      <c r="KA17" s="221">
        <f t="shared" si="18"/>
        <v>0.23484848484848483</v>
      </c>
      <c r="KB17" s="220">
        <f t="shared" si="18"/>
        <v>0.31</v>
      </c>
      <c r="KC17" s="221">
        <f t="shared" si="18"/>
        <v>0.23484848484848483</v>
      </c>
      <c r="KD17" s="220">
        <f t="shared" si="18"/>
        <v>0.31</v>
      </c>
      <c r="KE17" s="221">
        <f t="shared" si="18"/>
        <v>0.23484848484848483</v>
      </c>
      <c r="KF17" s="220">
        <f t="shared" si="18"/>
        <v>0.31</v>
      </c>
      <c r="KG17" s="221">
        <f t="shared" si="18"/>
        <v>0.23484848484848483</v>
      </c>
      <c r="KH17" s="220">
        <f t="shared" si="18"/>
        <v>0.31</v>
      </c>
      <c r="KI17" s="221">
        <f t="shared" si="18"/>
        <v>0.23484848484848483</v>
      </c>
      <c r="KJ17" s="220">
        <f t="shared" si="18"/>
        <v>0.31</v>
      </c>
      <c r="KK17" s="221">
        <f t="shared" si="18"/>
        <v>0.23484848484848483</v>
      </c>
      <c r="KL17" s="220">
        <f t="shared" si="18"/>
        <v>0.31</v>
      </c>
      <c r="KM17" s="221">
        <f t="shared" si="18"/>
        <v>0.23484848484848483</v>
      </c>
      <c r="KN17" s="220">
        <f t="shared" si="18"/>
        <v>0.31</v>
      </c>
      <c r="KO17" s="221">
        <f t="shared" si="18"/>
        <v>0.23484848484848483</v>
      </c>
      <c r="KP17" s="220">
        <f t="shared" si="18"/>
        <v>0.31</v>
      </c>
      <c r="KQ17" s="221">
        <f t="shared" si="18"/>
        <v>0.23484848484848483</v>
      </c>
      <c r="KR17" s="220">
        <f t="shared" si="18"/>
        <v>0.31</v>
      </c>
      <c r="KS17" s="221">
        <f t="shared" si="18"/>
        <v>0.23484848484848483</v>
      </c>
      <c r="KT17" s="220">
        <f t="shared" si="18"/>
        <v>0.31</v>
      </c>
      <c r="KU17" s="221">
        <f t="shared" si="18"/>
        <v>0.23484848484848483</v>
      </c>
      <c r="KV17" s="220">
        <f t="shared" si="18"/>
        <v>0.31</v>
      </c>
      <c r="KW17" s="221">
        <f t="shared" si="18"/>
        <v>0.23484848484848483</v>
      </c>
      <c r="KX17" s="220">
        <f t="shared" si="18"/>
        <v>0.31</v>
      </c>
      <c r="KY17" s="221">
        <f t="shared" si="18"/>
        <v>0.23484848484848483</v>
      </c>
      <c r="KZ17" s="220">
        <f t="shared" si="18"/>
        <v>0.31</v>
      </c>
      <c r="LA17" s="221">
        <f t="shared" si="18"/>
        <v>0.23484848484848483</v>
      </c>
      <c r="LB17" s="220">
        <f t="shared" si="18"/>
        <v>0.3</v>
      </c>
      <c r="LC17" s="221">
        <f t="shared" si="18"/>
        <v>0.22727272727272727</v>
      </c>
      <c r="LD17" s="220">
        <f t="shared" si="18"/>
        <v>0.31</v>
      </c>
      <c r="LE17" s="221">
        <f t="shared" si="18"/>
        <v>0.23484848484848483</v>
      </c>
      <c r="LF17" s="220">
        <f t="shared" si="18"/>
        <v>0.31</v>
      </c>
      <c r="LG17" s="221">
        <f t="shared" si="18"/>
        <v>0.23484848484848483</v>
      </c>
      <c r="LH17" s="220">
        <f t="shared" si="18"/>
        <v>0.31</v>
      </c>
      <c r="LI17" s="221">
        <f t="shared" si="18"/>
        <v>0.23484848484848483</v>
      </c>
      <c r="LJ17" s="220">
        <f t="shared" si="18"/>
        <v>0.31</v>
      </c>
      <c r="LK17" s="221">
        <f t="shared" si="18"/>
        <v>0.23484848484848483</v>
      </c>
      <c r="LL17" s="220">
        <f t="shared" si="18"/>
        <v>0.31</v>
      </c>
      <c r="LM17" s="221">
        <f t="shared" si="18"/>
        <v>0.23484848484848483</v>
      </c>
      <c r="LN17" s="220">
        <f t="shared" si="18"/>
        <v>0.31</v>
      </c>
      <c r="LO17" s="221">
        <f t="shared" si="18"/>
        <v>0.23484848484848483</v>
      </c>
      <c r="LP17" s="220">
        <f t="shared" si="18"/>
        <v>0.31</v>
      </c>
      <c r="LQ17" s="221">
        <f t="shared" si="18"/>
        <v>0.23484848484848483</v>
      </c>
      <c r="LR17" s="220">
        <f t="shared" ref="LR17:MG17" si="19">+LR13-LR15</f>
        <v>0.31</v>
      </c>
      <c r="LS17" s="221">
        <f t="shared" si="19"/>
        <v>0.23484848484848483</v>
      </c>
      <c r="LT17" s="220">
        <f t="shared" si="19"/>
        <v>0.3</v>
      </c>
      <c r="LU17" s="221">
        <f t="shared" si="19"/>
        <v>0.22727272727272727</v>
      </c>
      <c r="LV17" s="220">
        <f t="shared" si="19"/>
        <v>0.3</v>
      </c>
      <c r="LW17" s="221">
        <f t="shared" si="19"/>
        <v>0.22727272727272727</v>
      </c>
      <c r="LX17" s="220">
        <f t="shared" si="19"/>
        <v>0.3</v>
      </c>
      <c r="LY17" s="221">
        <f t="shared" si="19"/>
        <v>0.22727272727272727</v>
      </c>
      <c r="LZ17" s="220">
        <f t="shared" si="19"/>
        <v>0.3</v>
      </c>
      <c r="MA17" s="221">
        <f t="shared" si="19"/>
        <v>0.22727272727272727</v>
      </c>
      <c r="MB17" s="220">
        <f t="shared" si="19"/>
        <v>0.3</v>
      </c>
      <c r="MC17" s="221">
        <f t="shared" si="19"/>
        <v>0.22727272727272727</v>
      </c>
      <c r="MD17" s="220">
        <f t="shared" si="19"/>
        <v>0.3</v>
      </c>
      <c r="ME17" s="221">
        <f t="shared" si="19"/>
        <v>0.22727272727272727</v>
      </c>
      <c r="MF17" s="220">
        <f t="shared" si="19"/>
        <v>0.24</v>
      </c>
      <c r="MG17" s="221">
        <f t="shared" si="19"/>
        <v>0.1818181818181818</v>
      </c>
      <c r="MH17" s="219"/>
      <c r="MI17" s="220">
        <f t="shared" ref="MI17:OT17" si="20">+MI13-MI15</f>
        <v>0.24</v>
      </c>
      <c r="MJ17" s="221">
        <f t="shared" si="20"/>
        <v>0.1818181818181818</v>
      </c>
      <c r="MK17" s="220">
        <f t="shared" si="20"/>
        <v>0.24</v>
      </c>
      <c r="ML17" s="221">
        <f t="shared" si="20"/>
        <v>0.1818181818181818</v>
      </c>
      <c r="MM17" s="220">
        <f t="shared" si="20"/>
        <v>0.24</v>
      </c>
      <c r="MN17" s="221">
        <f t="shared" si="20"/>
        <v>0.1818181818181818</v>
      </c>
      <c r="MO17" s="220">
        <f t="shared" si="20"/>
        <v>0.24</v>
      </c>
      <c r="MP17" s="221">
        <f t="shared" si="20"/>
        <v>0.1818181818181818</v>
      </c>
      <c r="MQ17" s="220">
        <f t="shared" si="20"/>
        <v>0.24</v>
      </c>
      <c r="MR17" s="221">
        <f t="shared" si="20"/>
        <v>0.1818181818181818</v>
      </c>
      <c r="MS17" s="220">
        <f t="shared" si="20"/>
        <v>0.25</v>
      </c>
      <c r="MT17" s="221">
        <f t="shared" si="20"/>
        <v>0.18939393939393939</v>
      </c>
      <c r="MU17" s="220">
        <f t="shared" si="20"/>
        <v>0.26</v>
      </c>
      <c r="MV17" s="221">
        <f t="shared" si="20"/>
        <v>0.19696969696969696</v>
      </c>
      <c r="MW17" s="220">
        <f t="shared" si="20"/>
        <v>0.3</v>
      </c>
      <c r="MX17" s="221">
        <f t="shared" si="20"/>
        <v>0.22727272727272727</v>
      </c>
      <c r="MY17" s="220">
        <f t="shared" si="20"/>
        <v>0.3</v>
      </c>
      <c r="MZ17" s="221">
        <f t="shared" si="20"/>
        <v>0.2142857142857143</v>
      </c>
      <c r="NA17" s="220">
        <f t="shared" si="20"/>
        <v>0.3</v>
      </c>
      <c r="NB17" s="221">
        <f t="shared" si="20"/>
        <v>0.22727272727272727</v>
      </c>
      <c r="NC17" s="220">
        <f t="shared" si="20"/>
        <v>0.3</v>
      </c>
      <c r="ND17" s="221">
        <f t="shared" si="20"/>
        <v>0.22727272727272727</v>
      </c>
      <c r="NE17" s="220">
        <f t="shared" si="20"/>
        <v>0.3</v>
      </c>
      <c r="NF17" s="221">
        <f t="shared" si="20"/>
        <v>0.22727272727272727</v>
      </c>
      <c r="NG17" s="220">
        <f t="shared" si="20"/>
        <v>0.3</v>
      </c>
      <c r="NH17" s="221">
        <f t="shared" si="20"/>
        <v>0.22727272727272727</v>
      </c>
      <c r="NI17" s="220">
        <f t="shared" si="20"/>
        <v>0.3</v>
      </c>
      <c r="NJ17" s="221">
        <f t="shared" si="20"/>
        <v>0.22727272727272727</v>
      </c>
      <c r="NK17" s="220">
        <f t="shared" si="20"/>
        <v>0.3</v>
      </c>
      <c r="NL17" s="221">
        <f t="shared" si="20"/>
        <v>0.22727272727272727</v>
      </c>
      <c r="NM17" s="220">
        <f t="shared" si="20"/>
        <v>0.3</v>
      </c>
      <c r="NN17" s="221">
        <f t="shared" si="20"/>
        <v>0.22727272727272727</v>
      </c>
      <c r="NO17" s="220">
        <f t="shared" si="20"/>
        <v>0.3</v>
      </c>
      <c r="NP17" s="221">
        <f t="shared" si="20"/>
        <v>0.22727272727272727</v>
      </c>
      <c r="NQ17" s="220">
        <f t="shared" si="20"/>
        <v>0.3</v>
      </c>
      <c r="NR17" s="221">
        <f t="shared" si="20"/>
        <v>0.22727272727272727</v>
      </c>
      <c r="NS17" s="220">
        <f t="shared" si="20"/>
        <v>0.3</v>
      </c>
      <c r="NT17" s="221">
        <f t="shared" si="20"/>
        <v>0.22727272727272727</v>
      </c>
      <c r="NU17" s="220">
        <f t="shared" si="20"/>
        <v>0.3</v>
      </c>
      <c r="NV17" s="221">
        <f t="shared" si="20"/>
        <v>0.22727272727272727</v>
      </c>
      <c r="NW17" s="220">
        <f t="shared" si="20"/>
        <v>0.3</v>
      </c>
      <c r="NX17" s="221">
        <f t="shared" si="20"/>
        <v>0.22727272727272727</v>
      </c>
      <c r="NY17" s="220">
        <f t="shared" si="20"/>
        <v>0.3</v>
      </c>
      <c r="NZ17" s="221">
        <f t="shared" si="20"/>
        <v>0.22727272727272727</v>
      </c>
      <c r="OA17" s="220">
        <f t="shared" si="20"/>
        <v>0.3</v>
      </c>
      <c r="OB17" s="221">
        <f t="shared" si="20"/>
        <v>0.22727272727272727</v>
      </c>
      <c r="OC17" s="220">
        <f t="shared" si="20"/>
        <v>0.3</v>
      </c>
      <c r="OD17" s="221">
        <f t="shared" si="20"/>
        <v>0.22727272727272727</v>
      </c>
      <c r="OE17" s="220">
        <f t="shared" si="20"/>
        <v>0.3</v>
      </c>
      <c r="OF17" s="221">
        <f t="shared" si="20"/>
        <v>0.22727272727272727</v>
      </c>
      <c r="OG17" s="220">
        <f t="shared" si="20"/>
        <v>0.3</v>
      </c>
      <c r="OH17" s="221">
        <f t="shared" si="20"/>
        <v>0.22727272727272727</v>
      </c>
      <c r="OI17" s="220">
        <f t="shared" si="20"/>
        <v>0.3</v>
      </c>
      <c r="OJ17" s="221">
        <f t="shared" si="20"/>
        <v>0.22727272727272727</v>
      </c>
      <c r="OK17" s="220">
        <f t="shared" si="20"/>
        <v>0.3</v>
      </c>
      <c r="OL17" s="221">
        <f t="shared" si="20"/>
        <v>0.22727272727272727</v>
      </c>
      <c r="OM17" s="220">
        <f t="shared" si="20"/>
        <v>0.3</v>
      </c>
      <c r="ON17" s="221">
        <f t="shared" si="20"/>
        <v>0.22727272727272727</v>
      </c>
      <c r="OO17" s="220">
        <f t="shared" si="20"/>
        <v>0.3</v>
      </c>
      <c r="OP17" s="221">
        <f t="shared" si="20"/>
        <v>0.22727272727272727</v>
      </c>
      <c r="OQ17" s="220">
        <f t="shared" si="20"/>
        <v>0.3</v>
      </c>
      <c r="OR17" s="221">
        <f t="shared" si="20"/>
        <v>0.22727272727272727</v>
      </c>
      <c r="OS17" s="220">
        <f t="shared" si="20"/>
        <v>0.3</v>
      </c>
      <c r="OT17" s="221">
        <f t="shared" si="20"/>
        <v>0.22727272727272727</v>
      </c>
      <c r="OU17" s="220">
        <f t="shared" ref="OU17:PL17" si="21">+OU13-OU15</f>
        <v>0.3</v>
      </c>
      <c r="OV17" s="221">
        <f t="shared" si="21"/>
        <v>0.22727272727272727</v>
      </c>
      <c r="OW17" s="220">
        <f t="shared" si="21"/>
        <v>0.3</v>
      </c>
      <c r="OX17" s="221">
        <f t="shared" si="21"/>
        <v>0.22727272727272727</v>
      </c>
      <c r="OY17" s="220">
        <f t="shared" si="21"/>
        <v>0.3</v>
      </c>
      <c r="OZ17" s="221">
        <f t="shared" si="21"/>
        <v>0.22727272727272727</v>
      </c>
      <c r="PA17" s="220">
        <f t="shared" si="21"/>
        <v>0.3</v>
      </c>
      <c r="PB17" s="221">
        <f t="shared" si="21"/>
        <v>0.22727272727272727</v>
      </c>
      <c r="PC17" s="220">
        <f t="shared" si="21"/>
        <v>0.3</v>
      </c>
      <c r="PD17" s="221">
        <f t="shared" si="21"/>
        <v>0.22727272727272727</v>
      </c>
      <c r="PE17" s="220">
        <f t="shared" si="21"/>
        <v>0.3</v>
      </c>
      <c r="PF17" s="221">
        <f t="shared" si="21"/>
        <v>0.22727272727272727</v>
      </c>
      <c r="PG17" s="220">
        <f t="shared" si="21"/>
        <v>0.3</v>
      </c>
      <c r="PH17" s="221">
        <f t="shared" si="21"/>
        <v>0.22727272727272727</v>
      </c>
      <c r="PI17" s="220">
        <f t="shared" si="21"/>
        <v>0.25</v>
      </c>
      <c r="PJ17" s="221">
        <f t="shared" si="21"/>
        <v>0.18939393939393939</v>
      </c>
      <c r="PK17" s="220">
        <f t="shared" si="21"/>
        <v>0.22999999999999998</v>
      </c>
      <c r="PL17" s="221">
        <f t="shared" si="21"/>
        <v>0.17424242424242423</v>
      </c>
      <c r="PM17" s="220">
        <f>+PM13-PM15</f>
        <v>0.24</v>
      </c>
      <c r="PN17" s="221">
        <f>+PN13-PN15</f>
        <v>0.1818181818181818</v>
      </c>
      <c r="PO17" s="220">
        <f>+PO13-PO15</f>
        <v>0.19800000000000001</v>
      </c>
      <c r="PP17" s="221">
        <f>+PP13-PP15</f>
        <v>0.15</v>
      </c>
      <c r="PR17" s="220">
        <f t="shared" ref="PR17:QC17" si="22">+PR13-PR15</f>
        <v>0.7</v>
      </c>
      <c r="PS17" s="221">
        <f t="shared" si="22"/>
        <v>0.53030303030303028</v>
      </c>
      <c r="PT17" s="220">
        <f t="shared" si="22"/>
        <v>0.7</v>
      </c>
      <c r="PU17" s="221">
        <f t="shared" si="22"/>
        <v>0.53030303030303028</v>
      </c>
      <c r="PV17" s="220">
        <f t="shared" si="22"/>
        <v>0.6</v>
      </c>
      <c r="PW17" s="221">
        <f t="shared" si="22"/>
        <v>0.45454545454545453</v>
      </c>
      <c r="PX17" s="220">
        <f t="shared" si="22"/>
        <v>0.6</v>
      </c>
      <c r="PY17" s="221">
        <f t="shared" si="22"/>
        <v>0.45454545454545453</v>
      </c>
      <c r="PZ17" s="220">
        <f t="shared" si="22"/>
        <v>0.5</v>
      </c>
      <c r="QA17" s="221">
        <f t="shared" si="22"/>
        <v>0.37878787878787878</v>
      </c>
      <c r="QB17" s="220">
        <f t="shared" si="22"/>
        <v>0.5</v>
      </c>
      <c r="QC17" s="221">
        <f t="shared" si="22"/>
        <v>0.37878787878787878</v>
      </c>
      <c r="QF17" s="220">
        <f t="shared" ref="QF17:QQ17" si="23">+QF13-QF15</f>
        <v>0.7</v>
      </c>
      <c r="QG17" s="221">
        <f t="shared" si="23"/>
        <v>0.53030303030303028</v>
      </c>
      <c r="QH17" s="220">
        <f t="shared" si="23"/>
        <v>0.7</v>
      </c>
      <c r="QI17" s="221">
        <f t="shared" si="23"/>
        <v>0.53030303030303028</v>
      </c>
      <c r="QJ17" s="220">
        <f t="shared" si="23"/>
        <v>0.6</v>
      </c>
      <c r="QK17" s="221">
        <f t="shared" si="23"/>
        <v>0.45454545454545453</v>
      </c>
      <c r="QL17" s="220">
        <f t="shared" si="23"/>
        <v>0.6</v>
      </c>
      <c r="QM17" s="221">
        <f t="shared" si="23"/>
        <v>0.45454545454545453</v>
      </c>
      <c r="QN17" s="220">
        <f t="shared" si="23"/>
        <v>0.6</v>
      </c>
      <c r="QO17" s="221">
        <f t="shared" si="23"/>
        <v>0.45454545454545453</v>
      </c>
      <c r="QP17" s="220">
        <f t="shared" si="23"/>
        <v>0.6</v>
      </c>
      <c r="QQ17" s="221">
        <f t="shared" si="23"/>
        <v>0.45454545454545453</v>
      </c>
    </row>
    <row r="18" spans="1:459" x14ac:dyDescent="0.45">
      <c r="A18" s="876"/>
      <c r="B18" s="202" t="s">
        <v>327</v>
      </c>
      <c r="C18" s="203"/>
      <c r="D18" s="204"/>
      <c r="E18" s="219"/>
      <c r="F18" s="220">
        <f t="shared" ref="F18:BQ18" si="24">+F17*F8</f>
        <v>12</v>
      </c>
      <c r="G18" s="221">
        <f t="shared" si="24"/>
        <v>9.0909090909090899</v>
      </c>
      <c r="H18" s="220">
        <f t="shared" si="24"/>
        <v>12</v>
      </c>
      <c r="I18" s="221">
        <f t="shared" si="24"/>
        <v>9.0909090909090899</v>
      </c>
      <c r="J18" s="220">
        <f t="shared" si="24"/>
        <v>12</v>
      </c>
      <c r="K18" s="221">
        <f t="shared" si="24"/>
        <v>9.0909090909090899</v>
      </c>
      <c r="L18" s="220">
        <f t="shared" si="24"/>
        <v>12</v>
      </c>
      <c r="M18" s="221">
        <f t="shared" si="24"/>
        <v>9.0909090909090899</v>
      </c>
      <c r="N18" s="220">
        <f t="shared" si="24"/>
        <v>12</v>
      </c>
      <c r="O18" s="221">
        <f t="shared" si="24"/>
        <v>9.0909090909090899</v>
      </c>
      <c r="P18" s="220">
        <f t="shared" si="24"/>
        <v>12.8</v>
      </c>
      <c r="Q18" s="221">
        <f t="shared" si="24"/>
        <v>9.6969696969696972</v>
      </c>
      <c r="R18" s="220">
        <f t="shared" si="24"/>
        <v>12.8</v>
      </c>
      <c r="S18" s="221">
        <f t="shared" si="24"/>
        <v>9.6969696969696972</v>
      </c>
      <c r="T18" s="220">
        <f t="shared" si="24"/>
        <v>12.8</v>
      </c>
      <c r="U18" s="221">
        <f t="shared" si="24"/>
        <v>9.6969696969696972</v>
      </c>
      <c r="V18" s="220">
        <f t="shared" si="24"/>
        <v>13.2</v>
      </c>
      <c r="W18" s="221">
        <f t="shared" si="24"/>
        <v>9.9999999999999982</v>
      </c>
      <c r="X18" s="220">
        <f t="shared" si="24"/>
        <v>13.2</v>
      </c>
      <c r="Y18" s="221">
        <f t="shared" si="24"/>
        <v>9.9999999999999982</v>
      </c>
      <c r="Z18" s="220">
        <f t="shared" si="24"/>
        <v>13.2</v>
      </c>
      <c r="AA18" s="221">
        <f t="shared" si="24"/>
        <v>9.9999999999999982</v>
      </c>
      <c r="AB18" s="220">
        <f t="shared" si="24"/>
        <v>13.2</v>
      </c>
      <c r="AC18" s="221">
        <f t="shared" si="24"/>
        <v>9.9999999999999982</v>
      </c>
      <c r="AD18" s="220">
        <f t="shared" si="24"/>
        <v>14</v>
      </c>
      <c r="AE18" s="221">
        <f t="shared" si="24"/>
        <v>10.606060606060606</v>
      </c>
      <c r="AF18" s="220">
        <f t="shared" si="24"/>
        <v>14</v>
      </c>
      <c r="AG18" s="221">
        <f t="shared" si="24"/>
        <v>10</v>
      </c>
      <c r="AH18" s="220">
        <f t="shared" si="24"/>
        <v>14</v>
      </c>
      <c r="AI18" s="221">
        <f t="shared" si="24"/>
        <v>10.606060606060606</v>
      </c>
      <c r="AJ18" s="220">
        <f t="shared" si="24"/>
        <v>14</v>
      </c>
      <c r="AK18" s="221">
        <f t="shared" si="24"/>
        <v>10.606060606060606</v>
      </c>
      <c r="AL18" s="220">
        <f t="shared" si="24"/>
        <v>14</v>
      </c>
      <c r="AM18" s="221">
        <f t="shared" si="24"/>
        <v>10.606060606060606</v>
      </c>
      <c r="AN18" s="220">
        <f t="shared" si="24"/>
        <v>14</v>
      </c>
      <c r="AO18" s="221">
        <f t="shared" si="24"/>
        <v>10.606060606060606</v>
      </c>
      <c r="AP18" s="220">
        <f t="shared" si="24"/>
        <v>14</v>
      </c>
      <c r="AQ18" s="221">
        <f t="shared" si="24"/>
        <v>10.606060606060606</v>
      </c>
      <c r="AR18" s="220">
        <f t="shared" si="24"/>
        <v>14</v>
      </c>
      <c r="AS18" s="221">
        <f t="shared" si="24"/>
        <v>10.606060606060606</v>
      </c>
      <c r="AT18" s="220">
        <f t="shared" si="24"/>
        <v>14</v>
      </c>
      <c r="AU18" s="221">
        <f t="shared" si="24"/>
        <v>10.606060606060606</v>
      </c>
      <c r="AV18" s="220">
        <f t="shared" si="24"/>
        <v>14</v>
      </c>
      <c r="AW18" s="221">
        <f t="shared" si="24"/>
        <v>10.606060606060606</v>
      </c>
      <c r="AX18" s="220">
        <f t="shared" si="24"/>
        <v>14</v>
      </c>
      <c r="AY18" s="221">
        <f t="shared" si="24"/>
        <v>10.606060606060606</v>
      </c>
      <c r="AZ18" s="220">
        <f t="shared" si="24"/>
        <v>14</v>
      </c>
      <c r="BA18" s="221">
        <f t="shared" si="24"/>
        <v>10.606060606060606</v>
      </c>
      <c r="BB18" s="220">
        <f t="shared" si="24"/>
        <v>14</v>
      </c>
      <c r="BC18" s="221">
        <f t="shared" si="24"/>
        <v>10.606060606060606</v>
      </c>
      <c r="BD18" s="220">
        <f t="shared" si="24"/>
        <v>14</v>
      </c>
      <c r="BE18" s="221">
        <f t="shared" si="24"/>
        <v>10.606060606060606</v>
      </c>
      <c r="BF18" s="220">
        <f t="shared" si="24"/>
        <v>14</v>
      </c>
      <c r="BG18" s="221">
        <f t="shared" si="24"/>
        <v>10.606060606060606</v>
      </c>
      <c r="BH18" s="220">
        <f t="shared" si="24"/>
        <v>14</v>
      </c>
      <c r="BI18" s="221">
        <f t="shared" si="24"/>
        <v>10.606060606060606</v>
      </c>
      <c r="BJ18" s="220">
        <f t="shared" si="24"/>
        <v>14</v>
      </c>
      <c r="BK18" s="221">
        <f t="shared" si="24"/>
        <v>10.606060606060606</v>
      </c>
      <c r="BL18" s="220">
        <f t="shared" si="24"/>
        <v>14</v>
      </c>
      <c r="BM18" s="221">
        <f t="shared" si="24"/>
        <v>10.606060606060606</v>
      </c>
      <c r="BN18" s="220">
        <f t="shared" si="24"/>
        <v>14</v>
      </c>
      <c r="BO18" s="221">
        <f t="shared" si="24"/>
        <v>10.606060606060606</v>
      </c>
      <c r="BP18" s="220">
        <f t="shared" si="24"/>
        <v>14</v>
      </c>
      <c r="BQ18" s="221">
        <f t="shared" si="24"/>
        <v>10.606060606060606</v>
      </c>
      <c r="BR18" s="220">
        <f t="shared" ref="BR18:CS18" si="25">+BR17*BR8</f>
        <v>14</v>
      </c>
      <c r="BS18" s="221">
        <f t="shared" si="25"/>
        <v>10.606060606060606</v>
      </c>
      <c r="BT18" s="220">
        <f t="shared" si="25"/>
        <v>14</v>
      </c>
      <c r="BU18" s="221">
        <f t="shared" si="25"/>
        <v>10.606060606060606</v>
      </c>
      <c r="BV18" s="220">
        <f t="shared" si="25"/>
        <v>14</v>
      </c>
      <c r="BW18" s="221">
        <f t="shared" si="25"/>
        <v>10.606060606060606</v>
      </c>
      <c r="BX18" s="220">
        <f t="shared" si="25"/>
        <v>14</v>
      </c>
      <c r="BY18" s="221">
        <f t="shared" si="25"/>
        <v>10.606060606060606</v>
      </c>
      <c r="BZ18" s="220">
        <f t="shared" si="25"/>
        <v>14</v>
      </c>
      <c r="CA18" s="221">
        <f t="shared" si="25"/>
        <v>10.606060606060606</v>
      </c>
      <c r="CB18" s="220">
        <f t="shared" si="25"/>
        <v>14</v>
      </c>
      <c r="CC18" s="221">
        <f t="shared" si="25"/>
        <v>10.606060606060606</v>
      </c>
      <c r="CD18" s="220">
        <f t="shared" si="25"/>
        <v>14</v>
      </c>
      <c r="CE18" s="221">
        <f t="shared" si="25"/>
        <v>10.606060606060606</v>
      </c>
      <c r="CF18" s="220">
        <f t="shared" si="25"/>
        <v>14</v>
      </c>
      <c r="CG18" s="221">
        <f t="shared" si="25"/>
        <v>10.606060606060606</v>
      </c>
      <c r="CH18" s="220">
        <f t="shared" si="25"/>
        <v>14</v>
      </c>
      <c r="CI18" s="221">
        <f t="shared" si="25"/>
        <v>10.606060606060606</v>
      </c>
      <c r="CJ18" s="220">
        <f t="shared" si="25"/>
        <v>14</v>
      </c>
      <c r="CK18" s="221">
        <f t="shared" si="25"/>
        <v>10.606060606060606</v>
      </c>
      <c r="CL18" s="220">
        <f t="shared" si="25"/>
        <v>14</v>
      </c>
      <c r="CM18" s="221">
        <f t="shared" si="25"/>
        <v>10.606060606060606</v>
      </c>
      <c r="CN18" s="220">
        <f t="shared" si="25"/>
        <v>12.4</v>
      </c>
      <c r="CO18" s="221">
        <f t="shared" si="25"/>
        <v>9.3939393939393927</v>
      </c>
      <c r="CP18" s="220">
        <f t="shared" si="25"/>
        <v>12.4</v>
      </c>
      <c r="CQ18" s="221">
        <f t="shared" si="25"/>
        <v>9.3939393939393927</v>
      </c>
      <c r="CR18" s="220">
        <f t="shared" si="25"/>
        <v>13.2</v>
      </c>
      <c r="CS18" s="221">
        <f t="shared" si="25"/>
        <v>9.9999999999999982</v>
      </c>
      <c r="CT18" s="209"/>
      <c r="CU18" s="220">
        <f t="shared" ref="CU18:FF18" si="26">+CU17*CU8</f>
        <v>17.399999999999999</v>
      </c>
      <c r="CV18" s="221">
        <f t="shared" si="26"/>
        <v>13.18181818181818</v>
      </c>
      <c r="CW18" s="220">
        <f t="shared" si="26"/>
        <v>17.399999999999999</v>
      </c>
      <c r="CX18" s="221">
        <f t="shared" si="26"/>
        <v>13.18181818181818</v>
      </c>
      <c r="CY18" s="220">
        <f t="shared" si="26"/>
        <v>17.399999999999999</v>
      </c>
      <c r="CZ18" s="221">
        <f t="shared" si="26"/>
        <v>13.18181818181818</v>
      </c>
      <c r="DA18" s="220">
        <f t="shared" si="26"/>
        <v>18</v>
      </c>
      <c r="DB18" s="221">
        <f t="shared" si="26"/>
        <v>13.636363636363637</v>
      </c>
      <c r="DC18" s="220">
        <f t="shared" si="26"/>
        <v>19.799999999999997</v>
      </c>
      <c r="DD18" s="221">
        <f t="shared" si="26"/>
        <v>14.999999999999996</v>
      </c>
      <c r="DE18" s="220">
        <f t="shared" si="26"/>
        <v>19.799999999999997</v>
      </c>
      <c r="DF18" s="221">
        <f t="shared" si="26"/>
        <v>14.142857142857142</v>
      </c>
      <c r="DG18" s="220">
        <f t="shared" si="26"/>
        <v>19.799999999999997</v>
      </c>
      <c r="DH18" s="221">
        <f t="shared" si="26"/>
        <v>14.999999999999996</v>
      </c>
      <c r="DI18" s="220">
        <f t="shared" si="26"/>
        <v>19.799999999999997</v>
      </c>
      <c r="DJ18" s="221">
        <f t="shared" si="26"/>
        <v>14.999999999999996</v>
      </c>
      <c r="DK18" s="220">
        <f t="shared" si="26"/>
        <v>19.799999999999997</v>
      </c>
      <c r="DL18" s="221">
        <f t="shared" si="26"/>
        <v>14.999999999999996</v>
      </c>
      <c r="DM18" s="220">
        <f t="shared" si="26"/>
        <v>19.799999999999997</v>
      </c>
      <c r="DN18" s="221">
        <f t="shared" si="26"/>
        <v>14.999999999999996</v>
      </c>
      <c r="DO18" s="220">
        <f t="shared" si="26"/>
        <v>19.799999999999997</v>
      </c>
      <c r="DP18" s="221">
        <f t="shared" si="26"/>
        <v>14.999999999999996</v>
      </c>
      <c r="DQ18" s="220">
        <f t="shared" si="26"/>
        <v>19.799999999999997</v>
      </c>
      <c r="DR18" s="221">
        <f t="shared" si="26"/>
        <v>14.999999999999996</v>
      </c>
      <c r="DS18" s="220">
        <f t="shared" si="26"/>
        <v>19.799999999999997</v>
      </c>
      <c r="DT18" s="221">
        <f t="shared" si="26"/>
        <v>14.999999999999996</v>
      </c>
      <c r="DU18" s="220">
        <f t="shared" si="26"/>
        <v>19.799999999999997</v>
      </c>
      <c r="DV18" s="221">
        <f t="shared" si="26"/>
        <v>14.999999999999996</v>
      </c>
      <c r="DW18" s="220">
        <f t="shared" si="26"/>
        <v>19.799999999999997</v>
      </c>
      <c r="DX18" s="221">
        <f t="shared" si="26"/>
        <v>14.999999999999996</v>
      </c>
      <c r="DY18" s="220">
        <f t="shared" si="26"/>
        <v>19.799999999999997</v>
      </c>
      <c r="DZ18" s="221">
        <f t="shared" si="26"/>
        <v>14.999999999999996</v>
      </c>
      <c r="EA18" s="220">
        <f t="shared" si="26"/>
        <v>19.799999999999997</v>
      </c>
      <c r="EB18" s="221">
        <f t="shared" si="26"/>
        <v>14.999999999999996</v>
      </c>
      <c r="EC18" s="220">
        <f t="shared" si="26"/>
        <v>19.799999999999997</v>
      </c>
      <c r="ED18" s="221">
        <f t="shared" si="26"/>
        <v>14.999999999999996</v>
      </c>
      <c r="EE18" s="220">
        <f t="shared" si="26"/>
        <v>19.799999999999997</v>
      </c>
      <c r="EF18" s="221">
        <f t="shared" si="26"/>
        <v>14.999999999999996</v>
      </c>
      <c r="EG18" s="220">
        <f t="shared" si="26"/>
        <v>19.799999999999997</v>
      </c>
      <c r="EH18" s="221">
        <f t="shared" si="26"/>
        <v>14.999999999999996</v>
      </c>
      <c r="EI18" s="220">
        <f t="shared" si="26"/>
        <v>19.799999999999997</v>
      </c>
      <c r="EJ18" s="221">
        <f t="shared" si="26"/>
        <v>14.999999999999996</v>
      </c>
      <c r="EK18" s="220">
        <f t="shared" si="26"/>
        <v>19.799999999999997</v>
      </c>
      <c r="EL18" s="221">
        <f t="shared" si="26"/>
        <v>14.999999999999996</v>
      </c>
      <c r="EM18" s="220">
        <f t="shared" si="26"/>
        <v>19.799999999999997</v>
      </c>
      <c r="EN18" s="221">
        <f t="shared" si="26"/>
        <v>14.999999999999996</v>
      </c>
      <c r="EO18" s="220">
        <f t="shared" si="26"/>
        <v>19.799999999999997</v>
      </c>
      <c r="EP18" s="221">
        <f t="shared" si="26"/>
        <v>14.999999999999996</v>
      </c>
      <c r="EQ18" s="220">
        <f t="shared" si="26"/>
        <v>19.799999999999997</v>
      </c>
      <c r="ER18" s="221">
        <f t="shared" si="26"/>
        <v>14.999999999999996</v>
      </c>
      <c r="ES18" s="220">
        <f t="shared" si="26"/>
        <v>19.799999999999997</v>
      </c>
      <c r="ET18" s="221">
        <f t="shared" si="26"/>
        <v>14.999999999999996</v>
      </c>
      <c r="EU18" s="220">
        <f t="shared" si="26"/>
        <v>19.799999999999997</v>
      </c>
      <c r="EV18" s="221">
        <f t="shared" si="26"/>
        <v>14.999999999999996</v>
      </c>
      <c r="EW18" s="220">
        <f t="shared" si="26"/>
        <v>19.799999999999997</v>
      </c>
      <c r="EX18" s="221">
        <f t="shared" si="26"/>
        <v>14.999999999999996</v>
      </c>
      <c r="EY18" s="220">
        <f t="shared" si="26"/>
        <v>19.799999999999997</v>
      </c>
      <c r="EZ18" s="221">
        <f t="shared" si="26"/>
        <v>14.999999999999996</v>
      </c>
      <c r="FA18" s="220">
        <f t="shared" si="26"/>
        <v>19.799999999999997</v>
      </c>
      <c r="FB18" s="221">
        <f t="shared" si="26"/>
        <v>14.999999999999996</v>
      </c>
      <c r="FC18" s="220">
        <f t="shared" si="26"/>
        <v>19.799999999999997</v>
      </c>
      <c r="FD18" s="221">
        <f t="shared" si="26"/>
        <v>14.999999999999996</v>
      </c>
      <c r="FE18" s="220">
        <f t="shared" si="26"/>
        <v>19.799999999999997</v>
      </c>
      <c r="FF18" s="221">
        <f t="shared" si="26"/>
        <v>14.999999999999996</v>
      </c>
      <c r="FG18" s="220">
        <f t="shared" ref="FG18:FP18" si="27">+FG17*FG8</f>
        <v>19.799999999999997</v>
      </c>
      <c r="FH18" s="221">
        <f t="shared" si="27"/>
        <v>14.999999999999996</v>
      </c>
      <c r="FI18" s="220">
        <f t="shared" si="27"/>
        <v>19.799999999999997</v>
      </c>
      <c r="FJ18" s="221">
        <f t="shared" si="27"/>
        <v>14.999999999999996</v>
      </c>
      <c r="FK18" s="220">
        <f t="shared" si="27"/>
        <v>19.799999999999997</v>
      </c>
      <c r="FL18" s="221">
        <f t="shared" si="27"/>
        <v>14.999999999999996</v>
      </c>
      <c r="FM18" s="220">
        <f t="shared" si="27"/>
        <v>18.3</v>
      </c>
      <c r="FN18" s="221">
        <f t="shared" si="27"/>
        <v>13.863636363636363</v>
      </c>
      <c r="FO18" s="220">
        <f t="shared" si="27"/>
        <v>18.3</v>
      </c>
      <c r="FP18" s="221">
        <f t="shared" si="27"/>
        <v>13.863636363636363</v>
      </c>
      <c r="FQ18" s="219"/>
      <c r="FR18" s="220">
        <f t="shared" ref="FR18:IC18" si="28">+FR17*FR8</f>
        <v>12</v>
      </c>
      <c r="FS18" s="221">
        <f t="shared" si="28"/>
        <v>9.0909090909090899</v>
      </c>
      <c r="FT18" s="220">
        <f t="shared" si="28"/>
        <v>12</v>
      </c>
      <c r="FU18" s="221">
        <f t="shared" si="28"/>
        <v>9.0909090909090899</v>
      </c>
      <c r="FV18" s="220">
        <f t="shared" si="28"/>
        <v>12.8</v>
      </c>
      <c r="FW18" s="221">
        <f t="shared" si="28"/>
        <v>9.6969696969696972</v>
      </c>
      <c r="FX18" s="220">
        <f t="shared" si="28"/>
        <v>12.8</v>
      </c>
      <c r="FY18" s="221">
        <f t="shared" si="28"/>
        <v>9.6969696969696972</v>
      </c>
      <c r="FZ18" s="220">
        <f t="shared" si="28"/>
        <v>12.8</v>
      </c>
      <c r="GA18" s="221">
        <f t="shared" si="28"/>
        <v>9.6969696969696972</v>
      </c>
      <c r="GB18" s="220">
        <f t="shared" si="28"/>
        <v>13.2</v>
      </c>
      <c r="GC18" s="221">
        <f t="shared" si="28"/>
        <v>9.9999999999999982</v>
      </c>
      <c r="GD18" s="220">
        <f t="shared" si="28"/>
        <v>13.2</v>
      </c>
      <c r="GE18" s="221">
        <f t="shared" si="28"/>
        <v>9.9999999999999982</v>
      </c>
      <c r="GF18" s="220">
        <f t="shared" si="28"/>
        <v>13.2</v>
      </c>
      <c r="GG18" s="221">
        <f t="shared" si="28"/>
        <v>9.9999999999999982</v>
      </c>
      <c r="GH18" s="220">
        <f t="shared" si="28"/>
        <v>13.2</v>
      </c>
      <c r="GI18" s="221">
        <f t="shared" si="28"/>
        <v>9.9999999999999982</v>
      </c>
      <c r="GJ18" s="220">
        <f t="shared" si="28"/>
        <v>15.2</v>
      </c>
      <c r="GK18" s="221">
        <f t="shared" si="28"/>
        <v>11.515151515151514</v>
      </c>
      <c r="GL18" s="220">
        <f t="shared" si="28"/>
        <v>15.2</v>
      </c>
      <c r="GM18" s="221">
        <f t="shared" si="28"/>
        <v>10.857142857142858</v>
      </c>
      <c r="GN18" s="220">
        <f t="shared" si="28"/>
        <v>15.2</v>
      </c>
      <c r="GO18" s="221">
        <f t="shared" si="28"/>
        <v>11.515151515151514</v>
      </c>
      <c r="GP18" s="220">
        <f t="shared" si="28"/>
        <v>15.2</v>
      </c>
      <c r="GQ18" s="221">
        <f t="shared" si="28"/>
        <v>11.515151515151514</v>
      </c>
      <c r="GR18" s="220">
        <f t="shared" si="28"/>
        <v>15.2</v>
      </c>
      <c r="GS18" s="221">
        <f t="shared" si="28"/>
        <v>11.515151515151514</v>
      </c>
      <c r="GT18" s="220">
        <f t="shared" si="28"/>
        <v>15.2</v>
      </c>
      <c r="GU18" s="221">
        <f t="shared" si="28"/>
        <v>11.515151515151514</v>
      </c>
      <c r="GV18" s="220">
        <f t="shared" si="28"/>
        <v>15.2</v>
      </c>
      <c r="GW18" s="221">
        <f t="shared" si="28"/>
        <v>11.515151515151514</v>
      </c>
      <c r="GX18" s="220">
        <f t="shared" si="28"/>
        <v>15.2</v>
      </c>
      <c r="GY18" s="221">
        <f t="shared" si="28"/>
        <v>11.515151515151514</v>
      </c>
      <c r="GZ18" s="220">
        <f t="shared" si="28"/>
        <v>15.2</v>
      </c>
      <c r="HA18" s="221">
        <f t="shared" si="28"/>
        <v>11.515151515151514</v>
      </c>
      <c r="HB18" s="220">
        <f t="shared" si="28"/>
        <v>15.2</v>
      </c>
      <c r="HC18" s="221">
        <f t="shared" si="28"/>
        <v>11.515151515151514</v>
      </c>
      <c r="HD18" s="220">
        <f t="shared" si="28"/>
        <v>15.2</v>
      </c>
      <c r="HE18" s="221">
        <f t="shared" si="28"/>
        <v>11.515151515151514</v>
      </c>
      <c r="HF18" s="220">
        <f t="shared" si="28"/>
        <v>15.2</v>
      </c>
      <c r="HG18" s="221">
        <f t="shared" si="28"/>
        <v>11.515151515151514</v>
      </c>
      <c r="HH18" s="220">
        <f t="shared" si="28"/>
        <v>15.2</v>
      </c>
      <c r="HI18" s="221">
        <f t="shared" si="28"/>
        <v>11.515151515151514</v>
      </c>
      <c r="HJ18" s="220">
        <f t="shared" si="28"/>
        <v>15.2</v>
      </c>
      <c r="HK18" s="221">
        <f t="shared" si="28"/>
        <v>11.515151515151514</v>
      </c>
      <c r="HL18" s="220">
        <f t="shared" si="28"/>
        <v>15.2</v>
      </c>
      <c r="HM18" s="221">
        <f t="shared" si="28"/>
        <v>11.515151515151514</v>
      </c>
      <c r="HN18" s="220">
        <f t="shared" si="28"/>
        <v>15.2</v>
      </c>
      <c r="HO18" s="221">
        <f t="shared" si="28"/>
        <v>11.515151515151514</v>
      </c>
      <c r="HP18" s="220">
        <f t="shared" si="28"/>
        <v>15.2</v>
      </c>
      <c r="HQ18" s="221">
        <f t="shared" si="28"/>
        <v>11.515151515151514</v>
      </c>
      <c r="HR18" s="220">
        <f t="shared" si="28"/>
        <v>15.2</v>
      </c>
      <c r="HS18" s="221">
        <f t="shared" si="28"/>
        <v>11.515151515151514</v>
      </c>
      <c r="HT18" s="220">
        <f t="shared" si="28"/>
        <v>15.2</v>
      </c>
      <c r="HU18" s="221">
        <f t="shared" si="28"/>
        <v>11.515151515151514</v>
      </c>
      <c r="HV18" s="220">
        <f t="shared" si="28"/>
        <v>15.2</v>
      </c>
      <c r="HW18" s="221">
        <f t="shared" si="28"/>
        <v>11.515151515151514</v>
      </c>
      <c r="HX18" s="220">
        <f t="shared" si="28"/>
        <v>15.2</v>
      </c>
      <c r="HY18" s="221">
        <f t="shared" si="28"/>
        <v>11.515151515151514</v>
      </c>
      <c r="HZ18" s="220">
        <f t="shared" si="28"/>
        <v>15.2</v>
      </c>
      <c r="IA18" s="221">
        <f t="shared" si="28"/>
        <v>11.515151515151514</v>
      </c>
      <c r="IB18" s="220">
        <f t="shared" si="28"/>
        <v>15.2</v>
      </c>
      <c r="IC18" s="221">
        <f t="shared" si="28"/>
        <v>11.515151515151514</v>
      </c>
      <c r="ID18" s="220">
        <f t="shared" ref="ID18:IY18" si="29">+ID17*ID8</f>
        <v>15.2</v>
      </c>
      <c r="IE18" s="221">
        <f t="shared" si="29"/>
        <v>11.515151515151514</v>
      </c>
      <c r="IF18" s="220">
        <f t="shared" si="29"/>
        <v>15.2</v>
      </c>
      <c r="IG18" s="221">
        <f t="shared" si="29"/>
        <v>11.515151515151514</v>
      </c>
      <c r="IH18" s="220">
        <f t="shared" si="29"/>
        <v>15.2</v>
      </c>
      <c r="II18" s="221">
        <f t="shared" si="29"/>
        <v>11.515151515151514</v>
      </c>
      <c r="IJ18" s="220">
        <f t="shared" si="29"/>
        <v>15.2</v>
      </c>
      <c r="IK18" s="221">
        <f t="shared" si="29"/>
        <v>11.515151515151514</v>
      </c>
      <c r="IL18" s="220">
        <f t="shared" si="29"/>
        <v>15.2</v>
      </c>
      <c r="IM18" s="221">
        <f t="shared" si="29"/>
        <v>11.515151515151514</v>
      </c>
      <c r="IN18" s="220">
        <f t="shared" si="29"/>
        <v>15.2</v>
      </c>
      <c r="IO18" s="221">
        <f t="shared" si="29"/>
        <v>11.515151515151514</v>
      </c>
      <c r="IP18" s="220">
        <f t="shared" si="29"/>
        <v>15.2</v>
      </c>
      <c r="IQ18" s="221">
        <f t="shared" si="29"/>
        <v>11.515151515151514</v>
      </c>
      <c r="IR18" s="220">
        <f t="shared" si="29"/>
        <v>15.2</v>
      </c>
      <c r="IS18" s="221">
        <f t="shared" si="29"/>
        <v>11.515151515151514</v>
      </c>
      <c r="IT18" s="220">
        <f t="shared" si="29"/>
        <v>15.2</v>
      </c>
      <c r="IU18" s="221">
        <f t="shared" si="29"/>
        <v>11.515151515151514</v>
      </c>
      <c r="IV18" s="220">
        <f t="shared" si="29"/>
        <v>13.599999999999998</v>
      </c>
      <c r="IW18" s="221">
        <f t="shared" si="29"/>
        <v>10.303030303030301</v>
      </c>
      <c r="IX18" s="220">
        <f t="shared" si="29"/>
        <v>13.599999999999998</v>
      </c>
      <c r="IY18" s="221">
        <f t="shared" si="29"/>
        <v>10.303030303030301</v>
      </c>
      <c r="IZ18" s="219"/>
      <c r="JA18" s="220">
        <f>+JA17*JA8</f>
        <v>13.599999999999998</v>
      </c>
      <c r="JB18" s="221">
        <f>+JB17*JB8</f>
        <v>10.149253731343283</v>
      </c>
      <c r="JC18" s="220">
        <f>+JC17*JC8</f>
        <v>14.399999999999999</v>
      </c>
      <c r="JD18" s="221">
        <f>+JD17*JD8</f>
        <v>10.746268656716417</v>
      </c>
      <c r="JE18" s="219"/>
      <c r="JF18" s="220">
        <f t="shared" ref="JF18:LQ18" si="30">+JF17*JF8</f>
        <v>11.2</v>
      </c>
      <c r="JG18" s="221">
        <f t="shared" si="30"/>
        <v>8.4848484848484844</v>
      </c>
      <c r="JH18" s="220">
        <f t="shared" si="30"/>
        <v>11.2</v>
      </c>
      <c r="JI18" s="221">
        <f t="shared" si="30"/>
        <v>8.4848484848484844</v>
      </c>
      <c r="JJ18" s="220">
        <f t="shared" si="30"/>
        <v>12</v>
      </c>
      <c r="JK18" s="221">
        <f t="shared" si="30"/>
        <v>9.0909090909090899</v>
      </c>
      <c r="JL18" s="220">
        <f t="shared" si="30"/>
        <v>12</v>
      </c>
      <c r="JM18" s="221">
        <f t="shared" si="30"/>
        <v>9.0909090909090899</v>
      </c>
      <c r="JN18" s="220">
        <f t="shared" si="30"/>
        <v>12</v>
      </c>
      <c r="JO18" s="221">
        <f t="shared" si="30"/>
        <v>9.0909090909090899</v>
      </c>
      <c r="JP18" s="220">
        <f t="shared" si="30"/>
        <v>12.4</v>
      </c>
      <c r="JQ18" s="221">
        <f t="shared" si="30"/>
        <v>9.3939393939393927</v>
      </c>
      <c r="JR18" s="220">
        <f t="shared" si="30"/>
        <v>12.4</v>
      </c>
      <c r="JS18" s="221">
        <f t="shared" si="30"/>
        <v>9.3939393939393927</v>
      </c>
      <c r="JT18" s="220">
        <f t="shared" si="30"/>
        <v>12.4</v>
      </c>
      <c r="JU18" s="221">
        <f t="shared" si="30"/>
        <v>9.3939393939393927</v>
      </c>
      <c r="JV18" s="220">
        <f t="shared" si="30"/>
        <v>12.4</v>
      </c>
      <c r="JW18" s="221">
        <f t="shared" si="30"/>
        <v>8.8571428571428577</v>
      </c>
      <c r="JX18" s="220">
        <f t="shared" si="30"/>
        <v>12.4</v>
      </c>
      <c r="JY18" s="221">
        <f t="shared" si="30"/>
        <v>9.3939393939393927</v>
      </c>
      <c r="JZ18" s="220">
        <f t="shared" si="30"/>
        <v>12.4</v>
      </c>
      <c r="KA18" s="221">
        <f t="shared" si="30"/>
        <v>9.3939393939393927</v>
      </c>
      <c r="KB18" s="220">
        <f t="shared" si="30"/>
        <v>12.4</v>
      </c>
      <c r="KC18" s="221">
        <f t="shared" si="30"/>
        <v>9.3939393939393927</v>
      </c>
      <c r="KD18" s="220">
        <f t="shared" si="30"/>
        <v>12.4</v>
      </c>
      <c r="KE18" s="221">
        <f t="shared" si="30"/>
        <v>9.3939393939393927</v>
      </c>
      <c r="KF18" s="220">
        <f t="shared" si="30"/>
        <v>12.4</v>
      </c>
      <c r="KG18" s="221">
        <f t="shared" si="30"/>
        <v>9.3939393939393927</v>
      </c>
      <c r="KH18" s="220">
        <f t="shared" si="30"/>
        <v>12.4</v>
      </c>
      <c r="KI18" s="221">
        <f t="shared" si="30"/>
        <v>9.3939393939393927</v>
      </c>
      <c r="KJ18" s="220">
        <f t="shared" si="30"/>
        <v>12.4</v>
      </c>
      <c r="KK18" s="221">
        <f t="shared" si="30"/>
        <v>9.3939393939393927</v>
      </c>
      <c r="KL18" s="220">
        <f t="shared" si="30"/>
        <v>12.4</v>
      </c>
      <c r="KM18" s="221">
        <f t="shared" si="30"/>
        <v>9.3939393939393927</v>
      </c>
      <c r="KN18" s="220">
        <f t="shared" si="30"/>
        <v>12.4</v>
      </c>
      <c r="KO18" s="221">
        <f t="shared" si="30"/>
        <v>9.3939393939393927</v>
      </c>
      <c r="KP18" s="220">
        <f t="shared" si="30"/>
        <v>12.4</v>
      </c>
      <c r="KQ18" s="221">
        <f t="shared" si="30"/>
        <v>9.3939393939393927</v>
      </c>
      <c r="KR18" s="220">
        <f t="shared" si="30"/>
        <v>12.4</v>
      </c>
      <c r="KS18" s="221">
        <f t="shared" si="30"/>
        <v>9.3939393939393927</v>
      </c>
      <c r="KT18" s="220">
        <f t="shared" si="30"/>
        <v>12.4</v>
      </c>
      <c r="KU18" s="221">
        <f t="shared" si="30"/>
        <v>9.3939393939393927</v>
      </c>
      <c r="KV18" s="220">
        <f t="shared" si="30"/>
        <v>12.4</v>
      </c>
      <c r="KW18" s="221">
        <f t="shared" si="30"/>
        <v>9.3939393939393927</v>
      </c>
      <c r="KX18" s="220">
        <f t="shared" si="30"/>
        <v>12.4</v>
      </c>
      <c r="KY18" s="221">
        <f t="shared" si="30"/>
        <v>9.3939393939393927</v>
      </c>
      <c r="KZ18" s="220">
        <f t="shared" si="30"/>
        <v>12.4</v>
      </c>
      <c r="LA18" s="221">
        <f t="shared" si="30"/>
        <v>9.3939393939393927</v>
      </c>
      <c r="LB18" s="220">
        <f t="shared" si="30"/>
        <v>12</v>
      </c>
      <c r="LC18" s="221">
        <f t="shared" si="30"/>
        <v>9.0909090909090899</v>
      </c>
      <c r="LD18" s="220">
        <f t="shared" si="30"/>
        <v>12.4</v>
      </c>
      <c r="LE18" s="221">
        <f t="shared" si="30"/>
        <v>9.3939393939393927</v>
      </c>
      <c r="LF18" s="220">
        <f t="shared" si="30"/>
        <v>12.4</v>
      </c>
      <c r="LG18" s="221">
        <f t="shared" si="30"/>
        <v>9.3939393939393927</v>
      </c>
      <c r="LH18" s="220">
        <f t="shared" si="30"/>
        <v>12.4</v>
      </c>
      <c r="LI18" s="221">
        <f t="shared" si="30"/>
        <v>9.3939393939393927</v>
      </c>
      <c r="LJ18" s="220">
        <f t="shared" si="30"/>
        <v>12.4</v>
      </c>
      <c r="LK18" s="221">
        <f t="shared" si="30"/>
        <v>9.3939393939393927</v>
      </c>
      <c r="LL18" s="220">
        <f t="shared" si="30"/>
        <v>12.4</v>
      </c>
      <c r="LM18" s="221">
        <f t="shared" si="30"/>
        <v>9.3939393939393927</v>
      </c>
      <c r="LN18" s="220">
        <f t="shared" si="30"/>
        <v>12.4</v>
      </c>
      <c r="LO18" s="221">
        <f t="shared" si="30"/>
        <v>9.3939393939393927</v>
      </c>
      <c r="LP18" s="220">
        <f t="shared" si="30"/>
        <v>12.4</v>
      </c>
      <c r="LQ18" s="221">
        <f t="shared" si="30"/>
        <v>9.3939393939393927</v>
      </c>
      <c r="LR18" s="220">
        <f t="shared" ref="LR18:MG18" si="31">+LR17*LR8</f>
        <v>12.4</v>
      </c>
      <c r="LS18" s="221">
        <f t="shared" si="31"/>
        <v>9.3939393939393927</v>
      </c>
      <c r="LT18" s="220">
        <f t="shared" si="31"/>
        <v>12</v>
      </c>
      <c r="LU18" s="221">
        <f t="shared" si="31"/>
        <v>9.0909090909090899</v>
      </c>
      <c r="LV18" s="220">
        <f t="shared" si="31"/>
        <v>12</v>
      </c>
      <c r="LW18" s="221">
        <f t="shared" si="31"/>
        <v>9.0909090909090899</v>
      </c>
      <c r="LX18" s="220">
        <f t="shared" si="31"/>
        <v>12</v>
      </c>
      <c r="LY18" s="221">
        <f t="shared" si="31"/>
        <v>9.0909090909090899</v>
      </c>
      <c r="LZ18" s="220">
        <f t="shared" si="31"/>
        <v>12</v>
      </c>
      <c r="MA18" s="221">
        <f t="shared" si="31"/>
        <v>9.0909090909090899</v>
      </c>
      <c r="MB18" s="220">
        <f t="shared" si="31"/>
        <v>12</v>
      </c>
      <c r="MC18" s="221">
        <f t="shared" si="31"/>
        <v>9.0909090909090899</v>
      </c>
      <c r="MD18" s="220">
        <f t="shared" si="31"/>
        <v>12</v>
      </c>
      <c r="ME18" s="221">
        <f t="shared" si="31"/>
        <v>9.0909090909090899</v>
      </c>
      <c r="MF18" s="220">
        <f t="shared" si="31"/>
        <v>9.6</v>
      </c>
      <c r="MG18" s="221">
        <f t="shared" si="31"/>
        <v>7.2727272727272716</v>
      </c>
      <c r="MH18" s="219"/>
      <c r="MI18" s="220">
        <f t="shared" ref="MI18:OT18" si="32">+MI17*MI8</f>
        <v>9.6</v>
      </c>
      <c r="MJ18" s="221">
        <f t="shared" si="32"/>
        <v>7.2727272727272716</v>
      </c>
      <c r="MK18" s="220">
        <f t="shared" si="32"/>
        <v>9.6</v>
      </c>
      <c r="ML18" s="221">
        <f t="shared" si="32"/>
        <v>7.2727272727272716</v>
      </c>
      <c r="MM18" s="220">
        <f t="shared" si="32"/>
        <v>9.6</v>
      </c>
      <c r="MN18" s="221">
        <f t="shared" si="32"/>
        <v>7.2727272727272716</v>
      </c>
      <c r="MO18" s="220">
        <f t="shared" si="32"/>
        <v>9.6</v>
      </c>
      <c r="MP18" s="221">
        <f t="shared" si="32"/>
        <v>7.2727272727272716</v>
      </c>
      <c r="MQ18" s="220">
        <f t="shared" si="32"/>
        <v>9.6</v>
      </c>
      <c r="MR18" s="221">
        <f t="shared" si="32"/>
        <v>7.2727272727272716</v>
      </c>
      <c r="MS18" s="220">
        <f t="shared" si="32"/>
        <v>10</v>
      </c>
      <c r="MT18" s="221">
        <f t="shared" si="32"/>
        <v>7.5757575757575761</v>
      </c>
      <c r="MU18" s="220">
        <f t="shared" si="32"/>
        <v>10.4</v>
      </c>
      <c r="MV18" s="221">
        <f t="shared" si="32"/>
        <v>7.8787878787878789</v>
      </c>
      <c r="MW18" s="220">
        <f t="shared" si="32"/>
        <v>12</v>
      </c>
      <c r="MX18" s="221">
        <f t="shared" si="32"/>
        <v>9.0909090909090899</v>
      </c>
      <c r="MY18" s="220">
        <f t="shared" si="32"/>
        <v>12</v>
      </c>
      <c r="MZ18" s="221">
        <f t="shared" si="32"/>
        <v>8.571428571428573</v>
      </c>
      <c r="NA18" s="220">
        <f t="shared" si="32"/>
        <v>12</v>
      </c>
      <c r="NB18" s="221">
        <f t="shared" si="32"/>
        <v>9.0909090909090899</v>
      </c>
      <c r="NC18" s="220">
        <f t="shared" si="32"/>
        <v>12</v>
      </c>
      <c r="ND18" s="221">
        <f t="shared" si="32"/>
        <v>9.0909090909090899</v>
      </c>
      <c r="NE18" s="220">
        <f t="shared" si="32"/>
        <v>12</v>
      </c>
      <c r="NF18" s="221">
        <f t="shared" si="32"/>
        <v>9.0909090909090899</v>
      </c>
      <c r="NG18" s="220">
        <f t="shared" si="32"/>
        <v>12</v>
      </c>
      <c r="NH18" s="221">
        <f t="shared" si="32"/>
        <v>9.0909090909090899</v>
      </c>
      <c r="NI18" s="220">
        <f t="shared" si="32"/>
        <v>12</v>
      </c>
      <c r="NJ18" s="221">
        <f t="shared" si="32"/>
        <v>9.0909090909090899</v>
      </c>
      <c r="NK18" s="220">
        <f t="shared" si="32"/>
        <v>12</v>
      </c>
      <c r="NL18" s="221">
        <f t="shared" si="32"/>
        <v>9.0909090909090899</v>
      </c>
      <c r="NM18" s="220">
        <f t="shared" si="32"/>
        <v>12</v>
      </c>
      <c r="NN18" s="221">
        <f t="shared" si="32"/>
        <v>9.0909090909090899</v>
      </c>
      <c r="NO18" s="220">
        <f t="shared" si="32"/>
        <v>12</v>
      </c>
      <c r="NP18" s="221">
        <f t="shared" si="32"/>
        <v>9.0909090909090899</v>
      </c>
      <c r="NQ18" s="220">
        <f t="shared" si="32"/>
        <v>12</v>
      </c>
      <c r="NR18" s="221">
        <f t="shared" si="32"/>
        <v>9.0909090909090899</v>
      </c>
      <c r="NS18" s="220">
        <f t="shared" si="32"/>
        <v>12</v>
      </c>
      <c r="NT18" s="221">
        <f t="shared" si="32"/>
        <v>9.0909090909090899</v>
      </c>
      <c r="NU18" s="220">
        <f t="shared" si="32"/>
        <v>12</v>
      </c>
      <c r="NV18" s="221">
        <f t="shared" si="32"/>
        <v>9.0909090909090899</v>
      </c>
      <c r="NW18" s="220">
        <f t="shared" si="32"/>
        <v>12</v>
      </c>
      <c r="NX18" s="221">
        <f t="shared" si="32"/>
        <v>9.0909090909090899</v>
      </c>
      <c r="NY18" s="220">
        <f t="shared" si="32"/>
        <v>12</v>
      </c>
      <c r="NZ18" s="221">
        <f t="shared" si="32"/>
        <v>9.0909090909090899</v>
      </c>
      <c r="OA18" s="220">
        <f t="shared" si="32"/>
        <v>12</v>
      </c>
      <c r="OB18" s="221">
        <f t="shared" si="32"/>
        <v>9.0909090909090899</v>
      </c>
      <c r="OC18" s="220">
        <f t="shared" si="32"/>
        <v>12</v>
      </c>
      <c r="OD18" s="221">
        <f t="shared" si="32"/>
        <v>9.0909090909090899</v>
      </c>
      <c r="OE18" s="220">
        <f t="shared" si="32"/>
        <v>12</v>
      </c>
      <c r="OF18" s="221">
        <f t="shared" si="32"/>
        <v>9.0909090909090899</v>
      </c>
      <c r="OG18" s="220">
        <f t="shared" si="32"/>
        <v>12</v>
      </c>
      <c r="OH18" s="221">
        <f t="shared" si="32"/>
        <v>9.0909090909090899</v>
      </c>
      <c r="OI18" s="220">
        <f t="shared" si="32"/>
        <v>12</v>
      </c>
      <c r="OJ18" s="221">
        <f t="shared" si="32"/>
        <v>9.0909090909090899</v>
      </c>
      <c r="OK18" s="220">
        <f t="shared" si="32"/>
        <v>12</v>
      </c>
      <c r="OL18" s="221">
        <f t="shared" si="32"/>
        <v>9.0909090909090899</v>
      </c>
      <c r="OM18" s="220">
        <f t="shared" si="32"/>
        <v>12</v>
      </c>
      <c r="ON18" s="221">
        <f t="shared" si="32"/>
        <v>9.0909090909090899</v>
      </c>
      <c r="OO18" s="220">
        <f t="shared" si="32"/>
        <v>12</v>
      </c>
      <c r="OP18" s="221">
        <f t="shared" si="32"/>
        <v>9.0909090909090899</v>
      </c>
      <c r="OQ18" s="220">
        <f t="shared" si="32"/>
        <v>12</v>
      </c>
      <c r="OR18" s="221">
        <f t="shared" si="32"/>
        <v>9.0909090909090899</v>
      </c>
      <c r="OS18" s="220">
        <f t="shared" si="32"/>
        <v>12</v>
      </c>
      <c r="OT18" s="221">
        <f t="shared" si="32"/>
        <v>9.0909090909090899</v>
      </c>
      <c r="OU18" s="220">
        <f t="shared" ref="OU18:PL18" si="33">+OU17*OU8</f>
        <v>12</v>
      </c>
      <c r="OV18" s="221">
        <f t="shared" si="33"/>
        <v>9.0909090909090899</v>
      </c>
      <c r="OW18" s="220">
        <f t="shared" si="33"/>
        <v>12</v>
      </c>
      <c r="OX18" s="221">
        <f t="shared" si="33"/>
        <v>9.0909090909090899</v>
      </c>
      <c r="OY18" s="220">
        <f t="shared" si="33"/>
        <v>12</v>
      </c>
      <c r="OZ18" s="221">
        <f t="shared" si="33"/>
        <v>9.0909090909090899</v>
      </c>
      <c r="PA18" s="220">
        <f t="shared" si="33"/>
        <v>12</v>
      </c>
      <c r="PB18" s="221">
        <f t="shared" si="33"/>
        <v>9.0909090909090899</v>
      </c>
      <c r="PC18" s="220">
        <f t="shared" si="33"/>
        <v>12</v>
      </c>
      <c r="PD18" s="221">
        <f t="shared" si="33"/>
        <v>9.0909090909090899</v>
      </c>
      <c r="PE18" s="220">
        <f t="shared" si="33"/>
        <v>12</v>
      </c>
      <c r="PF18" s="221">
        <f t="shared" si="33"/>
        <v>9.0909090909090899</v>
      </c>
      <c r="PG18" s="220">
        <f t="shared" si="33"/>
        <v>12</v>
      </c>
      <c r="PH18" s="221">
        <f t="shared" si="33"/>
        <v>9.0909090909090899</v>
      </c>
      <c r="PI18" s="220">
        <f t="shared" si="33"/>
        <v>10</v>
      </c>
      <c r="PJ18" s="221">
        <f t="shared" si="33"/>
        <v>7.5757575757575761</v>
      </c>
      <c r="PK18" s="220">
        <f t="shared" si="33"/>
        <v>9.1999999999999993</v>
      </c>
      <c r="PL18" s="221">
        <f t="shared" si="33"/>
        <v>6.9696969696969688</v>
      </c>
      <c r="PM18" s="220">
        <f>+PM17*PM8</f>
        <v>9.6</v>
      </c>
      <c r="PN18" s="221">
        <f>+PN17*PN8</f>
        <v>7.2727272727272716</v>
      </c>
      <c r="PO18" s="220">
        <f>+PO17*PO8</f>
        <v>7.92</v>
      </c>
      <c r="PP18" s="221">
        <f>+PP17*PP8</f>
        <v>6</v>
      </c>
      <c r="PR18" s="220">
        <f t="shared" ref="PR18:QC18" si="34">+PR17*PR8</f>
        <v>14</v>
      </c>
      <c r="PS18" s="221">
        <f t="shared" si="34"/>
        <v>10.606060606060606</v>
      </c>
      <c r="PT18" s="220">
        <f t="shared" si="34"/>
        <v>14</v>
      </c>
      <c r="PU18" s="221">
        <f t="shared" si="34"/>
        <v>10.606060606060606</v>
      </c>
      <c r="PV18" s="220">
        <f t="shared" si="34"/>
        <v>12</v>
      </c>
      <c r="PW18" s="221">
        <f t="shared" si="34"/>
        <v>9.0909090909090899</v>
      </c>
      <c r="PX18" s="220">
        <f t="shared" si="34"/>
        <v>12</v>
      </c>
      <c r="PY18" s="221">
        <f t="shared" si="34"/>
        <v>9.0909090909090899</v>
      </c>
      <c r="PZ18" s="220">
        <f t="shared" si="34"/>
        <v>10</v>
      </c>
      <c r="QA18" s="221">
        <f t="shared" si="34"/>
        <v>7.5757575757575761</v>
      </c>
      <c r="QB18" s="220">
        <f t="shared" si="34"/>
        <v>10</v>
      </c>
      <c r="QC18" s="221">
        <f t="shared" si="34"/>
        <v>7.5757575757575761</v>
      </c>
      <c r="QF18" s="220">
        <f t="shared" ref="QF18:QQ18" si="35">+QF17*QF8</f>
        <v>14</v>
      </c>
      <c r="QG18" s="221">
        <f t="shared" si="35"/>
        <v>10.606060606060606</v>
      </c>
      <c r="QH18" s="220">
        <f t="shared" si="35"/>
        <v>14</v>
      </c>
      <c r="QI18" s="221">
        <f t="shared" si="35"/>
        <v>10.606060606060606</v>
      </c>
      <c r="QJ18" s="220">
        <f t="shared" si="35"/>
        <v>12</v>
      </c>
      <c r="QK18" s="221">
        <f t="shared" si="35"/>
        <v>9.0909090909090899</v>
      </c>
      <c r="QL18" s="220">
        <f t="shared" si="35"/>
        <v>12</v>
      </c>
      <c r="QM18" s="221">
        <f t="shared" si="35"/>
        <v>9.0909090909090899</v>
      </c>
      <c r="QN18" s="220">
        <f t="shared" si="35"/>
        <v>12</v>
      </c>
      <c r="QO18" s="221">
        <f t="shared" si="35"/>
        <v>9.0909090909090899</v>
      </c>
      <c r="QP18" s="220">
        <f t="shared" si="35"/>
        <v>12</v>
      </c>
      <c r="QQ18" s="221">
        <f t="shared" si="35"/>
        <v>9.0909090909090899</v>
      </c>
    </row>
    <row r="19" spans="1:459" x14ac:dyDescent="0.45">
      <c r="A19" s="877"/>
      <c r="B19" s="222"/>
      <c r="C19" s="223"/>
      <c r="D19" s="224"/>
      <c r="E19" s="177"/>
      <c r="F19" s="225"/>
      <c r="G19" s="226"/>
      <c r="H19" s="225"/>
      <c r="I19" s="226"/>
      <c r="J19" s="225"/>
      <c r="K19" s="226"/>
      <c r="L19" s="225"/>
      <c r="M19" s="226"/>
      <c r="N19" s="225"/>
      <c r="O19" s="226"/>
      <c r="P19" s="225"/>
      <c r="Q19" s="226"/>
      <c r="R19" s="225"/>
      <c r="S19" s="226"/>
      <c r="T19" s="225"/>
      <c r="U19" s="226"/>
      <c r="V19" s="225"/>
      <c r="W19" s="226"/>
      <c r="X19" s="225"/>
      <c r="Y19" s="226"/>
      <c r="Z19" s="225"/>
      <c r="AA19" s="226"/>
      <c r="AB19" s="225"/>
      <c r="AC19" s="226"/>
      <c r="AD19" s="225"/>
      <c r="AE19" s="226"/>
      <c r="AF19" s="225"/>
      <c r="AG19" s="226"/>
      <c r="AH19" s="225"/>
      <c r="AI19" s="226"/>
      <c r="AJ19" s="225"/>
      <c r="AK19" s="226"/>
      <c r="AL19" s="225"/>
      <c r="AM19" s="226"/>
      <c r="AN19" s="225"/>
      <c r="AO19" s="226"/>
      <c r="AP19" s="225"/>
      <c r="AQ19" s="226"/>
      <c r="AR19" s="225"/>
      <c r="AS19" s="226"/>
      <c r="AT19" s="225"/>
      <c r="AU19" s="226"/>
      <c r="AV19" s="225"/>
      <c r="AW19" s="226"/>
      <c r="AX19" s="225"/>
      <c r="AY19" s="226"/>
      <c r="AZ19" s="225"/>
      <c r="BA19" s="226"/>
      <c r="BB19" s="225"/>
      <c r="BC19" s="226"/>
      <c r="BD19" s="225"/>
      <c r="BE19" s="226"/>
      <c r="BF19" s="225"/>
      <c r="BG19" s="226"/>
      <c r="BH19" s="225"/>
      <c r="BI19" s="226"/>
      <c r="BJ19" s="225"/>
      <c r="BK19" s="226"/>
      <c r="BL19" s="225"/>
      <c r="BM19" s="226"/>
      <c r="BN19" s="225"/>
      <c r="BO19" s="226"/>
      <c r="BP19" s="225"/>
      <c r="BQ19" s="226"/>
      <c r="BR19" s="225"/>
      <c r="BS19" s="226"/>
      <c r="BT19" s="225"/>
      <c r="BU19" s="226"/>
      <c r="BV19" s="225"/>
      <c r="BW19" s="226"/>
      <c r="BX19" s="225"/>
      <c r="BY19" s="226"/>
      <c r="BZ19" s="225"/>
      <c r="CA19" s="226"/>
      <c r="CB19" s="225"/>
      <c r="CC19" s="226"/>
      <c r="CD19" s="225"/>
      <c r="CE19" s="226"/>
      <c r="CF19" s="225"/>
      <c r="CG19" s="226"/>
      <c r="CH19" s="225"/>
      <c r="CI19" s="226"/>
      <c r="CJ19" s="225"/>
      <c r="CK19" s="226"/>
      <c r="CL19" s="225"/>
      <c r="CM19" s="226"/>
      <c r="CN19" s="225"/>
      <c r="CO19" s="226"/>
      <c r="CP19" s="225"/>
      <c r="CQ19" s="226"/>
      <c r="CR19" s="225"/>
      <c r="CS19" s="226"/>
      <c r="CT19" s="136"/>
      <c r="CU19" s="225"/>
      <c r="CV19" s="226"/>
      <c r="CW19" s="225"/>
      <c r="CX19" s="226"/>
      <c r="CY19" s="225"/>
      <c r="CZ19" s="226"/>
      <c r="DA19" s="225"/>
      <c r="DB19" s="226"/>
      <c r="DC19" s="225"/>
      <c r="DD19" s="226"/>
      <c r="DE19" s="225"/>
      <c r="DF19" s="226"/>
      <c r="DG19" s="225"/>
      <c r="DH19" s="226"/>
      <c r="DI19" s="225"/>
      <c r="DJ19" s="226"/>
      <c r="DK19" s="225"/>
      <c r="DL19" s="226"/>
      <c r="DM19" s="225"/>
      <c r="DN19" s="226"/>
      <c r="DO19" s="225"/>
      <c r="DP19" s="226"/>
      <c r="DQ19" s="225"/>
      <c r="DR19" s="226"/>
      <c r="DS19" s="225"/>
      <c r="DT19" s="226"/>
      <c r="DU19" s="225"/>
      <c r="DV19" s="226"/>
      <c r="DW19" s="225"/>
      <c r="DX19" s="226"/>
      <c r="DY19" s="225"/>
      <c r="DZ19" s="226"/>
      <c r="EA19" s="225"/>
      <c r="EB19" s="226"/>
      <c r="EC19" s="225"/>
      <c r="ED19" s="226"/>
      <c r="EE19" s="225"/>
      <c r="EF19" s="226"/>
      <c r="EG19" s="225"/>
      <c r="EH19" s="226"/>
      <c r="EI19" s="225"/>
      <c r="EJ19" s="226"/>
      <c r="EK19" s="225"/>
      <c r="EL19" s="226"/>
      <c r="EM19" s="225"/>
      <c r="EN19" s="226"/>
      <c r="EO19" s="225"/>
      <c r="EP19" s="226"/>
      <c r="EQ19" s="225"/>
      <c r="ER19" s="226"/>
      <c r="ES19" s="225"/>
      <c r="ET19" s="226"/>
      <c r="EU19" s="225"/>
      <c r="EV19" s="226"/>
      <c r="EW19" s="225"/>
      <c r="EX19" s="226"/>
      <c r="EY19" s="225"/>
      <c r="EZ19" s="226"/>
      <c r="FA19" s="225"/>
      <c r="FB19" s="226"/>
      <c r="FC19" s="225"/>
      <c r="FD19" s="226"/>
      <c r="FE19" s="225"/>
      <c r="FF19" s="226"/>
      <c r="FG19" s="225"/>
      <c r="FH19" s="226"/>
      <c r="FI19" s="225"/>
      <c r="FJ19" s="226"/>
      <c r="FK19" s="225"/>
      <c r="FL19" s="226"/>
      <c r="FM19" s="225"/>
      <c r="FN19" s="226"/>
      <c r="FO19" s="225"/>
      <c r="FP19" s="226"/>
      <c r="FQ19" s="177"/>
      <c r="FR19" s="225"/>
      <c r="FS19" s="226"/>
      <c r="FT19" s="225"/>
      <c r="FU19" s="226"/>
      <c r="FV19" s="225"/>
      <c r="FW19" s="226"/>
      <c r="FX19" s="225"/>
      <c r="FY19" s="226"/>
      <c r="FZ19" s="225"/>
      <c r="GA19" s="226"/>
      <c r="GB19" s="225"/>
      <c r="GC19" s="226"/>
      <c r="GD19" s="225"/>
      <c r="GE19" s="226"/>
      <c r="GF19" s="225"/>
      <c r="GG19" s="226"/>
      <c r="GH19" s="225"/>
      <c r="GI19" s="226"/>
      <c r="GJ19" s="225"/>
      <c r="GK19" s="226"/>
      <c r="GL19" s="225"/>
      <c r="GM19" s="226"/>
      <c r="GN19" s="225"/>
      <c r="GO19" s="226"/>
      <c r="GP19" s="225"/>
      <c r="GQ19" s="226"/>
      <c r="GR19" s="225"/>
      <c r="GS19" s="226"/>
      <c r="GT19" s="225"/>
      <c r="GU19" s="226"/>
      <c r="GV19" s="225"/>
      <c r="GW19" s="226"/>
      <c r="GX19" s="225"/>
      <c r="GY19" s="226"/>
      <c r="GZ19" s="225"/>
      <c r="HA19" s="226"/>
      <c r="HB19" s="225"/>
      <c r="HC19" s="226"/>
      <c r="HD19" s="225"/>
      <c r="HE19" s="226"/>
      <c r="HF19" s="225"/>
      <c r="HG19" s="226"/>
      <c r="HH19" s="225"/>
      <c r="HI19" s="226"/>
      <c r="HJ19" s="225"/>
      <c r="HK19" s="226"/>
      <c r="HL19" s="225"/>
      <c r="HM19" s="226"/>
      <c r="HN19" s="225"/>
      <c r="HO19" s="226"/>
      <c r="HP19" s="225"/>
      <c r="HQ19" s="226"/>
      <c r="HR19" s="225"/>
      <c r="HS19" s="226"/>
      <c r="HT19" s="225"/>
      <c r="HU19" s="226"/>
      <c r="HV19" s="225"/>
      <c r="HW19" s="226"/>
      <c r="HX19" s="225"/>
      <c r="HY19" s="226"/>
      <c r="HZ19" s="225"/>
      <c r="IA19" s="226"/>
      <c r="IB19" s="225"/>
      <c r="IC19" s="226"/>
      <c r="ID19" s="225"/>
      <c r="IE19" s="226"/>
      <c r="IF19" s="225"/>
      <c r="IG19" s="226"/>
      <c r="IH19" s="225"/>
      <c r="II19" s="226"/>
      <c r="IJ19" s="225"/>
      <c r="IK19" s="226"/>
      <c r="IL19" s="225"/>
      <c r="IM19" s="226"/>
      <c r="IN19" s="225"/>
      <c r="IO19" s="226"/>
      <c r="IP19" s="225"/>
      <c r="IQ19" s="226"/>
      <c r="IR19" s="225"/>
      <c r="IS19" s="226"/>
      <c r="IT19" s="225"/>
      <c r="IU19" s="226"/>
      <c r="IV19" s="225"/>
      <c r="IW19" s="226"/>
      <c r="IX19" s="225"/>
      <c r="IY19" s="226"/>
      <c r="IZ19" s="177"/>
      <c r="JA19" s="225"/>
      <c r="JB19" s="226"/>
      <c r="JC19" s="225"/>
      <c r="JD19" s="226"/>
      <c r="JE19" s="177"/>
      <c r="JF19" s="225"/>
      <c r="JG19" s="226"/>
      <c r="JH19" s="225"/>
      <c r="JI19" s="226"/>
      <c r="JJ19" s="225"/>
      <c r="JK19" s="226"/>
      <c r="JL19" s="225"/>
      <c r="JM19" s="226"/>
      <c r="JN19" s="225"/>
      <c r="JO19" s="226"/>
      <c r="JP19" s="225"/>
      <c r="JQ19" s="226"/>
      <c r="JR19" s="225"/>
      <c r="JS19" s="226"/>
      <c r="JT19" s="225"/>
      <c r="JU19" s="226"/>
      <c r="JV19" s="225"/>
      <c r="JW19" s="226"/>
      <c r="JX19" s="225"/>
      <c r="JY19" s="226"/>
      <c r="JZ19" s="225"/>
      <c r="KA19" s="226"/>
      <c r="KB19" s="225"/>
      <c r="KC19" s="226"/>
      <c r="KD19" s="225"/>
      <c r="KE19" s="226"/>
      <c r="KF19" s="225"/>
      <c r="KG19" s="226"/>
      <c r="KH19" s="225"/>
      <c r="KI19" s="226"/>
      <c r="KJ19" s="225"/>
      <c r="KK19" s="226"/>
      <c r="KL19" s="225"/>
      <c r="KM19" s="226"/>
      <c r="KN19" s="225"/>
      <c r="KO19" s="226"/>
      <c r="KP19" s="225"/>
      <c r="KQ19" s="226"/>
      <c r="KR19" s="225"/>
      <c r="KS19" s="226"/>
      <c r="KT19" s="225"/>
      <c r="KU19" s="226"/>
      <c r="KV19" s="225"/>
      <c r="KW19" s="226"/>
      <c r="KX19" s="225"/>
      <c r="KY19" s="226"/>
      <c r="KZ19" s="225"/>
      <c r="LA19" s="226"/>
      <c r="LB19" s="225"/>
      <c r="LC19" s="226"/>
      <c r="LD19" s="225"/>
      <c r="LE19" s="226"/>
      <c r="LF19" s="225"/>
      <c r="LG19" s="226"/>
      <c r="LH19" s="225"/>
      <c r="LI19" s="226"/>
      <c r="LJ19" s="225"/>
      <c r="LK19" s="226"/>
      <c r="LL19" s="225"/>
      <c r="LM19" s="226"/>
      <c r="LN19" s="225"/>
      <c r="LO19" s="226"/>
      <c r="LP19" s="225"/>
      <c r="LQ19" s="226"/>
      <c r="LR19" s="225"/>
      <c r="LS19" s="226"/>
      <c r="LT19" s="225"/>
      <c r="LU19" s="226"/>
      <c r="LV19" s="225"/>
      <c r="LW19" s="226"/>
      <c r="LX19" s="225"/>
      <c r="LY19" s="226"/>
      <c r="LZ19" s="225"/>
      <c r="MA19" s="226"/>
      <c r="MB19" s="225"/>
      <c r="MC19" s="226"/>
      <c r="MD19" s="225"/>
      <c r="ME19" s="226"/>
      <c r="MF19" s="225"/>
      <c r="MG19" s="226"/>
      <c r="MH19" s="177"/>
      <c r="MI19" s="225"/>
      <c r="MJ19" s="226"/>
      <c r="MK19" s="225"/>
      <c r="ML19" s="226"/>
      <c r="MM19" s="225"/>
      <c r="MN19" s="226"/>
      <c r="MO19" s="225"/>
      <c r="MP19" s="226"/>
      <c r="MQ19" s="225"/>
      <c r="MR19" s="226"/>
      <c r="MS19" s="225"/>
      <c r="MT19" s="226"/>
      <c r="MU19" s="225"/>
      <c r="MV19" s="226"/>
      <c r="MW19" s="225"/>
      <c r="MX19" s="226"/>
      <c r="MY19" s="225"/>
      <c r="MZ19" s="226"/>
      <c r="NA19" s="225"/>
      <c r="NB19" s="226"/>
      <c r="NC19" s="225"/>
      <c r="ND19" s="226"/>
      <c r="NE19" s="225"/>
      <c r="NF19" s="226"/>
      <c r="NG19" s="225"/>
      <c r="NH19" s="226"/>
      <c r="NI19" s="225"/>
      <c r="NJ19" s="226"/>
      <c r="NK19" s="225"/>
      <c r="NL19" s="226"/>
      <c r="NM19" s="225"/>
      <c r="NN19" s="226"/>
      <c r="NO19" s="225"/>
      <c r="NP19" s="226"/>
      <c r="NQ19" s="225"/>
      <c r="NR19" s="226"/>
      <c r="NS19" s="225"/>
      <c r="NT19" s="226"/>
      <c r="NU19" s="225"/>
      <c r="NV19" s="226"/>
      <c r="NW19" s="225"/>
      <c r="NX19" s="226"/>
      <c r="NY19" s="225"/>
      <c r="NZ19" s="226"/>
      <c r="OA19" s="225"/>
      <c r="OB19" s="226"/>
      <c r="OC19" s="225"/>
      <c r="OD19" s="226"/>
      <c r="OE19" s="225"/>
      <c r="OF19" s="226"/>
      <c r="OG19" s="225"/>
      <c r="OH19" s="226"/>
      <c r="OI19" s="225"/>
      <c r="OJ19" s="226"/>
      <c r="OK19" s="225"/>
      <c r="OL19" s="226"/>
      <c r="OM19" s="225"/>
      <c r="ON19" s="226"/>
      <c r="OO19" s="225"/>
      <c r="OP19" s="226"/>
      <c r="OQ19" s="225"/>
      <c r="OR19" s="226"/>
      <c r="OS19" s="225"/>
      <c r="OT19" s="226"/>
      <c r="OU19" s="225"/>
      <c r="OV19" s="226"/>
      <c r="OW19" s="225"/>
      <c r="OX19" s="226"/>
      <c r="OY19" s="225"/>
      <c r="OZ19" s="226"/>
      <c r="PA19" s="225"/>
      <c r="PB19" s="226"/>
      <c r="PC19" s="225"/>
      <c r="PD19" s="226"/>
      <c r="PE19" s="225"/>
      <c r="PF19" s="226"/>
      <c r="PG19" s="225"/>
      <c r="PH19" s="226"/>
      <c r="PI19" s="225"/>
      <c r="PJ19" s="226"/>
      <c r="PK19" s="225"/>
      <c r="PL19" s="226"/>
      <c r="PM19" s="225"/>
      <c r="PN19" s="226"/>
      <c r="PO19" s="225"/>
      <c r="PP19" s="226"/>
      <c r="PR19" s="225"/>
      <c r="PS19" s="226"/>
      <c r="PT19" s="225"/>
      <c r="PU19" s="226"/>
      <c r="PV19" s="225"/>
      <c r="PW19" s="226"/>
      <c r="PX19" s="225"/>
      <c r="PY19" s="226"/>
      <c r="PZ19" s="225"/>
      <c r="QA19" s="226"/>
      <c r="QB19" s="225"/>
      <c r="QC19" s="226"/>
      <c r="QF19" s="225"/>
      <c r="QG19" s="226"/>
      <c r="QH19" s="225"/>
      <c r="QI19" s="226"/>
      <c r="QJ19" s="225"/>
      <c r="QK19" s="226"/>
      <c r="QL19" s="225"/>
      <c r="QM19" s="226"/>
      <c r="QN19" s="225"/>
      <c r="QO19" s="226"/>
      <c r="QP19" s="225"/>
      <c r="QQ19" s="226"/>
    </row>
    <row r="20" spans="1:459" x14ac:dyDescent="0.45">
      <c r="A20" s="878" t="s">
        <v>328</v>
      </c>
      <c r="B20" s="180"/>
      <c r="C20" s="181"/>
      <c r="D20" s="182"/>
      <c r="E20" s="177"/>
      <c r="F20" s="191"/>
      <c r="G20" s="192"/>
      <c r="H20" s="191"/>
      <c r="I20" s="192"/>
      <c r="J20" s="191"/>
      <c r="K20" s="192"/>
      <c r="L20" s="191"/>
      <c r="M20" s="192"/>
      <c r="N20" s="191"/>
      <c r="O20" s="192"/>
      <c r="P20" s="191"/>
      <c r="Q20" s="192"/>
      <c r="R20" s="191"/>
      <c r="S20" s="192"/>
      <c r="T20" s="191"/>
      <c r="U20" s="192"/>
      <c r="V20" s="191"/>
      <c r="W20" s="192"/>
      <c r="X20" s="191"/>
      <c r="Y20" s="192"/>
      <c r="Z20" s="191"/>
      <c r="AA20" s="192"/>
      <c r="AB20" s="191"/>
      <c r="AC20" s="192"/>
      <c r="AD20" s="191"/>
      <c r="AE20" s="192"/>
      <c r="AF20" s="191"/>
      <c r="AG20" s="192"/>
      <c r="AH20" s="191"/>
      <c r="AI20" s="192"/>
      <c r="AJ20" s="191"/>
      <c r="AK20" s="192"/>
      <c r="AL20" s="191"/>
      <c r="AM20" s="192"/>
      <c r="AN20" s="191"/>
      <c r="AO20" s="192"/>
      <c r="AP20" s="191"/>
      <c r="AQ20" s="192"/>
      <c r="AR20" s="191"/>
      <c r="AS20" s="192"/>
      <c r="AT20" s="191"/>
      <c r="AU20" s="192"/>
      <c r="AV20" s="191"/>
      <c r="AW20" s="192"/>
      <c r="AX20" s="191"/>
      <c r="AY20" s="192"/>
      <c r="AZ20" s="191"/>
      <c r="BA20" s="192"/>
      <c r="BB20" s="191"/>
      <c r="BC20" s="192"/>
      <c r="BD20" s="191"/>
      <c r="BE20" s="192"/>
      <c r="BF20" s="191"/>
      <c r="BG20" s="192"/>
      <c r="BH20" s="191"/>
      <c r="BI20" s="192"/>
      <c r="BJ20" s="191"/>
      <c r="BK20" s="192"/>
      <c r="BL20" s="191"/>
      <c r="BM20" s="192"/>
      <c r="BN20" s="191"/>
      <c r="BO20" s="192"/>
      <c r="BP20" s="191"/>
      <c r="BQ20" s="192"/>
      <c r="BR20" s="191"/>
      <c r="BS20" s="192"/>
      <c r="BT20" s="191"/>
      <c r="BU20" s="192"/>
      <c r="BV20" s="191"/>
      <c r="BW20" s="192"/>
      <c r="BX20" s="191"/>
      <c r="BY20" s="192"/>
      <c r="BZ20" s="191"/>
      <c r="CA20" s="192"/>
      <c r="CB20" s="191"/>
      <c r="CC20" s="192"/>
      <c r="CD20" s="191"/>
      <c r="CE20" s="192"/>
      <c r="CF20" s="191"/>
      <c r="CG20" s="192"/>
      <c r="CH20" s="191"/>
      <c r="CI20" s="192"/>
      <c r="CJ20" s="191"/>
      <c r="CK20" s="192"/>
      <c r="CL20" s="191"/>
      <c r="CM20" s="192"/>
      <c r="CN20" s="191"/>
      <c r="CO20" s="192"/>
      <c r="CP20" s="227"/>
      <c r="CQ20" s="192"/>
      <c r="CR20" s="227"/>
      <c r="CS20" s="192"/>
      <c r="CT20" s="136"/>
      <c r="CU20" s="191"/>
      <c r="CV20" s="192"/>
      <c r="CW20" s="191"/>
      <c r="CX20" s="192"/>
      <c r="CY20" s="191"/>
      <c r="CZ20" s="192"/>
      <c r="DA20" s="191"/>
      <c r="DB20" s="192"/>
      <c r="DC20" s="191"/>
      <c r="DD20" s="192"/>
      <c r="DE20" s="191"/>
      <c r="DF20" s="192"/>
      <c r="DG20" s="191"/>
      <c r="DH20" s="192"/>
      <c r="DI20" s="191"/>
      <c r="DJ20" s="192"/>
      <c r="DK20" s="191"/>
      <c r="DL20" s="192"/>
      <c r="DM20" s="191"/>
      <c r="DN20" s="192"/>
      <c r="DO20" s="191"/>
      <c r="DP20" s="192"/>
      <c r="DQ20" s="191"/>
      <c r="DR20" s="192"/>
      <c r="DS20" s="191"/>
      <c r="DT20" s="192"/>
      <c r="DU20" s="191"/>
      <c r="DV20" s="192"/>
      <c r="DW20" s="191"/>
      <c r="DX20" s="192"/>
      <c r="DY20" s="191"/>
      <c r="DZ20" s="192"/>
      <c r="EA20" s="191"/>
      <c r="EB20" s="192"/>
      <c r="EC20" s="191"/>
      <c r="ED20" s="192"/>
      <c r="EE20" s="191"/>
      <c r="EF20" s="192"/>
      <c r="EG20" s="191"/>
      <c r="EH20" s="192"/>
      <c r="EI20" s="191"/>
      <c r="EJ20" s="192"/>
      <c r="EK20" s="191"/>
      <c r="EL20" s="192"/>
      <c r="EM20" s="191"/>
      <c r="EN20" s="192"/>
      <c r="EO20" s="191"/>
      <c r="EP20" s="192"/>
      <c r="EQ20" s="191"/>
      <c r="ER20" s="192"/>
      <c r="ES20" s="191"/>
      <c r="ET20" s="192"/>
      <c r="EU20" s="191"/>
      <c r="EV20" s="192"/>
      <c r="EW20" s="191"/>
      <c r="EX20" s="192"/>
      <c r="EY20" s="191"/>
      <c r="EZ20" s="192"/>
      <c r="FA20" s="191"/>
      <c r="FB20" s="192"/>
      <c r="FC20" s="191"/>
      <c r="FD20" s="192"/>
      <c r="FE20" s="191"/>
      <c r="FF20" s="192"/>
      <c r="FG20" s="191"/>
      <c r="FH20" s="192"/>
      <c r="FI20" s="191"/>
      <c r="FJ20" s="192"/>
      <c r="FK20" s="191"/>
      <c r="FL20" s="192"/>
      <c r="FM20" s="191"/>
      <c r="FN20" s="192"/>
      <c r="FO20" s="191"/>
      <c r="FP20" s="192"/>
      <c r="FQ20" s="177"/>
      <c r="FR20" s="191"/>
      <c r="FS20" s="192"/>
      <c r="FT20" s="191"/>
      <c r="FU20" s="192"/>
      <c r="FV20" s="191"/>
      <c r="FW20" s="192"/>
      <c r="FX20" s="191"/>
      <c r="FY20" s="192"/>
      <c r="FZ20" s="191"/>
      <c r="GA20" s="192"/>
      <c r="GB20" s="191"/>
      <c r="GC20" s="192"/>
      <c r="GD20" s="191"/>
      <c r="GE20" s="192"/>
      <c r="GF20" s="191"/>
      <c r="GG20" s="192"/>
      <c r="GH20" s="191"/>
      <c r="GI20" s="192"/>
      <c r="GJ20" s="191"/>
      <c r="GK20" s="192"/>
      <c r="GL20" s="191"/>
      <c r="GM20" s="192"/>
      <c r="GN20" s="191"/>
      <c r="GO20" s="192"/>
      <c r="GP20" s="191"/>
      <c r="GQ20" s="192"/>
      <c r="GR20" s="191"/>
      <c r="GS20" s="192"/>
      <c r="GT20" s="191"/>
      <c r="GU20" s="192"/>
      <c r="GV20" s="191"/>
      <c r="GW20" s="192"/>
      <c r="GX20" s="191"/>
      <c r="GY20" s="192"/>
      <c r="GZ20" s="191"/>
      <c r="HA20" s="192"/>
      <c r="HB20" s="191"/>
      <c r="HC20" s="192"/>
      <c r="HD20" s="191"/>
      <c r="HE20" s="192"/>
      <c r="HF20" s="191"/>
      <c r="HG20" s="192"/>
      <c r="HH20" s="191"/>
      <c r="HI20" s="192"/>
      <c r="HJ20" s="191"/>
      <c r="HK20" s="192"/>
      <c r="HL20" s="191"/>
      <c r="HM20" s="192"/>
      <c r="HN20" s="191"/>
      <c r="HO20" s="192"/>
      <c r="HP20" s="191"/>
      <c r="HQ20" s="192"/>
      <c r="HR20" s="191"/>
      <c r="HS20" s="192"/>
      <c r="HT20" s="191"/>
      <c r="HU20" s="192"/>
      <c r="HV20" s="191"/>
      <c r="HW20" s="192"/>
      <c r="HX20" s="191"/>
      <c r="HY20" s="192"/>
      <c r="HZ20" s="191"/>
      <c r="IA20" s="192"/>
      <c r="IB20" s="191"/>
      <c r="IC20" s="192"/>
      <c r="ID20" s="191"/>
      <c r="IE20" s="192"/>
      <c r="IF20" s="191"/>
      <c r="IG20" s="192"/>
      <c r="IH20" s="191"/>
      <c r="II20" s="192"/>
      <c r="IJ20" s="191"/>
      <c r="IK20" s="192"/>
      <c r="IL20" s="191"/>
      <c r="IM20" s="192"/>
      <c r="IN20" s="191"/>
      <c r="IO20" s="192"/>
      <c r="IP20" s="191"/>
      <c r="IQ20" s="192"/>
      <c r="IR20" s="191"/>
      <c r="IS20" s="192"/>
      <c r="IT20" s="191"/>
      <c r="IU20" s="192"/>
      <c r="IV20" s="191"/>
      <c r="IW20" s="192"/>
      <c r="IX20" s="191"/>
      <c r="IY20" s="192"/>
      <c r="IZ20" s="177"/>
      <c r="JA20" s="191"/>
      <c r="JB20" s="192"/>
      <c r="JC20" s="191"/>
      <c r="JD20" s="192"/>
      <c r="JE20" s="177"/>
      <c r="JF20" s="191"/>
      <c r="JG20" s="192"/>
      <c r="JH20" s="191"/>
      <c r="JI20" s="192"/>
      <c r="JJ20" s="191"/>
      <c r="JK20" s="192"/>
      <c r="JL20" s="191"/>
      <c r="JM20" s="192"/>
      <c r="JN20" s="191"/>
      <c r="JO20" s="192"/>
      <c r="JP20" s="191"/>
      <c r="JQ20" s="192"/>
      <c r="JR20" s="191"/>
      <c r="JS20" s="192"/>
      <c r="JT20" s="191"/>
      <c r="JU20" s="192"/>
      <c r="JV20" s="191"/>
      <c r="JW20" s="192"/>
      <c r="JX20" s="191"/>
      <c r="JY20" s="192"/>
      <c r="JZ20" s="191"/>
      <c r="KA20" s="192"/>
      <c r="KB20" s="191"/>
      <c r="KC20" s="192"/>
      <c r="KD20" s="191"/>
      <c r="KE20" s="192"/>
      <c r="KF20" s="191"/>
      <c r="KG20" s="192"/>
      <c r="KH20" s="191"/>
      <c r="KI20" s="192"/>
      <c r="KJ20" s="191"/>
      <c r="KK20" s="192"/>
      <c r="KL20" s="191"/>
      <c r="KM20" s="192"/>
      <c r="KN20" s="191"/>
      <c r="KO20" s="192"/>
      <c r="KP20" s="191"/>
      <c r="KQ20" s="192"/>
      <c r="KR20" s="191"/>
      <c r="KS20" s="192"/>
      <c r="KT20" s="191"/>
      <c r="KU20" s="192"/>
      <c r="KV20" s="191"/>
      <c r="KW20" s="192"/>
      <c r="KX20" s="191"/>
      <c r="KY20" s="192"/>
      <c r="KZ20" s="191"/>
      <c r="LA20" s="192"/>
      <c r="LB20" s="191"/>
      <c r="LC20" s="192"/>
      <c r="LD20" s="191"/>
      <c r="LE20" s="192"/>
      <c r="LF20" s="191"/>
      <c r="LG20" s="192"/>
      <c r="LH20" s="191"/>
      <c r="LI20" s="192"/>
      <c r="LJ20" s="191"/>
      <c r="LK20" s="192"/>
      <c r="LL20" s="191"/>
      <c r="LM20" s="192"/>
      <c r="LN20" s="191"/>
      <c r="LO20" s="192"/>
      <c r="LP20" s="191"/>
      <c r="LQ20" s="192"/>
      <c r="LR20" s="191"/>
      <c r="LS20" s="192"/>
      <c r="LT20" s="191"/>
      <c r="LU20" s="192"/>
      <c r="LV20" s="191"/>
      <c r="LW20" s="192"/>
      <c r="LX20" s="191"/>
      <c r="LY20" s="192"/>
      <c r="LZ20" s="191"/>
      <c r="MA20" s="192"/>
      <c r="MB20" s="191"/>
      <c r="MC20" s="192"/>
      <c r="MD20" s="191"/>
      <c r="ME20" s="192"/>
      <c r="MF20" s="227"/>
      <c r="MG20" s="192"/>
      <c r="MH20" s="177"/>
      <c r="MI20" s="191"/>
      <c r="MJ20" s="192"/>
      <c r="MK20" s="191"/>
      <c r="ML20" s="192"/>
      <c r="MM20" s="191"/>
      <c r="MN20" s="192"/>
      <c r="MO20" s="191"/>
      <c r="MP20" s="192"/>
      <c r="MQ20" s="191"/>
      <c r="MR20" s="192"/>
      <c r="MS20" s="191"/>
      <c r="MT20" s="192"/>
      <c r="MU20" s="191"/>
      <c r="MV20" s="192"/>
      <c r="MW20" s="191"/>
      <c r="MX20" s="192"/>
      <c r="MY20" s="191"/>
      <c r="MZ20" s="192"/>
      <c r="NA20" s="191"/>
      <c r="NB20" s="192"/>
      <c r="NC20" s="191"/>
      <c r="ND20" s="192"/>
      <c r="NE20" s="191"/>
      <c r="NF20" s="192"/>
      <c r="NG20" s="191"/>
      <c r="NH20" s="192"/>
      <c r="NI20" s="191"/>
      <c r="NJ20" s="192"/>
      <c r="NK20" s="191"/>
      <c r="NL20" s="192"/>
      <c r="NM20" s="191"/>
      <c r="NN20" s="192"/>
      <c r="NO20" s="191"/>
      <c r="NP20" s="192"/>
      <c r="NQ20" s="191"/>
      <c r="NR20" s="192"/>
      <c r="NS20" s="191"/>
      <c r="NT20" s="192"/>
      <c r="NU20" s="191"/>
      <c r="NV20" s="192"/>
      <c r="NW20" s="191"/>
      <c r="NX20" s="192"/>
      <c r="NY20" s="191"/>
      <c r="NZ20" s="192"/>
      <c r="OA20" s="191"/>
      <c r="OB20" s="192"/>
      <c r="OC20" s="191"/>
      <c r="OD20" s="192"/>
      <c r="OE20" s="191"/>
      <c r="OF20" s="192"/>
      <c r="OG20" s="191"/>
      <c r="OH20" s="192"/>
      <c r="OI20" s="191"/>
      <c r="OJ20" s="192"/>
      <c r="OK20" s="191"/>
      <c r="OL20" s="192"/>
      <c r="OM20" s="191"/>
      <c r="ON20" s="192"/>
      <c r="OO20" s="191"/>
      <c r="OP20" s="192"/>
      <c r="OQ20" s="191"/>
      <c r="OR20" s="192"/>
      <c r="OS20" s="191"/>
      <c r="OT20" s="192"/>
      <c r="OU20" s="191"/>
      <c r="OV20" s="192"/>
      <c r="OW20" s="191"/>
      <c r="OX20" s="192"/>
      <c r="OY20" s="191"/>
      <c r="OZ20" s="192"/>
      <c r="PA20" s="191"/>
      <c r="PB20" s="192"/>
      <c r="PC20" s="191"/>
      <c r="PD20" s="192"/>
      <c r="PE20" s="191"/>
      <c r="PF20" s="192"/>
      <c r="PG20" s="191"/>
      <c r="PH20" s="192"/>
      <c r="PI20" s="191"/>
      <c r="PJ20" s="192"/>
      <c r="PK20" s="191"/>
      <c r="PL20" s="192"/>
      <c r="PM20" s="191"/>
      <c r="PN20" s="192"/>
      <c r="PO20" s="191"/>
      <c r="PP20" s="192"/>
      <c r="PR20" s="191"/>
      <c r="PS20" s="192"/>
      <c r="PT20" s="191"/>
      <c r="PU20" s="192"/>
      <c r="PV20" s="191"/>
      <c r="PW20" s="192"/>
      <c r="PX20" s="191"/>
      <c r="PY20" s="192"/>
      <c r="PZ20" s="191"/>
      <c r="QA20" s="192"/>
      <c r="QB20" s="191"/>
      <c r="QC20" s="192"/>
      <c r="QF20" s="191"/>
      <c r="QG20" s="192"/>
      <c r="QH20" s="191"/>
      <c r="QI20" s="192"/>
      <c r="QJ20" s="191"/>
      <c r="QK20" s="192"/>
      <c r="QL20" s="191"/>
      <c r="QM20" s="192"/>
      <c r="QN20" s="191"/>
      <c r="QO20" s="192"/>
      <c r="QP20" s="191"/>
      <c r="QQ20" s="192"/>
    </row>
    <row r="21" spans="1:459" x14ac:dyDescent="0.45">
      <c r="A21" s="876"/>
      <c r="B21" s="228" t="s">
        <v>329</v>
      </c>
      <c r="C21" s="229"/>
      <c r="D21" s="230"/>
      <c r="E21" s="231"/>
      <c r="F21" s="232">
        <f t="shared" ref="F21:BQ21" si="36">F22/F18</f>
        <v>0.12666666666666662</v>
      </c>
      <c r="G21" s="233">
        <f t="shared" si="36"/>
        <v>0</v>
      </c>
      <c r="H21" s="232">
        <f t="shared" si="36"/>
        <v>0.12666666666666662</v>
      </c>
      <c r="I21" s="233">
        <f t="shared" si="36"/>
        <v>0</v>
      </c>
      <c r="J21" s="232">
        <f t="shared" si="36"/>
        <v>0.12666666666666662</v>
      </c>
      <c r="K21" s="233">
        <f t="shared" si="36"/>
        <v>0</v>
      </c>
      <c r="L21" s="232">
        <f t="shared" si="36"/>
        <v>0.12666666666666662</v>
      </c>
      <c r="M21" s="233">
        <f t="shared" si="36"/>
        <v>0</v>
      </c>
      <c r="N21" s="232">
        <f t="shared" si="36"/>
        <v>0.12666666666666662</v>
      </c>
      <c r="O21" s="233">
        <f t="shared" si="36"/>
        <v>0</v>
      </c>
      <c r="P21" s="232">
        <f t="shared" si="36"/>
        <v>0.12500000000000011</v>
      </c>
      <c r="Q21" s="233">
        <f t="shared" si="36"/>
        <v>0</v>
      </c>
      <c r="R21" s="232">
        <f t="shared" si="36"/>
        <v>0.12500000000000011</v>
      </c>
      <c r="S21" s="233">
        <f t="shared" si="36"/>
        <v>0</v>
      </c>
      <c r="T21" s="232">
        <f t="shared" si="36"/>
        <v>0.12500000000000011</v>
      </c>
      <c r="U21" s="233">
        <f t="shared" si="36"/>
        <v>0</v>
      </c>
      <c r="V21" s="232">
        <f t="shared" si="36"/>
        <v>0.12121212121212119</v>
      </c>
      <c r="W21" s="233">
        <f t="shared" si="36"/>
        <v>0</v>
      </c>
      <c r="X21" s="232">
        <f t="shared" si="36"/>
        <v>0.1249999999999999</v>
      </c>
      <c r="Y21" s="233">
        <f t="shared" si="36"/>
        <v>0</v>
      </c>
      <c r="Z21" s="232">
        <f t="shared" si="36"/>
        <v>0.1249999999999999</v>
      </c>
      <c r="AA21" s="233">
        <f t="shared" si="36"/>
        <v>0</v>
      </c>
      <c r="AB21" s="232">
        <f t="shared" si="36"/>
        <v>0.1249999999999999</v>
      </c>
      <c r="AC21" s="233">
        <f t="shared" si="36"/>
        <v>0</v>
      </c>
      <c r="AD21" s="232">
        <f t="shared" si="36"/>
        <v>0.11999999999999998</v>
      </c>
      <c r="AE21" s="233">
        <f t="shared" si="36"/>
        <v>0.1199999999999999</v>
      </c>
      <c r="AF21" s="232">
        <f t="shared" si="36"/>
        <v>0.11999999999999998</v>
      </c>
      <c r="AG21" s="233">
        <f t="shared" si="36"/>
        <v>0</v>
      </c>
      <c r="AH21" s="232">
        <f t="shared" si="36"/>
        <v>0.11999999999999998</v>
      </c>
      <c r="AI21" s="233">
        <f t="shared" si="36"/>
        <v>0</v>
      </c>
      <c r="AJ21" s="232">
        <f t="shared" si="36"/>
        <v>0.11999999999999998</v>
      </c>
      <c r="AK21" s="233">
        <f t="shared" si="36"/>
        <v>0</v>
      </c>
      <c r="AL21" s="232">
        <f t="shared" si="36"/>
        <v>0.11999999999999998</v>
      </c>
      <c r="AM21" s="233">
        <f t="shared" si="36"/>
        <v>0</v>
      </c>
      <c r="AN21" s="232">
        <f t="shared" si="36"/>
        <v>0.11999999999999998</v>
      </c>
      <c r="AO21" s="233">
        <f t="shared" si="36"/>
        <v>0</v>
      </c>
      <c r="AP21" s="232">
        <f t="shared" si="36"/>
        <v>0.11999999999999998</v>
      </c>
      <c r="AQ21" s="233">
        <f t="shared" si="36"/>
        <v>0</v>
      </c>
      <c r="AR21" s="232">
        <f t="shared" si="36"/>
        <v>0.11999999999999998</v>
      </c>
      <c r="AS21" s="233">
        <f t="shared" si="36"/>
        <v>0.1199999999999999</v>
      </c>
      <c r="AT21" s="232">
        <f t="shared" si="36"/>
        <v>0.11999999999999998</v>
      </c>
      <c r="AU21" s="233">
        <f t="shared" si="36"/>
        <v>0.1199999999999999</v>
      </c>
      <c r="AV21" s="232">
        <f t="shared" si="36"/>
        <v>0.11999999999999998</v>
      </c>
      <c r="AW21" s="233">
        <f t="shared" si="36"/>
        <v>0.1199999999999999</v>
      </c>
      <c r="AX21" s="232">
        <f t="shared" si="36"/>
        <v>0.11999999999999998</v>
      </c>
      <c r="AY21" s="233">
        <f t="shared" si="36"/>
        <v>0.1199999999999999</v>
      </c>
      <c r="AZ21" s="232">
        <f t="shared" si="36"/>
        <v>0.11999999999999998</v>
      </c>
      <c r="BA21" s="233">
        <f t="shared" si="36"/>
        <v>0.1199999999999999</v>
      </c>
      <c r="BB21" s="232">
        <f t="shared" si="36"/>
        <v>0.11999999999999998</v>
      </c>
      <c r="BC21" s="233">
        <f t="shared" si="36"/>
        <v>0.1199999999999999</v>
      </c>
      <c r="BD21" s="232">
        <f t="shared" si="36"/>
        <v>0.11999999999999998</v>
      </c>
      <c r="BE21" s="233">
        <f t="shared" si="36"/>
        <v>0.1199999999999999</v>
      </c>
      <c r="BF21" s="232">
        <f t="shared" si="36"/>
        <v>0.11999999999999998</v>
      </c>
      <c r="BG21" s="233">
        <f t="shared" si="36"/>
        <v>0.1199999999999999</v>
      </c>
      <c r="BH21" s="232">
        <f t="shared" si="36"/>
        <v>0.11999999999999998</v>
      </c>
      <c r="BI21" s="233">
        <f t="shared" si="36"/>
        <v>0.1199999999999999</v>
      </c>
      <c r="BJ21" s="232">
        <f t="shared" si="36"/>
        <v>0.11999999999999998</v>
      </c>
      <c r="BK21" s="233">
        <f t="shared" si="36"/>
        <v>0.1199999999999999</v>
      </c>
      <c r="BL21" s="232">
        <f t="shared" si="36"/>
        <v>0.13725490196078433</v>
      </c>
      <c r="BM21" s="233">
        <f t="shared" si="36"/>
        <v>0.13725490196078427</v>
      </c>
      <c r="BN21" s="232">
        <f t="shared" si="36"/>
        <v>0.11999999999999998</v>
      </c>
      <c r="BO21" s="233">
        <f t="shared" si="36"/>
        <v>0.1199999999999999</v>
      </c>
      <c r="BP21" s="232">
        <f t="shared" si="36"/>
        <v>0.11999999999999998</v>
      </c>
      <c r="BQ21" s="233">
        <f t="shared" si="36"/>
        <v>0.1199999999999999</v>
      </c>
      <c r="BR21" s="232">
        <f t="shared" ref="BR21:CS21" si="37">BR22/BR18</f>
        <v>0.11999999999999998</v>
      </c>
      <c r="BS21" s="233">
        <f t="shared" si="37"/>
        <v>0.1199999999999999</v>
      </c>
      <c r="BT21" s="232">
        <f t="shared" si="37"/>
        <v>0.11999999999999998</v>
      </c>
      <c r="BU21" s="233">
        <f t="shared" si="37"/>
        <v>0.1199999999999999</v>
      </c>
      <c r="BV21" s="232">
        <f t="shared" si="37"/>
        <v>0.11999999999999998</v>
      </c>
      <c r="BW21" s="233">
        <f t="shared" si="37"/>
        <v>0.1199999999999999</v>
      </c>
      <c r="BX21" s="232">
        <f t="shared" si="37"/>
        <v>0.11999999999999998</v>
      </c>
      <c r="BY21" s="233">
        <f t="shared" si="37"/>
        <v>0.1199999999999999</v>
      </c>
      <c r="BZ21" s="232">
        <f t="shared" si="37"/>
        <v>0.11999999999999998</v>
      </c>
      <c r="CA21" s="233">
        <f t="shared" si="37"/>
        <v>0.1199999999999999</v>
      </c>
      <c r="CB21" s="232">
        <f t="shared" si="37"/>
        <v>0.11999999999999998</v>
      </c>
      <c r="CC21" s="233">
        <f t="shared" si="37"/>
        <v>0.1199999999999999</v>
      </c>
      <c r="CD21" s="232">
        <f t="shared" si="37"/>
        <v>0.11999999999999998</v>
      </c>
      <c r="CE21" s="233">
        <f t="shared" si="37"/>
        <v>0.1199999999999999</v>
      </c>
      <c r="CF21" s="232">
        <f t="shared" si="37"/>
        <v>0.11999999999999998</v>
      </c>
      <c r="CG21" s="233">
        <f t="shared" si="37"/>
        <v>0.1199999999999999</v>
      </c>
      <c r="CH21" s="232">
        <f t="shared" si="37"/>
        <v>0.11999999999999998</v>
      </c>
      <c r="CI21" s="233">
        <f t="shared" si="37"/>
        <v>0.1199999999999999</v>
      </c>
      <c r="CJ21" s="232">
        <f t="shared" si="37"/>
        <v>0.11999999999999998</v>
      </c>
      <c r="CK21" s="233">
        <f t="shared" si="37"/>
        <v>0.1199999999999999</v>
      </c>
      <c r="CL21" s="232">
        <f t="shared" si="37"/>
        <v>0.13725490196078433</v>
      </c>
      <c r="CM21" s="233">
        <f t="shared" si="37"/>
        <v>0.13725490196078427</v>
      </c>
      <c r="CN21" s="232">
        <f t="shared" si="37"/>
        <v>0.12567741935483875</v>
      </c>
      <c r="CO21" s="233">
        <f t="shared" si="37"/>
        <v>0.12567741935483856</v>
      </c>
      <c r="CP21" s="232">
        <f t="shared" si="37"/>
        <v>0.15638461538461543</v>
      </c>
      <c r="CQ21" s="233">
        <f t="shared" si="37"/>
        <v>0.15638461538461526</v>
      </c>
      <c r="CR21" s="232">
        <f t="shared" si="37"/>
        <v>0.15384615384615374</v>
      </c>
      <c r="CS21" s="233">
        <f t="shared" si="37"/>
        <v>0.1538461538461536</v>
      </c>
      <c r="CT21" s="234"/>
      <c r="CU21" s="232">
        <f t="shared" ref="CU21:DB21" si="38">CU22/CU18</f>
        <v>8.9655172413793033E-2</v>
      </c>
      <c r="CV21" s="233">
        <f t="shared" si="38"/>
        <v>8.9655172413792963E-2</v>
      </c>
      <c r="CW21" s="232">
        <f t="shared" si="38"/>
        <v>8.9655172413793033E-2</v>
      </c>
      <c r="CX21" s="233">
        <f t="shared" si="38"/>
        <v>8.9655172413792963E-2</v>
      </c>
      <c r="CY21" s="232">
        <f t="shared" si="38"/>
        <v>8.9655172413793033E-2</v>
      </c>
      <c r="CZ21" s="233">
        <f t="shared" si="38"/>
        <v>8.9655172413792963E-2</v>
      </c>
      <c r="DA21" s="232">
        <f t="shared" si="38"/>
        <v>0.11944444444444446</v>
      </c>
      <c r="DB21" s="233">
        <f t="shared" si="38"/>
        <v>0.11944444444444458</v>
      </c>
      <c r="DC21" s="232">
        <f>DC22/DC18</f>
        <v>0.12121212121212116</v>
      </c>
      <c r="DD21" s="233">
        <f>DD22/DD18</f>
        <v>0.12121212121212113</v>
      </c>
      <c r="DE21" s="232">
        <f t="shared" ref="DE21:FP21" si="39">DE22/DE18</f>
        <v>0.12121212121212116</v>
      </c>
      <c r="DF21" s="233">
        <f t="shared" si="39"/>
        <v>0.12121212121212116</v>
      </c>
      <c r="DG21" s="232">
        <f t="shared" si="39"/>
        <v>0.12121212121212116</v>
      </c>
      <c r="DH21" s="233">
        <f t="shared" si="39"/>
        <v>0.12121212121212113</v>
      </c>
      <c r="DI21" s="232">
        <f t="shared" si="39"/>
        <v>0.12121212121212116</v>
      </c>
      <c r="DJ21" s="233">
        <f t="shared" si="39"/>
        <v>0.12121212121212113</v>
      </c>
      <c r="DK21" s="232">
        <f t="shared" si="39"/>
        <v>0.12121212121212116</v>
      </c>
      <c r="DL21" s="233">
        <f t="shared" si="39"/>
        <v>0.12121212121212113</v>
      </c>
      <c r="DM21" s="232">
        <f t="shared" si="39"/>
        <v>0.12121212121212116</v>
      </c>
      <c r="DN21" s="233">
        <f t="shared" si="39"/>
        <v>0.12121212121212113</v>
      </c>
      <c r="DO21" s="232">
        <f t="shared" si="39"/>
        <v>0.12121212121212116</v>
      </c>
      <c r="DP21" s="233">
        <f t="shared" si="39"/>
        <v>0.12121212121212113</v>
      </c>
      <c r="DQ21" s="232">
        <f t="shared" si="39"/>
        <v>0.12121212121212116</v>
      </c>
      <c r="DR21" s="233">
        <f t="shared" si="39"/>
        <v>0.12121212121212113</v>
      </c>
      <c r="DS21" s="232">
        <f t="shared" si="39"/>
        <v>0.12121212121212116</v>
      </c>
      <c r="DT21" s="233">
        <f t="shared" si="39"/>
        <v>0.12121212121212113</v>
      </c>
      <c r="DU21" s="232">
        <f t="shared" si="39"/>
        <v>0.12121212121212116</v>
      </c>
      <c r="DV21" s="233">
        <f t="shared" si="39"/>
        <v>0.12121212121212113</v>
      </c>
      <c r="DW21" s="232">
        <f t="shared" si="39"/>
        <v>0.12121212121212116</v>
      </c>
      <c r="DX21" s="233">
        <f t="shared" si="39"/>
        <v>0.12121212121212113</v>
      </c>
      <c r="DY21" s="232">
        <f t="shared" si="39"/>
        <v>0.12121212121212116</v>
      </c>
      <c r="DZ21" s="233">
        <f t="shared" si="39"/>
        <v>0.12121212121212113</v>
      </c>
      <c r="EA21" s="232">
        <f t="shared" si="39"/>
        <v>0.12121212121212116</v>
      </c>
      <c r="EB21" s="233">
        <f t="shared" si="39"/>
        <v>0.12121212121212113</v>
      </c>
      <c r="EC21" s="232">
        <f t="shared" si="39"/>
        <v>0.12121212121212116</v>
      </c>
      <c r="ED21" s="233">
        <f t="shared" si="39"/>
        <v>0.12121212121212113</v>
      </c>
      <c r="EE21" s="232">
        <f t="shared" si="39"/>
        <v>0.12121212121212116</v>
      </c>
      <c r="EF21" s="233">
        <f t="shared" si="39"/>
        <v>0.12121212121212113</v>
      </c>
      <c r="EG21" s="232">
        <f t="shared" si="39"/>
        <v>0.12121212121212116</v>
      </c>
      <c r="EH21" s="233">
        <f t="shared" si="39"/>
        <v>0.12121212121212113</v>
      </c>
      <c r="EI21" s="232">
        <f t="shared" si="39"/>
        <v>0.12121212121212116</v>
      </c>
      <c r="EJ21" s="233">
        <f t="shared" si="39"/>
        <v>0.12121212121212113</v>
      </c>
      <c r="EK21" s="232">
        <f t="shared" si="39"/>
        <v>0.12121212121212116</v>
      </c>
      <c r="EL21" s="233">
        <f t="shared" si="39"/>
        <v>0.12121212121212113</v>
      </c>
      <c r="EM21" s="232">
        <f t="shared" si="39"/>
        <v>0.12121212121212116</v>
      </c>
      <c r="EN21" s="233">
        <f t="shared" si="39"/>
        <v>0.12121212121212113</v>
      </c>
      <c r="EO21" s="232">
        <f t="shared" si="39"/>
        <v>0.12121212121212116</v>
      </c>
      <c r="EP21" s="233">
        <f t="shared" si="39"/>
        <v>0.12121212121212113</v>
      </c>
      <c r="EQ21" s="232">
        <f t="shared" si="39"/>
        <v>0.12121212121212116</v>
      </c>
      <c r="ER21" s="233">
        <f t="shared" si="39"/>
        <v>0.12121212121212113</v>
      </c>
      <c r="ES21" s="232">
        <f t="shared" si="39"/>
        <v>0.12121212121212116</v>
      </c>
      <c r="ET21" s="233">
        <f t="shared" si="39"/>
        <v>0.12121212121212113</v>
      </c>
      <c r="EU21" s="232">
        <f t="shared" si="39"/>
        <v>0.12121212121212116</v>
      </c>
      <c r="EV21" s="233">
        <f t="shared" si="39"/>
        <v>0.12121212121212113</v>
      </c>
      <c r="EW21" s="232">
        <f t="shared" si="39"/>
        <v>0.12121212121212116</v>
      </c>
      <c r="EX21" s="233">
        <f t="shared" si="39"/>
        <v>0.12121212121212113</v>
      </c>
      <c r="EY21" s="232">
        <f t="shared" si="39"/>
        <v>0.12121212121212116</v>
      </c>
      <c r="EZ21" s="233">
        <f t="shared" si="39"/>
        <v>0.12121212121212113</v>
      </c>
      <c r="FA21" s="232">
        <f t="shared" si="39"/>
        <v>0.12121212121212116</v>
      </c>
      <c r="FB21" s="233">
        <f t="shared" si="39"/>
        <v>0.12121212121212113</v>
      </c>
      <c r="FC21" s="232">
        <f t="shared" si="39"/>
        <v>0.12121212121212116</v>
      </c>
      <c r="FD21" s="233">
        <f t="shared" si="39"/>
        <v>0.12121212121212113</v>
      </c>
      <c r="FE21" s="232">
        <f t="shared" si="39"/>
        <v>0.12121212121212116</v>
      </c>
      <c r="FF21" s="233">
        <f t="shared" si="39"/>
        <v>0.12121212121212113</v>
      </c>
      <c r="FG21" s="232">
        <f t="shared" si="39"/>
        <v>0.12121212121212116</v>
      </c>
      <c r="FH21" s="233">
        <f t="shared" si="39"/>
        <v>0.12121212121212113</v>
      </c>
      <c r="FI21" s="232">
        <f t="shared" si="39"/>
        <v>0.12121212121212116</v>
      </c>
      <c r="FJ21" s="233">
        <f t="shared" si="39"/>
        <v>0.12121212121212113</v>
      </c>
      <c r="FK21" s="232">
        <f t="shared" si="39"/>
        <v>0.12121212121212116</v>
      </c>
      <c r="FL21" s="233">
        <f t="shared" si="39"/>
        <v>0.12121212121212113</v>
      </c>
      <c r="FM21" s="232">
        <f t="shared" si="39"/>
        <v>0.10606697491943404</v>
      </c>
      <c r="FN21" s="233">
        <f t="shared" si="39"/>
        <v>0.10606697491943405</v>
      </c>
      <c r="FO21" s="232">
        <f t="shared" si="39"/>
        <v>0.10606697491943404</v>
      </c>
      <c r="FP21" s="233">
        <f t="shared" si="39"/>
        <v>0.10606697491943405</v>
      </c>
      <c r="FQ21" s="235"/>
      <c r="FR21" s="232">
        <f t="shared" ref="FR21:IC21" si="40">FR22/FR18</f>
        <v>0.12666666666666662</v>
      </c>
      <c r="FS21" s="233">
        <f t="shared" si="40"/>
        <v>0</v>
      </c>
      <c r="FT21" s="232">
        <f t="shared" si="40"/>
        <v>0.12666666666666662</v>
      </c>
      <c r="FU21" s="233">
        <f t="shared" si="40"/>
        <v>0</v>
      </c>
      <c r="FV21" s="232">
        <f t="shared" si="40"/>
        <v>0.12500000000000011</v>
      </c>
      <c r="FW21" s="233">
        <f t="shared" si="40"/>
        <v>0</v>
      </c>
      <c r="FX21" s="232">
        <f t="shared" si="40"/>
        <v>0.12500000000000011</v>
      </c>
      <c r="FY21" s="233">
        <f t="shared" si="40"/>
        <v>0</v>
      </c>
      <c r="FZ21" s="232">
        <f t="shared" si="40"/>
        <v>0.12500000000000011</v>
      </c>
      <c r="GA21" s="233">
        <f t="shared" si="40"/>
        <v>0</v>
      </c>
      <c r="GB21" s="232">
        <f t="shared" si="40"/>
        <v>0.12121212121212119</v>
      </c>
      <c r="GC21" s="233">
        <f t="shared" si="40"/>
        <v>0</v>
      </c>
      <c r="GD21" s="232">
        <f t="shared" si="40"/>
        <v>0.1249999999999999</v>
      </c>
      <c r="GE21" s="233">
        <f t="shared" si="40"/>
        <v>0</v>
      </c>
      <c r="GF21" s="232">
        <f t="shared" si="40"/>
        <v>0.1249999999999999</v>
      </c>
      <c r="GG21" s="233">
        <f t="shared" si="40"/>
        <v>0</v>
      </c>
      <c r="GH21" s="232">
        <f t="shared" si="40"/>
        <v>0.1249999999999999</v>
      </c>
      <c r="GI21" s="233">
        <f t="shared" si="40"/>
        <v>0</v>
      </c>
      <c r="GJ21" s="232">
        <f t="shared" si="40"/>
        <v>0.11842105263157889</v>
      </c>
      <c r="GK21" s="233">
        <f t="shared" si="40"/>
        <v>0.11842105263157893</v>
      </c>
      <c r="GL21" s="232">
        <f t="shared" si="40"/>
        <v>0.11842105263157889</v>
      </c>
      <c r="GM21" s="233">
        <f t="shared" si="40"/>
        <v>0</v>
      </c>
      <c r="GN21" s="232">
        <f t="shared" si="40"/>
        <v>0.11842105263157889</v>
      </c>
      <c r="GO21" s="233">
        <f t="shared" si="40"/>
        <v>0</v>
      </c>
      <c r="GP21" s="232">
        <f t="shared" si="40"/>
        <v>0.11842105263157889</v>
      </c>
      <c r="GQ21" s="233">
        <f t="shared" si="40"/>
        <v>0</v>
      </c>
      <c r="GR21" s="232">
        <f t="shared" si="40"/>
        <v>0.11842105263157889</v>
      </c>
      <c r="GS21" s="233">
        <f t="shared" si="40"/>
        <v>0</v>
      </c>
      <c r="GT21" s="232">
        <f t="shared" si="40"/>
        <v>0.11842105263157889</v>
      </c>
      <c r="GU21" s="233">
        <f t="shared" si="40"/>
        <v>0</v>
      </c>
      <c r="GV21" s="232">
        <f t="shared" si="40"/>
        <v>0.11842105263157889</v>
      </c>
      <c r="GW21" s="233">
        <f t="shared" si="40"/>
        <v>0</v>
      </c>
      <c r="GX21" s="232">
        <f t="shared" si="40"/>
        <v>0.11842105263157889</v>
      </c>
      <c r="GY21" s="233">
        <f t="shared" si="40"/>
        <v>0.11842105263157893</v>
      </c>
      <c r="GZ21" s="232">
        <f t="shared" si="40"/>
        <v>0.11842105263157889</v>
      </c>
      <c r="HA21" s="233">
        <f t="shared" si="40"/>
        <v>0.11842105263157893</v>
      </c>
      <c r="HB21" s="232">
        <f t="shared" si="40"/>
        <v>0.11842105263157889</v>
      </c>
      <c r="HC21" s="233">
        <f t="shared" si="40"/>
        <v>0.11842105263157893</v>
      </c>
      <c r="HD21" s="232">
        <f t="shared" si="40"/>
        <v>0.11842105263157889</v>
      </c>
      <c r="HE21" s="233">
        <f t="shared" si="40"/>
        <v>0.11842105263157893</v>
      </c>
      <c r="HF21" s="232">
        <f t="shared" si="40"/>
        <v>0.11842105263157889</v>
      </c>
      <c r="HG21" s="233">
        <f t="shared" si="40"/>
        <v>0.11842105263157893</v>
      </c>
      <c r="HH21" s="232">
        <f t="shared" si="40"/>
        <v>0.11842105263157889</v>
      </c>
      <c r="HI21" s="233">
        <f t="shared" si="40"/>
        <v>0.11842105263157893</v>
      </c>
      <c r="HJ21" s="232">
        <f t="shared" si="40"/>
        <v>0.11842105263157889</v>
      </c>
      <c r="HK21" s="233">
        <f t="shared" si="40"/>
        <v>0.11842105263157893</v>
      </c>
      <c r="HL21" s="232">
        <f t="shared" si="40"/>
        <v>0.11842105263157889</v>
      </c>
      <c r="HM21" s="233">
        <f t="shared" si="40"/>
        <v>0.11842105263157893</v>
      </c>
      <c r="HN21" s="232">
        <f t="shared" si="40"/>
        <v>0.11842105263157889</v>
      </c>
      <c r="HO21" s="233">
        <f t="shared" si="40"/>
        <v>0.11842105263157893</v>
      </c>
      <c r="HP21" s="232">
        <f t="shared" si="40"/>
        <v>0.11842105263157889</v>
      </c>
      <c r="HQ21" s="233">
        <f t="shared" si="40"/>
        <v>0.11842105263157893</v>
      </c>
      <c r="HR21" s="232">
        <f t="shared" si="40"/>
        <v>0.11842105263157889</v>
      </c>
      <c r="HS21" s="233">
        <f t="shared" si="40"/>
        <v>0.11842105263157893</v>
      </c>
      <c r="HT21" s="232">
        <f t="shared" si="40"/>
        <v>0.11842105263157889</v>
      </c>
      <c r="HU21" s="233">
        <f t="shared" si="40"/>
        <v>0.11842105263157893</v>
      </c>
      <c r="HV21" s="232">
        <f t="shared" si="40"/>
        <v>0.11842105263157889</v>
      </c>
      <c r="HW21" s="233">
        <f t="shared" si="40"/>
        <v>0.11842105263157893</v>
      </c>
      <c r="HX21" s="232">
        <f t="shared" si="40"/>
        <v>0.11842105263157889</v>
      </c>
      <c r="HY21" s="233">
        <f t="shared" si="40"/>
        <v>0.11842105263157893</v>
      </c>
      <c r="HZ21" s="232">
        <f t="shared" si="40"/>
        <v>0.11842105263157889</v>
      </c>
      <c r="IA21" s="233">
        <f t="shared" si="40"/>
        <v>0.11842105263157893</v>
      </c>
      <c r="IB21" s="232">
        <f t="shared" si="40"/>
        <v>0.11842105263157889</v>
      </c>
      <c r="IC21" s="233">
        <f t="shared" si="40"/>
        <v>0.11842105263157893</v>
      </c>
      <c r="ID21" s="232">
        <f t="shared" ref="ID21:IY21" si="41">ID22/ID18</f>
        <v>0.11842105263157889</v>
      </c>
      <c r="IE21" s="233">
        <f t="shared" si="41"/>
        <v>0.11842105263157893</v>
      </c>
      <c r="IF21" s="232">
        <f t="shared" si="41"/>
        <v>0.11842105263157889</v>
      </c>
      <c r="IG21" s="233">
        <f t="shared" si="41"/>
        <v>0.11842105263157893</v>
      </c>
      <c r="IH21" s="232">
        <f t="shared" si="41"/>
        <v>0.11842105263157889</v>
      </c>
      <c r="II21" s="233">
        <f t="shared" si="41"/>
        <v>0.11842105263157893</v>
      </c>
      <c r="IJ21" s="232">
        <f t="shared" si="41"/>
        <v>0.11842105263157889</v>
      </c>
      <c r="IK21" s="233">
        <f t="shared" si="41"/>
        <v>0.11842105263157893</v>
      </c>
      <c r="IL21" s="232">
        <f t="shared" si="41"/>
        <v>0.11842105263157889</v>
      </c>
      <c r="IM21" s="233">
        <f t="shared" si="41"/>
        <v>0.11842105263157893</v>
      </c>
      <c r="IN21" s="232">
        <f t="shared" si="41"/>
        <v>0.11842105263157889</v>
      </c>
      <c r="IO21" s="233">
        <f t="shared" si="41"/>
        <v>0.11842105263157893</v>
      </c>
      <c r="IP21" s="232">
        <f t="shared" si="41"/>
        <v>0.11842105263157889</v>
      </c>
      <c r="IQ21" s="233">
        <f t="shared" si="41"/>
        <v>0.11842105263157893</v>
      </c>
      <c r="IR21" s="232">
        <f t="shared" si="41"/>
        <v>0.11842105263157889</v>
      </c>
      <c r="IS21" s="233">
        <f t="shared" si="41"/>
        <v>0.11842105263157893</v>
      </c>
      <c r="IT21" s="232">
        <f t="shared" si="41"/>
        <v>0.11842105263157889</v>
      </c>
      <c r="IU21" s="233">
        <f t="shared" si="41"/>
        <v>0.11842105263157893</v>
      </c>
      <c r="IV21" s="232">
        <f t="shared" si="41"/>
        <v>0.10427807486631004</v>
      </c>
      <c r="IW21" s="233">
        <f t="shared" si="41"/>
        <v>0.10427807486631012</v>
      </c>
      <c r="IX21" s="232">
        <f t="shared" si="41"/>
        <v>0.10427807486631004</v>
      </c>
      <c r="IY21" s="233">
        <f t="shared" si="41"/>
        <v>0.10427807486631012</v>
      </c>
      <c r="IZ21" s="231"/>
      <c r="JA21" s="232">
        <f>JA22/JA18</f>
        <v>0.13502673796791431</v>
      </c>
      <c r="JB21" s="233">
        <f>JB22/JB18</f>
        <v>0.13502673796791434</v>
      </c>
      <c r="JC21" s="232">
        <f>JC22/JC18</f>
        <v>9.7222222222222127E-2</v>
      </c>
      <c r="JD21" s="233">
        <f>JD22/JD18</f>
        <v>9.722222222222214E-2</v>
      </c>
      <c r="JE21" s="231"/>
      <c r="JF21" s="232">
        <f t="shared" ref="JF21:LQ21" si="42">JF22/JF18</f>
        <v>0.12142857142857139</v>
      </c>
      <c r="JG21" s="233">
        <f t="shared" si="42"/>
        <v>0.12142857142857143</v>
      </c>
      <c r="JH21" s="232">
        <f t="shared" si="42"/>
        <v>0.12142857142857139</v>
      </c>
      <c r="JI21" s="233">
        <f t="shared" si="42"/>
        <v>0.12142857142857143</v>
      </c>
      <c r="JJ21" s="232">
        <f t="shared" si="42"/>
        <v>0.12666666666666662</v>
      </c>
      <c r="JK21" s="233">
        <f t="shared" si="42"/>
        <v>0.12666666666666657</v>
      </c>
      <c r="JL21" s="232">
        <f t="shared" si="42"/>
        <v>0.12666666666666662</v>
      </c>
      <c r="JM21" s="233">
        <f t="shared" si="42"/>
        <v>0.12666666666666657</v>
      </c>
      <c r="JN21" s="232">
        <f t="shared" si="42"/>
        <v>0.12666666666666662</v>
      </c>
      <c r="JO21" s="233">
        <f t="shared" si="42"/>
        <v>0.12666666666666657</v>
      </c>
      <c r="JP21" s="232">
        <f t="shared" si="42"/>
        <v>0.12096774193548386</v>
      </c>
      <c r="JQ21" s="233">
        <f t="shared" si="42"/>
        <v>0.12096774193548374</v>
      </c>
      <c r="JR21" s="232">
        <f t="shared" si="42"/>
        <v>0.12096774193548386</v>
      </c>
      <c r="JS21" s="233">
        <f t="shared" si="42"/>
        <v>0.12096774193548374</v>
      </c>
      <c r="JT21" s="232">
        <f t="shared" si="42"/>
        <v>0.12096774193548386</v>
      </c>
      <c r="JU21" s="233">
        <f t="shared" si="42"/>
        <v>0.12096774193548374</v>
      </c>
      <c r="JV21" s="232">
        <f t="shared" si="42"/>
        <v>0.12096774193548386</v>
      </c>
      <c r="JW21" s="233">
        <f t="shared" si="42"/>
        <v>0.12096774193548383</v>
      </c>
      <c r="JX21" s="232">
        <f t="shared" si="42"/>
        <v>0.12096774193548386</v>
      </c>
      <c r="JY21" s="233">
        <f t="shared" si="42"/>
        <v>0.12096774193548374</v>
      </c>
      <c r="JZ21" s="232">
        <f t="shared" si="42"/>
        <v>0.12096774193548386</v>
      </c>
      <c r="KA21" s="233">
        <f t="shared" si="42"/>
        <v>0.12096774193548374</v>
      </c>
      <c r="KB21" s="232">
        <f t="shared" si="42"/>
        <v>0.12096774193548386</v>
      </c>
      <c r="KC21" s="233">
        <f t="shared" si="42"/>
        <v>0.12096774193548374</v>
      </c>
      <c r="KD21" s="232">
        <f t="shared" si="42"/>
        <v>0.12096774193548386</v>
      </c>
      <c r="KE21" s="233">
        <f t="shared" si="42"/>
        <v>0.12096774193548374</v>
      </c>
      <c r="KF21" s="232">
        <f t="shared" si="42"/>
        <v>0.12096774193548386</v>
      </c>
      <c r="KG21" s="233">
        <f t="shared" si="42"/>
        <v>0.12096774193548374</v>
      </c>
      <c r="KH21" s="232">
        <f t="shared" si="42"/>
        <v>0.12096774193548386</v>
      </c>
      <c r="KI21" s="233">
        <f t="shared" si="42"/>
        <v>0.12096774193548374</v>
      </c>
      <c r="KJ21" s="232">
        <f t="shared" si="42"/>
        <v>0.12096774193548386</v>
      </c>
      <c r="KK21" s="233">
        <f t="shared" si="42"/>
        <v>0.12096774193548374</v>
      </c>
      <c r="KL21" s="232">
        <f t="shared" si="42"/>
        <v>0.12096774193548386</v>
      </c>
      <c r="KM21" s="233">
        <f t="shared" si="42"/>
        <v>0.12096774193548374</v>
      </c>
      <c r="KN21" s="232">
        <f t="shared" si="42"/>
        <v>0.12096774193548386</v>
      </c>
      <c r="KO21" s="233">
        <f t="shared" si="42"/>
        <v>0.12096774193548374</v>
      </c>
      <c r="KP21" s="232">
        <f t="shared" si="42"/>
        <v>0.12096774193548386</v>
      </c>
      <c r="KQ21" s="233">
        <f t="shared" si="42"/>
        <v>0.12096774193548374</v>
      </c>
      <c r="KR21" s="232">
        <f t="shared" si="42"/>
        <v>0.12096774193548386</v>
      </c>
      <c r="KS21" s="233">
        <f t="shared" si="42"/>
        <v>0.12096774193548374</v>
      </c>
      <c r="KT21" s="232">
        <f t="shared" si="42"/>
        <v>0.12096774193548386</v>
      </c>
      <c r="KU21" s="233">
        <f t="shared" si="42"/>
        <v>0.12096774193548374</v>
      </c>
      <c r="KV21" s="232">
        <f t="shared" si="42"/>
        <v>0.12096774193548386</v>
      </c>
      <c r="KW21" s="233">
        <f t="shared" si="42"/>
        <v>0.12096774193548374</v>
      </c>
      <c r="KX21" s="232">
        <f t="shared" si="42"/>
        <v>0.12096774193548386</v>
      </c>
      <c r="KY21" s="233">
        <f t="shared" si="42"/>
        <v>0.12096774193548374</v>
      </c>
      <c r="KZ21" s="232">
        <f t="shared" si="42"/>
        <v>0.12096774193548386</v>
      </c>
      <c r="LA21" s="233">
        <f t="shared" si="42"/>
        <v>0.12096774193548374</v>
      </c>
      <c r="LB21" s="232">
        <f t="shared" si="42"/>
        <v>0.12660256410256418</v>
      </c>
      <c r="LC21" s="233">
        <f t="shared" si="42"/>
        <v>0.1266025641025641</v>
      </c>
      <c r="LD21" s="232">
        <f t="shared" si="42"/>
        <v>0.15477667493796535</v>
      </c>
      <c r="LE21" s="233">
        <f t="shared" si="42"/>
        <v>0.15477667493796524</v>
      </c>
      <c r="LF21" s="232">
        <f t="shared" si="42"/>
        <v>0.15477667493796535</v>
      </c>
      <c r="LG21" s="233">
        <f t="shared" si="42"/>
        <v>0.15477667493796524</v>
      </c>
      <c r="LH21" s="232">
        <f t="shared" si="42"/>
        <v>0.15477667493796535</v>
      </c>
      <c r="LI21" s="233">
        <f t="shared" si="42"/>
        <v>0.15477667493796524</v>
      </c>
      <c r="LJ21" s="232">
        <f t="shared" si="42"/>
        <v>0.15477667493796535</v>
      </c>
      <c r="LK21" s="233">
        <f t="shared" si="42"/>
        <v>0.15477667493796524</v>
      </c>
      <c r="LL21" s="232">
        <f t="shared" si="42"/>
        <v>0.15477667493796535</v>
      </c>
      <c r="LM21" s="233">
        <f t="shared" si="42"/>
        <v>0.15477667493796524</v>
      </c>
      <c r="LN21" s="232">
        <f t="shared" si="42"/>
        <v>0.15477667493796535</v>
      </c>
      <c r="LO21" s="233">
        <f t="shared" si="42"/>
        <v>0.15477667493796524</v>
      </c>
      <c r="LP21" s="232">
        <f t="shared" si="42"/>
        <v>0.15477667493796535</v>
      </c>
      <c r="LQ21" s="233">
        <f t="shared" si="42"/>
        <v>0.15477667493796524</v>
      </c>
      <c r="LR21" s="232">
        <f t="shared" ref="LR21:MG21" si="43">LR22/LR18</f>
        <v>0.15477667493796535</v>
      </c>
      <c r="LS21" s="233">
        <f t="shared" si="43"/>
        <v>0.15477667493796524</v>
      </c>
      <c r="LT21" s="232">
        <f t="shared" si="43"/>
        <v>0.12660256410256418</v>
      </c>
      <c r="LU21" s="233">
        <f t="shared" si="43"/>
        <v>0.1266025641025641</v>
      </c>
      <c r="LV21" s="232">
        <f t="shared" si="43"/>
        <v>0.12660256410256418</v>
      </c>
      <c r="LW21" s="233">
        <f t="shared" si="43"/>
        <v>0.1266025641025641</v>
      </c>
      <c r="LX21" s="232">
        <f t="shared" si="43"/>
        <v>0.12660256410256418</v>
      </c>
      <c r="LY21" s="233">
        <f t="shared" si="43"/>
        <v>0.1266025641025641</v>
      </c>
      <c r="LZ21" s="232">
        <f t="shared" si="43"/>
        <v>0.12660256410256418</v>
      </c>
      <c r="MA21" s="233">
        <f t="shared" si="43"/>
        <v>0.1266025641025641</v>
      </c>
      <c r="MB21" s="232">
        <f t="shared" si="43"/>
        <v>0.12660256410256418</v>
      </c>
      <c r="MC21" s="233">
        <f t="shared" si="43"/>
        <v>0.1266025641025641</v>
      </c>
      <c r="MD21" s="232">
        <f t="shared" si="43"/>
        <v>0.12660256410256418</v>
      </c>
      <c r="ME21" s="233">
        <f t="shared" si="43"/>
        <v>0.1266025641025641</v>
      </c>
      <c r="MF21" s="232">
        <f t="shared" si="43"/>
        <v>0.10476762820512817</v>
      </c>
      <c r="MG21" s="233">
        <f t="shared" si="43"/>
        <v>0.10476762820512804</v>
      </c>
      <c r="MH21" s="231"/>
      <c r="MI21" s="232">
        <f t="shared" ref="MI21:PL21" si="44">MI22/MI18</f>
        <v>0.19666666666666663</v>
      </c>
      <c r="MJ21" s="233">
        <f t="shared" si="44"/>
        <v>5.9999999999999956E-2</v>
      </c>
      <c r="MK21" s="232">
        <f t="shared" si="44"/>
        <v>0.15499999999999994</v>
      </c>
      <c r="ML21" s="233">
        <f t="shared" si="44"/>
        <v>5.9999999999999956E-2</v>
      </c>
      <c r="MM21" s="232">
        <f t="shared" si="44"/>
        <v>0.15499999999999994</v>
      </c>
      <c r="MN21" s="233">
        <f t="shared" si="44"/>
        <v>5.9999999999999956E-2</v>
      </c>
      <c r="MO21" s="232">
        <f t="shared" si="44"/>
        <v>0.15499999999999994</v>
      </c>
      <c r="MP21" s="233">
        <f t="shared" si="44"/>
        <v>5.9999999999999956E-2</v>
      </c>
      <c r="MQ21" s="232">
        <f t="shared" si="44"/>
        <v>0.15499999999999994</v>
      </c>
      <c r="MR21" s="233">
        <f t="shared" si="44"/>
        <v>5.9999999999999956E-2</v>
      </c>
      <c r="MS21" s="232">
        <f t="shared" si="44"/>
        <v>0.14999999999999994</v>
      </c>
      <c r="MT21" s="233">
        <f t="shared" si="44"/>
        <v>6.0000000000000032E-2</v>
      </c>
      <c r="MU21" s="232">
        <f t="shared" si="44"/>
        <v>0.16461538461538464</v>
      </c>
      <c r="MV21" s="233">
        <f t="shared" si="44"/>
        <v>5.9999999999999991E-2</v>
      </c>
      <c r="MW21" s="232">
        <f t="shared" si="44"/>
        <v>0.155</v>
      </c>
      <c r="MX21" s="233">
        <f t="shared" si="44"/>
        <v>6.0000000000000074E-2</v>
      </c>
      <c r="MY21" s="232">
        <f t="shared" si="44"/>
        <v>0.155</v>
      </c>
      <c r="MZ21" s="233">
        <f t="shared" si="44"/>
        <v>6.0000000000000088E-2</v>
      </c>
      <c r="NA21" s="232">
        <f t="shared" si="44"/>
        <v>0.155</v>
      </c>
      <c r="NB21" s="233">
        <f t="shared" si="44"/>
        <v>6.0000000000000074E-2</v>
      </c>
      <c r="NC21" s="232">
        <f t="shared" si="44"/>
        <v>0.155</v>
      </c>
      <c r="ND21" s="233">
        <f t="shared" si="44"/>
        <v>6.0000000000000074E-2</v>
      </c>
      <c r="NE21" s="232">
        <f t="shared" si="44"/>
        <v>0.155</v>
      </c>
      <c r="NF21" s="233">
        <f t="shared" si="44"/>
        <v>6.0000000000000074E-2</v>
      </c>
      <c r="NG21" s="232">
        <f t="shared" si="44"/>
        <v>0.155</v>
      </c>
      <c r="NH21" s="233">
        <f t="shared" si="44"/>
        <v>6.0000000000000074E-2</v>
      </c>
      <c r="NI21" s="232">
        <f t="shared" si="44"/>
        <v>0.155</v>
      </c>
      <c r="NJ21" s="233">
        <f t="shared" si="44"/>
        <v>6.0000000000000074E-2</v>
      </c>
      <c r="NK21" s="232">
        <f t="shared" si="44"/>
        <v>0.155</v>
      </c>
      <c r="NL21" s="233">
        <f t="shared" si="44"/>
        <v>6.0000000000000074E-2</v>
      </c>
      <c r="NM21" s="232">
        <f t="shared" si="44"/>
        <v>0.155</v>
      </c>
      <c r="NN21" s="233">
        <f t="shared" si="44"/>
        <v>0.15499999999999994</v>
      </c>
      <c r="NO21" s="232">
        <f t="shared" si="44"/>
        <v>0.155</v>
      </c>
      <c r="NP21" s="233">
        <f t="shared" si="44"/>
        <v>0.15499999999999994</v>
      </c>
      <c r="NQ21" s="232">
        <f t="shared" si="44"/>
        <v>0.155</v>
      </c>
      <c r="NR21" s="233">
        <f t="shared" si="44"/>
        <v>0.15499999999999994</v>
      </c>
      <c r="NS21" s="232">
        <f t="shared" si="44"/>
        <v>0.155</v>
      </c>
      <c r="NT21" s="233">
        <f t="shared" si="44"/>
        <v>0.15499999999999994</v>
      </c>
      <c r="NU21" s="232">
        <f t="shared" si="44"/>
        <v>0.155</v>
      </c>
      <c r="NV21" s="233">
        <f t="shared" si="44"/>
        <v>0.15499999999999994</v>
      </c>
      <c r="NW21" s="232">
        <f t="shared" si="44"/>
        <v>0.155</v>
      </c>
      <c r="NX21" s="233">
        <f t="shared" si="44"/>
        <v>0.15499999999999994</v>
      </c>
      <c r="NY21" s="232">
        <f t="shared" si="44"/>
        <v>0.155</v>
      </c>
      <c r="NZ21" s="233">
        <f t="shared" si="44"/>
        <v>0.15499999999999994</v>
      </c>
      <c r="OA21" s="232">
        <f t="shared" si="44"/>
        <v>0.155</v>
      </c>
      <c r="OB21" s="233">
        <f t="shared" si="44"/>
        <v>0.15499999999999994</v>
      </c>
      <c r="OC21" s="232">
        <f t="shared" si="44"/>
        <v>0.155</v>
      </c>
      <c r="OD21" s="233">
        <f t="shared" si="44"/>
        <v>0.15499999999999994</v>
      </c>
      <c r="OE21" s="232">
        <f t="shared" si="44"/>
        <v>0.155</v>
      </c>
      <c r="OF21" s="233">
        <f t="shared" si="44"/>
        <v>0.15499999999999994</v>
      </c>
      <c r="OG21" s="232">
        <f t="shared" si="44"/>
        <v>0.155</v>
      </c>
      <c r="OH21" s="233">
        <f t="shared" si="44"/>
        <v>0.15499999999999994</v>
      </c>
      <c r="OI21" s="232">
        <f t="shared" si="44"/>
        <v>0.155</v>
      </c>
      <c r="OJ21" s="233">
        <f t="shared" si="44"/>
        <v>0.15499999999999994</v>
      </c>
      <c r="OK21" s="232">
        <f t="shared" si="44"/>
        <v>0.155</v>
      </c>
      <c r="OL21" s="233">
        <f t="shared" si="44"/>
        <v>0.15499999999999994</v>
      </c>
      <c r="OM21" s="232">
        <f t="shared" si="44"/>
        <v>0.155</v>
      </c>
      <c r="ON21" s="233">
        <f t="shared" si="44"/>
        <v>0.15499999999999994</v>
      </c>
      <c r="OO21" s="232">
        <f t="shared" si="44"/>
        <v>0.155</v>
      </c>
      <c r="OP21" s="233">
        <f t="shared" si="44"/>
        <v>0.15499999999999994</v>
      </c>
      <c r="OQ21" s="232">
        <f t="shared" si="44"/>
        <v>0.155</v>
      </c>
      <c r="OR21" s="233">
        <f t="shared" si="44"/>
        <v>0.15499999999999994</v>
      </c>
      <c r="OS21" s="232">
        <f t="shared" si="44"/>
        <v>0.155</v>
      </c>
      <c r="OT21" s="233">
        <f t="shared" si="44"/>
        <v>0.15499999999999994</v>
      </c>
      <c r="OU21" s="232">
        <f t="shared" si="44"/>
        <v>0.125</v>
      </c>
      <c r="OV21" s="233">
        <f t="shared" si="44"/>
        <v>0.12499999999999994</v>
      </c>
      <c r="OW21" s="232">
        <f t="shared" si="44"/>
        <v>0.125</v>
      </c>
      <c r="OX21" s="233">
        <f t="shared" si="44"/>
        <v>0.12499999999999994</v>
      </c>
      <c r="OY21" s="232">
        <f t="shared" si="44"/>
        <v>0.125</v>
      </c>
      <c r="OZ21" s="233">
        <f t="shared" si="44"/>
        <v>0.12499999999999994</v>
      </c>
      <c r="PA21" s="232">
        <f t="shared" si="44"/>
        <v>0.125</v>
      </c>
      <c r="PB21" s="233">
        <f t="shared" si="44"/>
        <v>0.12499999999999994</v>
      </c>
      <c r="PC21" s="232">
        <f t="shared" si="44"/>
        <v>0.125</v>
      </c>
      <c r="PD21" s="233">
        <f t="shared" si="44"/>
        <v>0.12499999999999994</v>
      </c>
      <c r="PE21" s="232">
        <f t="shared" si="44"/>
        <v>0.125</v>
      </c>
      <c r="PF21" s="233">
        <f t="shared" si="44"/>
        <v>0.12499999999999994</v>
      </c>
      <c r="PG21" s="232">
        <f t="shared" si="44"/>
        <v>0.125</v>
      </c>
      <c r="PH21" s="233">
        <f t="shared" si="44"/>
        <v>0.12499999999999994</v>
      </c>
      <c r="PI21" s="232">
        <f t="shared" si="44"/>
        <v>0.13</v>
      </c>
      <c r="PJ21" s="233">
        <f t="shared" si="44"/>
        <v>0.13000000000000014</v>
      </c>
      <c r="PK21" s="232">
        <f t="shared" si="44"/>
        <v>9.5217391304347795E-2</v>
      </c>
      <c r="PL21" s="233">
        <f t="shared" si="44"/>
        <v>9.5217391304347768E-2</v>
      </c>
      <c r="PM21" s="232">
        <f>PM22/PM18</f>
        <v>0.11132812499999997</v>
      </c>
      <c r="PN21" s="233">
        <f>PN22/PN18</f>
        <v>0.11132812499999992</v>
      </c>
      <c r="PO21" s="232">
        <f>PO22/PO18</f>
        <v>0.12997159090909091</v>
      </c>
      <c r="PP21" s="233">
        <f>PP22/PP18</f>
        <v>0.12997159090909097</v>
      </c>
      <c r="PQ21" s="236"/>
      <c r="PR21" s="232">
        <f t="shared" ref="PR21:QC21" si="45">PR22/PR18</f>
        <v>0.14285714285714285</v>
      </c>
      <c r="PS21" s="233">
        <f t="shared" si="45"/>
        <v>0.1428571428571429</v>
      </c>
      <c r="PT21" s="232">
        <f t="shared" si="45"/>
        <v>0.14285714285714285</v>
      </c>
      <c r="PU21" s="233">
        <f t="shared" si="45"/>
        <v>0.1428571428571429</v>
      </c>
      <c r="PV21" s="232">
        <f t="shared" si="45"/>
        <v>9.9999999999999936E-2</v>
      </c>
      <c r="PW21" s="233">
        <f t="shared" si="45"/>
        <v>9.9999999999999922E-2</v>
      </c>
      <c r="PX21" s="232">
        <f t="shared" si="45"/>
        <v>9.9999999999999936E-2</v>
      </c>
      <c r="PY21" s="233">
        <f t="shared" si="45"/>
        <v>9.9999999999999922E-2</v>
      </c>
      <c r="PZ21" s="232">
        <f t="shared" si="45"/>
        <v>0.11999999999999993</v>
      </c>
      <c r="QA21" s="233">
        <f t="shared" si="45"/>
        <v>0.12000000000000001</v>
      </c>
      <c r="QB21" s="232">
        <f t="shared" si="45"/>
        <v>0.11999999999999993</v>
      </c>
      <c r="QC21" s="233">
        <f t="shared" si="45"/>
        <v>0.12000000000000001</v>
      </c>
      <c r="QD21" s="236"/>
      <c r="QE21" s="236"/>
      <c r="QF21" s="232">
        <f t="shared" ref="QF21:QQ21" si="46">QF22/QF18</f>
        <v>0.14285714285714285</v>
      </c>
      <c r="QG21" s="233">
        <f t="shared" si="46"/>
        <v>0.1428571428571429</v>
      </c>
      <c r="QH21" s="232">
        <f t="shared" si="46"/>
        <v>0.14285714285714285</v>
      </c>
      <c r="QI21" s="233">
        <f t="shared" si="46"/>
        <v>0.1428571428571429</v>
      </c>
      <c r="QJ21" s="232">
        <f t="shared" si="46"/>
        <v>9.9999999999999936E-2</v>
      </c>
      <c r="QK21" s="233">
        <f t="shared" si="46"/>
        <v>9.9999999999999922E-2</v>
      </c>
      <c r="QL21" s="232">
        <f t="shared" si="46"/>
        <v>9.9999999999999936E-2</v>
      </c>
      <c r="QM21" s="233">
        <f t="shared" si="46"/>
        <v>9.9999999999999922E-2</v>
      </c>
      <c r="QN21" s="232">
        <f t="shared" si="46"/>
        <v>9.9999999999999936E-2</v>
      </c>
      <c r="QO21" s="233">
        <f t="shared" si="46"/>
        <v>9.9999999999999922E-2</v>
      </c>
      <c r="QP21" s="232">
        <f t="shared" si="46"/>
        <v>9.9999999999999936E-2</v>
      </c>
      <c r="QQ21" s="233">
        <f t="shared" si="46"/>
        <v>9.9999999999999922E-2</v>
      </c>
    </row>
    <row r="22" spans="1:459" x14ac:dyDescent="0.45">
      <c r="A22" s="876"/>
      <c r="B22" s="237" t="s">
        <v>330</v>
      </c>
      <c r="C22" s="238"/>
      <c r="D22" s="239"/>
      <c r="E22" s="186"/>
      <c r="F22" s="240">
        <f t="shared" ref="F22:BQ22" si="47">F24+F26+F28</f>
        <v>1.5199999999999996</v>
      </c>
      <c r="G22" s="241">
        <f t="shared" si="47"/>
        <v>0</v>
      </c>
      <c r="H22" s="240">
        <f t="shared" si="47"/>
        <v>1.5199999999999996</v>
      </c>
      <c r="I22" s="241">
        <f t="shared" si="47"/>
        <v>0</v>
      </c>
      <c r="J22" s="240">
        <f t="shared" si="47"/>
        <v>1.5199999999999996</v>
      </c>
      <c r="K22" s="241">
        <f t="shared" si="47"/>
        <v>0</v>
      </c>
      <c r="L22" s="240">
        <f t="shared" si="47"/>
        <v>1.5199999999999996</v>
      </c>
      <c r="M22" s="241">
        <f t="shared" si="47"/>
        <v>0</v>
      </c>
      <c r="N22" s="240">
        <f t="shared" si="47"/>
        <v>1.5199999999999996</v>
      </c>
      <c r="O22" s="241">
        <f t="shared" si="47"/>
        <v>0</v>
      </c>
      <c r="P22" s="240">
        <f t="shared" si="47"/>
        <v>1.6000000000000014</v>
      </c>
      <c r="Q22" s="241">
        <f t="shared" si="47"/>
        <v>0</v>
      </c>
      <c r="R22" s="240">
        <f t="shared" si="47"/>
        <v>1.6000000000000014</v>
      </c>
      <c r="S22" s="241">
        <f t="shared" si="47"/>
        <v>0</v>
      </c>
      <c r="T22" s="240">
        <f t="shared" si="47"/>
        <v>1.6000000000000014</v>
      </c>
      <c r="U22" s="241">
        <f t="shared" si="47"/>
        <v>0</v>
      </c>
      <c r="V22" s="240">
        <f t="shared" si="47"/>
        <v>1.5999999999999996</v>
      </c>
      <c r="W22" s="241">
        <f t="shared" si="47"/>
        <v>0</v>
      </c>
      <c r="X22" s="240">
        <f t="shared" si="47"/>
        <v>1.6499999999999986</v>
      </c>
      <c r="Y22" s="241">
        <f t="shared" si="47"/>
        <v>0</v>
      </c>
      <c r="Z22" s="240">
        <f t="shared" si="47"/>
        <v>1.6499999999999986</v>
      </c>
      <c r="AA22" s="241">
        <f t="shared" si="47"/>
        <v>0</v>
      </c>
      <c r="AB22" s="240">
        <f t="shared" si="47"/>
        <v>1.6499999999999986</v>
      </c>
      <c r="AC22" s="241">
        <f t="shared" si="47"/>
        <v>0</v>
      </c>
      <c r="AD22" s="240">
        <f t="shared" si="47"/>
        <v>1.6799999999999997</v>
      </c>
      <c r="AE22" s="241">
        <f t="shared" si="47"/>
        <v>1.2727272727272716</v>
      </c>
      <c r="AF22" s="240">
        <f t="shared" si="47"/>
        <v>1.6799999999999997</v>
      </c>
      <c r="AG22" s="241">
        <f t="shared" si="47"/>
        <v>0</v>
      </c>
      <c r="AH22" s="240">
        <f t="shared" si="47"/>
        <v>1.6799999999999997</v>
      </c>
      <c r="AI22" s="241">
        <f t="shared" si="47"/>
        <v>0</v>
      </c>
      <c r="AJ22" s="240">
        <f t="shared" si="47"/>
        <v>1.6799999999999997</v>
      </c>
      <c r="AK22" s="241">
        <f t="shared" si="47"/>
        <v>0</v>
      </c>
      <c r="AL22" s="240">
        <f t="shared" si="47"/>
        <v>1.6799999999999997</v>
      </c>
      <c r="AM22" s="241">
        <f t="shared" si="47"/>
        <v>0</v>
      </c>
      <c r="AN22" s="240">
        <f t="shared" si="47"/>
        <v>1.6799999999999997</v>
      </c>
      <c r="AO22" s="241">
        <f t="shared" si="47"/>
        <v>0</v>
      </c>
      <c r="AP22" s="240">
        <f t="shared" si="47"/>
        <v>1.6799999999999997</v>
      </c>
      <c r="AQ22" s="241">
        <f t="shared" si="47"/>
        <v>0</v>
      </c>
      <c r="AR22" s="240">
        <f t="shared" si="47"/>
        <v>1.6799999999999997</v>
      </c>
      <c r="AS22" s="241">
        <f t="shared" si="47"/>
        <v>1.2727272727272716</v>
      </c>
      <c r="AT22" s="240">
        <f t="shared" si="47"/>
        <v>1.6799999999999997</v>
      </c>
      <c r="AU22" s="241">
        <f t="shared" si="47"/>
        <v>1.2727272727272716</v>
      </c>
      <c r="AV22" s="240">
        <f t="shared" si="47"/>
        <v>1.6799999999999997</v>
      </c>
      <c r="AW22" s="241">
        <f t="shared" si="47"/>
        <v>1.2727272727272716</v>
      </c>
      <c r="AX22" s="240">
        <f t="shared" si="47"/>
        <v>1.6799999999999997</v>
      </c>
      <c r="AY22" s="241">
        <f t="shared" si="47"/>
        <v>1.2727272727272716</v>
      </c>
      <c r="AZ22" s="240">
        <f t="shared" si="47"/>
        <v>1.6799999999999997</v>
      </c>
      <c r="BA22" s="241">
        <f t="shared" si="47"/>
        <v>1.2727272727272716</v>
      </c>
      <c r="BB22" s="240">
        <f t="shared" si="47"/>
        <v>1.6799999999999997</v>
      </c>
      <c r="BC22" s="241">
        <f t="shared" si="47"/>
        <v>1.2727272727272716</v>
      </c>
      <c r="BD22" s="240">
        <f t="shared" si="47"/>
        <v>1.6799999999999997</v>
      </c>
      <c r="BE22" s="241">
        <f t="shared" si="47"/>
        <v>1.2727272727272716</v>
      </c>
      <c r="BF22" s="240">
        <f t="shared" si="47"/>
        <v>1.6799999999999997</v>
      </c>
      <c r="BG22" s="241">
        <f t="shared" si="47"/>
        <v>1.2727272727272716</v>
      </c>
      <c r="BH22" s="240">
        <f t="shared" si="47"/>
        <v>1.6799999999999997</v>
      </c>
      <c r="BI22" s="241">
        <f t="shared" si="47"/>
        <v>1.2727272727272716</v>
      </c>
      <c r="BJ22" s="240">
        <f t="shared" si="47"/>
        <v>1.6799999999999997</v>
      </c>
      <c r="BK22" s="241">
        <f t="shared" si="47"/>
        <v>1.2727272727272716</v>
      </c>
      <c r="BL22" s="240">
        <f t="shared" si="47"/>
        <v>1.9215686274509807</v>
      </c>
      <c r="BM22" s="241">
        <f t="shared" si="47"/>
        <v>1.4557338086749845</v>
      </c>
      <c r="BN22" s="240">
        <f t="shared" si="47"/>
        <v>1.6799999999999997</v>
      </c>
      <c r="BO22" s="241">
        <f t="shared" si="47"/>
        <v>1.2727272727272716</v>
      </c>
      <c r="BP22" s="240">
        <f t="shared" si="47"/>
        <v>1.6799999999999997</v>
      </c>
      <c r="BQ22" s="241">
        <f t="shared" si="47"/>
        <v>1.2727272727272716</v>
      </c>
      <c r="BR22" s="240">
        <f t="shared" ref="BR22:CS22" si="48">BR24+BR26+BR28</f>
        <v>1.6799999999999997</v>
      </c>
      <c r="BS22" s="241">
        <f t="shared" si="48"/>
        <v>1.2727272727272716</v>
      </c>
      <c r="BT22" s="240">
        <f t="shared" si="48"/>
        <v>1.6799999999999997</v>
      </c>
      <c r="BU22" s="241">
        <f t="shared" si="48"/>
        <v>1.2727272727272716</v>
      </c>
      <c r="BV22" s="240">
        <f t="shared" si="48"/>
        <v>1.6799999999999997</v>
      </c>
      <c r="BW22" s="241">
        <f t="shared" si="48"/>
        <v>1.2727272727272716</v>
      </c>
      <c r="BX22" s="240">
        <f t="shared" si="48"/>
        <v>1.6799999999999997</v>
      </c>
      <c r="BY22" s="241">
        <f t="shared" si="48"/>
        <v>1.2727272727272716</v>
      </c>
      <c r="BZ22" s="240">
        <f t="shared" si="48"/>
        <v>1.6799999999999997</v>
      </c>
      <c r="CA22" s="241">
        <f t="shared" si="48"/>
        <v>1.2727272727272716</v>
      </c>
      <c r="CB22" s="240">
        <f t="shared" si="48"/>
        <v>1.6799999999999997</v>
      </c>
      <c r="CC22" s="241">
        <f t="shared" si="48"/>
        <v>1.2727272727272716</v>
      </c>
      <c r="CD22" s="240">
        <f t="shared" si="48"/>
        <v>1.6799999999999997</v>
      </c>
      <c r="CE22" s="241">
        <f t="shared" si="48"/>
        <v>1.2727272727272716</v>
      </c>
      <c r="CF22" s="240">
        <f t="shared" si="48"/>
        <v>1.6799999999999997</v>
      </c>
      <c r="CG22" s="241">
        <f t="shared" si="48"/>
        <v>1.2727272727272716</v>
      </c>
      <c r="CH22" s="240">
        <f t="shared" si="48"/>
        <v>1.6799999999999997</v>
      </c>
      <c r="CI22" s="241">
        <f t="shared" si="48"/>
        <v>1.2727272727272716</v>
      </c>
      <c r="CJ22" s="240">
        <f t="shared" si="48"/>
        <v>1.6799999999999997</v>
      </c>
      <c r="CK22" s="241">
        <f t="shared" si="48"/>
        <v>1.2727272727272716</v>
      </c>
      <c r="CL22" s="240">
        <f t="shared" si="48"/>
        <v>1.9215686274509807</v>
      </c>
      <c r="CM22" s="241">
        <f t="shared" si="48"/>
        <v>1.4557338086749845</v>
      </c>
      <c r="CN22" s="240">
        <f t="shared" si="48"/>
        <v>1.5584000000000007</v>
      </c>
      <c r="CO22" s="241">
        <f t="shared" si="48"/>
        <v>1.1806060606060591</v>
      </c>
      <c r="CP22" s="240">
        <f t="shared" si="48"/>
        <v>1.9391692307692314</v>
      </c>
      <c r="CQ22" s="241">
        <f t="shared" si="48"/>
        <v>1.4690675990675977</v>
      </c>
      <c r="CR22" s="240">
        <f t="shared" si="48"/>
        <v>2.0307692307692293</v>
      </c>
      <c r="CS22" s="241">
        <f t="shared" si="48"/>
        <v>1.5384615384615357</v>
      </c>
      <c r="CT22" s="242"/>
      <c r="CU22" s="240">
        <f t="shared" ref="CU22:DB22" si="49">CU24+CU26+CU28</f>
        <v>1.5599999999999987</v>
      </c>
      <c r="CV22" s="241">
        <f t="shared" si="49"/>
        <v>1.1818181818181799</v>
      </c>
      <c r="CW22" s="240">
        <f t="shared" si="49"/>
        <v>1.5599999999999987</v>
      </c>
      <c r="CX22" s="241">
        <f t="shared" si="49"/>
        <v>1.1818181818181799</v>
      </c>
      <c r="CY22" s="240">
        <f t="shared" si="49"/>
        <v>1.5599999999999987</v>
      </c>
      <c r="CZ22" s="241">
        <f t="shared" si="49"/>
        <v>1.1818181818181799</v>
      </c>
      <c r="DA22" s="240">
        <f t="shared" si="49"/>
        <v>2.1500000000000004</v>
      </c>
      <c r="DB22" s="241">
        <f t="shared" si="49"/>
        <v>1.6287878787878807</v>
      </c>
      <c r="DC22" s="240">
        <f>DC24+DC26+DC28</f>
        <v>2.3999999999999986</v>
      </c>
      <c r="DD22" s="241">
        <f>DD24+DD26+DD28</f>
        <v>1.8181818181818166</v>
      </c>
      <c r="DE22" s="240">
        <f t="shared" ref="DE22:FP22" si="50">DE24+DE26+DE28</f>
        <v>2.3999999999999986</v>
      </c>
      <c r="DF22" s="241">
        <f t="shared" si="50"/>
        <v>1.7142857142857135</v>
      </c>
      <c r="DG22" s="240">
        <f t="shared" si="50"/>
        <v>2.3999999999999986</v>
      </c>
      <c r="DH22" s="241">
        <f t="shared" si="50"/>
        <v>1.8181818181818166</v>
      </c>
      <c r="DI22" s="240">
        <f t="shared" si="50"/>
        <v>2.3999999999999986</v>
      </c>
      <c r="DJ22" s="241">
        <f t="shared" si="50"/>
        <v>1.8181818181818166</v>
      </c>
      <c r="DK22" s="240">
        <f t="shared" si="50"/>
        <v>2.3999999999999986</v>
      </c>
      <c r="DL22" s="241">
        <f t="shared" si="50"/>
        <v>1.8181818181818166</v>
      </c>
      <c r="DM22" s="240">
        <f t="shared" si="50"/>
        <v>2.3999999999999986</v>
      </c>
      <c r="DN22" s="241">
        <f t="shared" si="50"/>
        <v>1.8181818181818166</v>
      </c>
      <c r="DO22" s="240">
        <f t="shared" si="50"/>
        <v>2.3999999999999986</v>
      </c>
      <c r="DP22" s="241">
        <f t="shared" si="50"/>
        <v>1.8181818181818166</v>
      </c>
      <c r="DQ22" s="240">
        <f t="shared" si="50"/>
        <v>2.3999999999999986</v>
      </c>
      <c r="DR22" s="241">
        <f t="shared" si="50"/>
        <v>1.8181818181818166</v>
      </c>
      <c r="DS22" s="240">
        <f t="shared" si="50"/>
        <v>2.3999999999999986</v>
      </c>
      <c r="DT22" s="241">
        <f t="shared" si="50"/>
        <v>1.8181818181818166</v>
      </c>
      <c r="DU22" s="240">
        <f t="shared" si="50"/>
        <v>2.3999999999999986</v>
      </c>
      <c r="DV22" s="241">
        <f t="shared" si="50"/>
        <v>1.8181818181818166</v>
      </c>
      <c r="DW22" s="240">
        <f t="shared" si="50"/>
        <v>2.3999999999999986</v>
      </c>
      <c r="DX22" s="241">
        <f t="shared" si="50"/>
        <v>1.8181818181818166</v>
      </c>
      <c r="DY22" s="240">
        <f t="shared" si="50"/>
        <v>2.3999999999999986</v>
      </c>
      <c r="DZ22" s="241">
        <f t="shared" si="50"/>
        <v>1.8181818181818166</v>
      </c>
      <c r="EA22" s="240">
        <f t="shared" si="50"/>
        <v>2.3999999999999986</v>
      </c>
      <c r="EB22" s="241">
        <f t="shared" si="50"/>
        <v>1.8181818181818166</v>
      </c>
      <c r="EC22" s="240">
        <f t="shared" si="50"/>
        <v>2.3999999999999986</v>
      </c>
      <c r="ED22" s="241">
        <f t="shared" si="50"/>
        <v>1.8181818181818166</v>
      </c>
      <c r="EE22" s="240">
        <f t="shared" si="50"/>
        <v>2.3999999999999986</v>
      </c>
      <c r="EF22" s="241">
        <f t="shared" si="50"/>
        <v>1.8181818181818166</v>
      </c>
      <c r="EG22" s="240">
        <f t="shared" si="50"/>
        <v>2.3999999999999986</v>
      </c>
      <c r="EH22" s="241">
        <f t="shared" si="50"/>
        <v>1.8181818181818166</v>
      </c>
      <c r="EI22" s="240">
        <f t="shared" si="50"/>
        <v>2.3999999999999986</v>
      </c>
      <c r="EJ22" s="241">
        <f t="shared" si="50"/>
        <v>1.8181818181818166</v>
      </c>
      <c r="EK22" s="240">
        <f t="shared" si="50"/>
        <v>2.3999999999999986</v>
      </c>
      <c r="EL22" s="241">
        <f t="shared" si="50"/>
        <v>1.8181818181818166</v>
      </c>
      <c r="EM22" s="240">
        <f t="shared" si="50"/>
        <v>2.3999999999999986</v>
      </c>
      <c r="EN22" s="241">
        <f t="shared" si="50"/>
        <v>1.8181818181818166</v>
      </c>
      <c r="EO22" s="240">
        <f t="shared" si="50"/>
        <v>2.3999999999999986</v>
      </c>
      <c r="EP22" s="241">
        <f t="shared" si="50"/>
        <v>1.8181818181818166</v>
      </c>
      <c r="EQ22" s="240">
        <f t="shared" si="50"/>
        <v>2.3999999999999986</v>
      </c>
      <c r="ER22" s="241">
        <f t="shared" si="50"/>
        <v>1.8181818181818166</v>
      </c>
      <c r="ES22" s="240">
        <f t="shared" si="50"/>
        <v>2.3999999999999986</v>
      </c>
      <c r="ET22" s="241">
        <f t="shared" si="50"/>
        <v>1.8181818181818166</v>
      </c>
      <c r="EU22" s="240">
        <f t="shared" si="50"/>
        <v>2.3999999999999986</v>
      </c>
      <c r="EV22" s="241">
        <f t="shared" si="50"/>
        <v>1.8181818181818166</v>
      </c>
      <c r="EW22" s="240">
        <f t="shared" si="50"/>
        <v>2.3999999999999986</v>
      </c>
      <c r="EX22" s="241">
        <f t="shared" si="50"/>
        <v>1.8181818181818166</v>
      </c>
      <c r="EY22" s="240">
        <f t="shared" si="50"/>
        <v>2.3999999999999986</v>
      </c>
      <c r="EZ22" s="241">
        <f t="shared" si="50"/>
        <v>1.8181818181818166</v>
      </c>
      <c r="FA22" s="240">
        <f t="shared" si="50"/>
        <v>2.3999999999999986</v>
      </c>
      <c r="FB22" s="241">
        <f t="shared" si="50"/>
        <v>1.8181818181818166</v>
      </c>
      <c r="FC22" s="240">
        <f t="shared" si="50"/>
        <v>2.3999999999999986</v>
      </c>
      <c r="FD22" s="241">
        <f t="shared" si="50"/>
        <v>1.8181818181818166</v>
      </c>
      <c r="FE22" s="240">
        <f t="shared" si="50"/>
        <v>2.3999999999999986</v>
      </c>
      <c r="FF22" s="241">
        <f t="shared" si="50"/>
        <v>1.8181818181818166</v>
      </c>
      <c r="FG22" s="240">
        <f t="shared" si="50"/>
        <v>2.3999999999999986</v>
      </c>
      <c r="FH22" s="241">
        <f t="shared" si="50"/>
        <v>1.8181818181818166</v>
      </c>
      <c r="FI22" s="240">
        <f t="shared" si="50"/>
        <v>2.3999999999999986</v>
      </c>
      <c r="FJ22" s="241">
        <f t="shared" si="50"/>
        <v>1.8181818181818166</v>
      </c>
      <c r="FK22" s="240">
        <f t="shared" si="50"/>
        <v>2.3999999999999986</v>
      </c>
      <c r="FL22" s="241">
        <f t="shared" si="50"/>
        <v>1.8181818181818166</v>
      </c>
      <c r="FM22" s="240">
        <f t="shared" si="50"/>
        <v>1.941025641025643</v>
      </c>
      <c r="FN22" s="241">
        <f t="shared" si="50"/>
        <v>1.470473970473972</v>
      </c>
      <c r="FO22" s="240">
        <f t="shared" si="50"/>
        <v>1.941025641025643</v>
      </c>
      <c r="FP22" s="241">
        <f t="shared" si="50"/>
        <v>1.470473970473972</v>
      </c>
      <c r="FQ22" s="243"/>
      <c r="FR22" s="240">
        <f t="shared" ref="FR22:IC22" si="51">FR24+FR26+FR28</f>
        <v>1.5199999999999996</v>
      </c>
      <c r="FS22" s="241">
        <f t="shared" si="51"/>
        <v>0</v>
      </c>
      <c r="FT22" s="240">
        <f t="shared" si="51"/>
        <v>1.5199999999999996</v>
      </c>
      <c r="FU22" s="241">
        <f t="shared" si="51"/>
        <v>0</v>
      </c>
      <c r="FV22" s="240">
        <f t="shared" si="51"/>
        <v>1.6000000000000014</v>
      </c>
      <c r="FW22" s="241">
        <f t="shared" si="51"/>
        <v>0</v>
      </c>
      <c r="FX22" s="240">
        <f t="shared" si="51"/>
        <v>1.6000000000000014</v>
      </c>
      <c r="FY22" s="241">
        <f t="shared" si="51"/>
        <v>0</v>
      </c>
      <c r="FZ22" s="240">
        <f t="shared" si="51"/>
        <v>1.6000000000000014</v>
      </c>
      <c r="GA22" s="241">
        <f t="shared" si="51"/>
        <v>0</v>
      </c>
      <c r="GB22" s="240">
        <f t="shared" si="51"/>
        <v>1.5999999999999996</v>
      </c>
      <c r="GC22" s="241">
        <f t="shared" si="51"/>
        <v>0</v>
      </c>
      <c r="GD22" s="240">
        <f t="shared" si="51"/>
        <v>1.6499999999999986</v>
      </c>
      <c r="GE22" s="241">
        <f t="shared" si="51"/>
        <v>0</v>
      </c>
      <c r="GF22" s="240">
        <f t="shared" si="51"/>
        <v>1.6499999999999986</v>
      </c>
      <c r="GG22" s="241">
        <f t="shared" si="51"/>
        <v>0</v>
      </c>
      <c r="GH22" s="240">
        <f t="shared" si="51"/>
        <v>1.6499999999999986</v>
      </c>
      <c r="GI22" s="241">
        <f t="shared" si="51"/>
        <v>0</v>
      </c>
      <c r="GJ22" s="240">
        <f t="shared" si="51"/>
        <v>1.7999999999999989</v>
      </c>
      <c r="GK22" s="241">
        <f t="shared" si="51"/>
        <v>1.3636363636363633</v>
      </c>
      <c r="GL22" s="240">
        <f t="shared" si="51"/>
        <v>1.7999999999999989</v>
      </c>
      <c r="GM22" s="241">
        <f t="shared" si="51"/>
        <v>0</v>
      </c>
      <c r="GN22" s="240">
        <f t="shared" si="51"/>
        <v>1.7999999999999989</v>
      </c>
      <c r="GO22" s="241">
        <f t="shared" si="51"/>
        <v>0</v>
      </c>
      <c r="GP22" s="240">
        <f t="shared" si="51"/>
        <v>1.7999999999999989</v>
      </c>
      <c r="GQ22" s="241">
        <f t="shared" si="51"/>
        <v>0</v>
      </c>
      <c r="GR22" s="240">
        <f t="shared" si="51"/>
        <v>1.7999999999999989</v>
      </c>
      <c r="GS22" s="241">
        <f t="shared" si="51"/>
        <v>0</v>
      </c>
      <c r="GT22" s="240">
        <f t="shared" si="51"/>
        <v>1.7999999999999989</v>
      </c>
      <c r="GU22" s="241">
        <f t="shared" si="51"/>
        <v>0</v>
      </c>
      <c r="GV22" s="240">
        <f t="shared" si="51"/>
        <v>1.7999999999999989</v>
      </c>
      <c r="GW22" s="241">
        <f t="shared" si="51"/>
        <v>0</v>
      </c>
      <c r="GX22" s="240">
        <f t="shared" si="51"/>
        <v>1.7999999999999989</v>
      </c>
      <c r="GY22" s="241">
        <f t="shared" si="51"/>
        <v>1.3636363636363633</v>
      </c>
      <c r="GZ22" s="240">
        <f t="shared" si="51"/>
        <v>1.7999999999999989</v>
      </c>
      <c r="HA22" s="241">
        <f t="shared" si="51"/>
        <v>1.3636363636363633</v>
      </c>
      <c r="HB22" s="240">
        <f t="shared" si="51"/>
        <v>1.7999999999999989</v>
      </c>
      <c r="HC22" s="241">
        <f t="shared" si="51"/>
        <v>1.3636363636363633</v>
      </c>
      <c r="HD22" s="240">
        <f t="shared" si="51"/>
        <v>1.7999999999999989</v>
      </c>
      <c r="HE22" s="241">
        <f t="shared" si="51"/>
        <v>1.3636363636363633</v>
      </c>
      <c r="HF22" s="240">
        <f t="shared" si="51"/>
        <v>1.7999999999999989</v>
      </c>
      <c r="HG22" s="241">
        <f t="shared" si="51"/>
        <v>1.3636363636363633</v>
      </c>
      <c r="HH22" s="240">
        <f t="shared" si="51"/>
        <v>1.7999999999999989</v>
      </c>
      <c r="HI22" s="241">
        <f t="shared" si="51"/>
        <v>1.3636363636363633</v>
      </c>
      <c r="HJ22" s="240">
        <f t="shared" si="51"/>
        <v>1.7999999999999989</v>
      </c>
      <c r="HK22" s="241">
        <f t="shared" si="51"/>
        <v>1.3636363636363633</v>
      </c>
      <c r="HL22" s="240">
        <f t="shared" si="51"/>
        <v>1.7999999999999989</v>
      </c>
      <c r="HM22" s="241">
        <f t="shared" si="51"/>
        <v>1.3636363636363633</v>
      </c>
      <c r="HN22" s="240">
        <f t="shared" si="51"/>
        <v>1.7999999999999989</v>
      </c>
      <c r="HO22" s="241">
        <f t="shared" si="51"/>
        <v>1.3636363636363633</v>
      </c>
      <c r="HP22" s="240">
        <f t="shared" si="51"/>
        <v>1.7999999999999989</v>
      </c>
      <c r="HQ22" s="241">
        <f t="shared" si="51"/>
        <v>1.3636363636363633</v>
      </c>
      <c r="HR22" s="240">
        <f t="shared" si="51"/>
        <v>1.7999999999999989</v>
      </c>
      <c r="HS22" s="241">
        <f t="shared" si="51"/>
        <v>1.3636363636363633</v>
      </c>
      <c r="HT22" s="240">
        <f t="shared" si="51"/>
        <v>1.7999999999999989</v>
      </c>
      <c r="HU22" s="241">
        <f t="shared" si="51"/>
        <v>1.3636363636363633</v>
      </c>
      <c r="HV22" s="240">
        <f t="shared" si="51"/>
        <v>1.7999999999999989</v>
      </c>
      <c r="HW22" s="241">
        <f t="shared" si="51"/>
        <v>1.3636363636363633</v>
      </c>
      <c r="HX22" s="240">
        <f t="shared" si="51"/>
        <v>1.7999999999999989</v>
      </c>
      <c r="HY22" s="241">
        <f t="shared" si="51"/>
        <v>1.3636363636363633</v>
      </c>
      <c r="HZ22" s="240">
        <f t="shared" si="51"/>
        <v>1.7999999999999989</v>
      </c>
      <c r="IA22" s="241">
        <f t="shared" si="51"/>
        <v>1.3636363636363633</v>
      </c>
      <c r="IB22" s="240">
        <f t="shared" si="51"/>
        <v>1.7999999999999989</v>
      </c>
      <c r="IC22" s="241">
        <f t="shared" si="51"/>
        <v>1.3636363636363633</v>
      </c>
      <c r="ID22" s="240">
        <f t="shared" ref="ID22:IY22" si="52">ID24+ID26+ID28</f>
        <v>1.7999999999999989</v>
      </c>
      <c r="IE22" s="241">
        <f t="shared" si="52"/>
        <v>1.3636363636363633</v>
      </c>
      <c r="IF22" s="240">
        <f t="shared" si="52"/>
        <v>1.7999999999999989</v>
      </c>
      <c r="IG22" s="241">
        <f t="shared" si="52"/>
        <v>1.3636363636363633</v>
      </c>
      <c r="IH22" s="240">
        <f t="shared" si="52"/>
        <v>1.7999999999999989</v>
      </c>
      <c r="II22" s="241">
        <f t="shared" si="52"/>
        <v>1.3636363636363633</v>
      </c>
      <c r="IJ22" s="240">
        <f t="shared" si="52"/>
        <v>1.7999999999999989</v>
      </c>
      <c r="IK22" s="241">
        <f t="shared" si="52"/>
        <v>1.3636363636363633</v>
      </c>
      <c r="IL22" s="240">
        <f t="shared" si="52"/>
        <v>1.7999999999999989</v>
      </c>
      <c r="IM22" s="241">
        <f t="shared" si="52"/>
        <v>1.3636363636363633</v>
      </c>
      <c r="IN22" s="240">
        <f t="shared" si="52"/>
        <v>1.7999999999999989</v>
      </c>
      <c r="IO22" s="241">
        <f t="shared" si="52"/>
        <v>1.3636363636363633</v>
      </c>
      <c r="IP22" s="240">
        <f t="shared" si="52"/>
        <v>1.7999999999999989</v>
      </c>
      <c r="IQ22" s="241">
        <f t="shared" si="52"/>
        <v>1.3636363636363633</v>
      </c>
      <c r="IR22" s="240">
        <f t="shared" si="52"/>
        <v>1.7999999999999989</v>
      </c>
      <c r="IS22" s="241">
        <f t="shared" si="52"/>
        <v>1.3636363636363633</v>
      </c>
      <c r="IT22" s="240">
        <f t="shared" si="52"/>
        <v>1.7999999999999989</v>
      </c>
      <c r="IU22" s="241">
        <f t="shared" si="52"/>
        <v>1.3636363636363633</v>
      </c>
      <c r="IV22" s="240">
        <f t="shared" si="52"/>
        <v>1.4181818181818162</v>
      </c>
      <c r="IW22" s="241">
        <f t="shared" si="52"/>
        <v>1.0743801652892555</v>
      </c>
      <c r="IX22" s="240">
        <f t="shared" si="52"/>
        <v>1.4181818181818162</v>
      </c>
      <c r="IY22" s="241">
        <f t="shared" si="52"/>
        <v>1.0743801652892555</v>
      </c>
      <c r="IZ22" s="186"/>
      <c r="JA22" s="240">
        <f>JA24+JA26+JA28</f>
        <v>1.8363636363636342</v>
      </c>
      <c r="JB22" s="241">
        <f>JB24+JB26+JB28</f>
        <v>1.3704206241519663</v>
      </c>
      <c r="JC22" s="240">
        <f>JC24+JC26+JC28</f>
        <v>1.3999999999999986</v>
      </c>
      <c r="JD22" s="241">
        <f>JD24+JD26+JD28</f>
        <v>1.0447761194029841</v>
      </c>
      <c r="JE22" s="186"/>
      <c r="JF22" s="240">
        <f t="shared" ref="JF22:LQ22" si="53">JF24+JF26+JF28</f>
        <v>1.3599999999999994</v>
      </c>
      <c r="JG22" s="241">
        <f t="shared" si="53"/>
        <v>1.0303030303030303</v>
      </c>
      <c r="JH22" s="240">
        <f t="shared" si="53"/>
        <v>1.3599999999999994</v>
      </c>
      <c r="JI22" s="241">
        <f t="shared" si="53"/>
        <v>1.0303030303030303</v>
      </c>
      <c r="JJ22" s="240">
        <f t="shared" si="53"/>
        <v>1.5199999999999996</v>
      </c>
      <c r="JK22" s="241">
        <f t="shared" si="53"/>
        <v>1.1515151515151505</v>
      </c>
      <c r="JL22" s="240">
        <f t="shared" si="53"/>
        <v>1.5199999999999996</v>
      </c>
      <c r="JM22" s="241">
        <f t="shared" si="53"/>
        <v>1.1515151515151505</v>
      </c>
      <c r="JN22" s="240">
        <f t="shared" si="53"/>
        <v>1.5199999999999996</v>
      </c>
      <c r="JO22" s="241">
        <f t="shared" si="53"/>
        <v>1.1515151515151505</v>
      </c>
      <c r="JP22" s="240">
        <f t="shared" si="53"/>
        <v>1.5</v>
      </c>
      <c r="JQ22" s="241">
        <f t="shared" si="53"/>
        <v>1.1363636363636349</v>
      </c>
      <c r="JR22" s="240">
        <f t="shared" si="53"/>
        <v>1.5</v>
      </c>
      <c r="JS22" s="241">
        <f t="shared" si="53"/>
        <v>1.1363636363636349</v>
      </c>
      <c r="JT22" s="240">
        <f t="shared" si="53"/>
        <v>1.5</v>
      </c>
      <c r="JU22" s="241">
        <f t="shared" si="53"/>
        <v>1.1363636363636349</v>
      </c>
      <c r="JV22" s="240">
        <f t="shared" si="53"/>
        <v>1.5</v>
      </c>
      <c r="JW22" s="241">
        <f t="shared" si="53"/>
        <v>1.0714285714285712</v>
      </c>
      <c r="JX22" s="240">
        <f t="shared" si="53"/>
        <v>1.5</v>
      </c>
      <c r="JY22" s="241">
        <f t="shared" si="53"/>
        <v>1.1363636363636349</v>
      </c>
      <c r="JZ22" s="240">
        <f t="shared" si="53"/>
        <v>1.5</v>
      </c>
      <c r="KA22" s="241">
        <f t="shared" si="53"/>
        <v>1.1363636363636349</v>
      </c>
      <c r="KB22" s="240">
        <f t="shared" si="53"/>
        <v>1.5</v>
      </c>
      <c r="KC22" s="241">
        <f t="shared" si="53"/>
        <v>1.1363636363636349</v>
      </c>
      <c r="KD22" s="240">
        <f t="shared" si="53"/>
        <v>1.5</v>
      </c>
      <c r="KE22" s="241">
        <f t="shared" si="53"/>
        <v>1.1363636363636349</v>
      </c>
      <c r="KF22" s="240">
        <f t="shared" si="53"/>
        <v>1.5</v>
      </c>
      <c r="KG22" s="241">
        <f t="shared" si="53"/>
        <v>1.1363636363636349</v>
      </c>
      <c r="KH22" s="240">
        <f t="shared" si="53"/>
        <v>1.5</v>
      </c>
      <c r="KI22" s="241">
        <f t="shared" si="53"/>
        <v>1.1363636363636349</v>
      </c>
      <c r="KJ22" s="240">
        <f t="shared" si="53"/>
        <v>1.5</v>
      </c>
      <c r="KK22" s="241">
        <f t="shared" si="53"/>
        <v>1.1363636363636349</v>
      </c>
      <c r="KL22" s="240">
        <f t="shared" si="53"/>
        <v>1.5</v>
      </c>
      <c r="KM22" s="241">
        <f t="shared" si="53"/>
        <v>1.1363636363636349</v>
      </c>
      <c r="KN22" s="240">
        <f t="shared" si="53"/>
        <v>1.5</v>
      </c>
      <c r="KO22" s="241">
        <f t="shared" si="53"/>
        <v>1.1363636363636349</v>
      </c>
      <c r="KP22" s="240">
        <f t="shared" si="53"/>
        <v>1.5</v>
      </c>
      <c r="KQ22" s="241">
        <f t="shared" si="53"/>
        <v>1.1363636363636349</v>
      </c>
      <c r="KR22" s="240">
        <f t="shared" si="53"/>
        <v>1.5</v>
      </c>
      <c r="KS22" s="241">
        <f t="shared" si="53"/>
        <v>1.1363636363636349</v>
      </c>
      <c r="KT22" s="240">
        <f t="shared" si="53"/>
        <v>1.5</v>
      </c>
      <c r="KU22" s="241">
        <f t="shared" si="53"/>
        <v>1.1363636363636349</v>
      </c>
      <c r="KV22" s="240">
        <f t="shared" si="53"/>
        <v>1.5</v>
      </c>
      <c r="KW22" s="241">
        <f t="shared" si="53"/>
        <v>1.1363636363636349</v>
      </c>
      <c r="KX22" s="240">
        <f t="shared" si="53"/>
        <v>1.5</v>
      </c>
      <c r="KY22" s="241">
        <f t="shared" si="53"/>
        <v>1.1363636363636349</v>
      </c>
      <c r="KZ22" s="240">
        <f t="shared" si="53"/>
        <v>1.5</v>
      </c>
      <c r="LA22" s="241">
        <f t="shared" si="53"/>
        <v>1.1363636363636349</v>
      </c>
      <c r="LB22" s="240">
        <f t="shared" si="53"/>
        <v>1.5192307692307701</v>
      </c>
      <c r="LC22" s="241">
        <f t="shared" si="53"/>
        <v>1.1509324009324007</v>
      </c>
      <c r="LD22" s="240">
        <f t="shared" si="53"/>
        <v>1.9192307692307704</v>
      </c>
      <c r="LE22" s="241">
        <f t="shared" si="53"/>
        <v>1.4539627039627034</v>
      </c>
      <c r="LF22" s="240">
        <f t="shared" si="53"/>
        <v>1.9192307692307704</v>
      </c>
      <c r="LG22" s="241">
        <f t="shared" si="53"/>
        <v>1.4539627039627034</v>
      </c>
      <c r="LH22" s="240">
        <f t="shared" si="53"/>
        <v>1.9192307692307704</v>
      </c>
      <c r="LI22" s="241">
        <f t="shared" si="53"/>
        <v>1.4539627039627034</v>
      </c>
      <c r="LJ22" s="240">
        <f t="shared" si="53"/>
        <v>1.9192307692307704</v>
      </c>
      <c r="LK22" s="241">
        <f t="shared" si="53"/>
        <v>1.4539627039627034</v>
      </c>
      <c r="LL22" s="240">
        <f t="shared" si="53"/>
        <v>1.9192307692307704</v>
      </c>
      <c r="LM22" s="241">
        <f t="shared" si="53"/>
        <v>1.4539627039627034</v>
      </c>
      <c r="LN22" s="240">
        <f t="shared" si="53"/>
        <v>1.9192307692307704</v>
      </c>
      <c r="LO22" s="241">
        <f t="shared" si="53"/>
        <v>1.4539627039627034</v>
      </c>
      <c r="LP22" s="240">
        <f t="shared" si="53"/>
        <v>1.9192307692307704</v>
      </c>
      <c r="LQ22" s="241">
        <f t="shared" si="53"/>
        <v>1.4539627039627034</v>
      </c>
      <c r="LR22" s="240">
        <f t="shared" ref="LR22:MG22" si="54">LR24+LR26+LR28</f>
        <v>1.9192307692307704</v>
      </c>
      <c r="LS22" s="241">
        <f t="shared" si="54"/>
        <v>1.4539627039627034</v>
      </c>
      <c r="LT22" s="240">
        <f t="shared" si="54"/>
        <v>1.5192307692307701</v>
      </c>
      <c r="LU22" s="241">
        <f t="shared" si="54"/>
        <v>1.1509324009324007</v>
      </c>
      <c r="LV22" s="240">
        <f t="shared" si="54"/>
        <v>1.5192307692307701</v>
      </c>
      <c r="LW22" s="241">
        <f t="shared" si="54"/>
        <v>1.1509324009324007</v>
      </c>
      <c r="LX22" s="240">
        <f t="shared" si="54"/>
        <v>1.5192307692307701</v>
      </c>
      <c r="LY22" s="241">
        <f t="shared" si="54"/>
        <v>1.1509324009324007</v>
      </c>
      <c r="LZ22" s="240">
        <f t="shared" si="54"/>
        <v>1.5192307692307701</v>
      </c>
      <c r="MA22" s="241">
        <f t="shared" si="54"/>
        <v>1.1509324009324007</v>
      </c>
      <c r="MB22" s="240">
        <f t="shared" si="54"/>
        <v>1.5192307692307701</v>
      </c>
      <c r="MC22" s="241">
        <f t="shared" si="54"/>
        <v>1.1509324009324007</v>
      </c>
      <c r="MD22" s="240">
        <f t="shared" si="54"/>
        <v>1.5192307692307701</v>
      </c>
      <c r="ME22" s="241">
        <f t="shared" si="54"/>
        <v>1.1509324009324007</v>
      </c>
      <c r="MF22" s="240">
        <f t="shared" si="54"/>
        <v>1.0057692307692303</v>
      </c>
      <c r="MG22" s="241">
        <f t="shared" si="54"/>
        <v>0.76194638694638561</v>
      </c>
      <c r="MH22" s="186"/>
      <c r="MI22" s="240">
        <f t="shared" ref="MI22:OT22" si="55">MI24+MI26+MI28</f>
        <v>1.8879999999999997</v>
      </c>
      <c r="MJ22" s="241">
        <f t="shared" si="55"/>
        <v>0.43636363636363595</v>
      </c>
      <c r="MK22" s="240">
        <f t="shared" si="55"/>
        <v>1.4879999999999993</v>
      </c>
      <c r="ML22" s="241">
        <f t="shared" si="55"/>
        <v>0.43636363636363595</v>
      </c>
      <c r="MM22" s="240">
        <f t="shared" si="55"/>
        <v>1.4879999999999993</v>
      </c>
      <c r="MN22" s="241">
        <f t="shared" si="55"/>
        <v>0.43636363636363595</v>
      </c>
      <c r="MO22" s="240">
        <f t="shared" si="55"/>
        <v>1.4879999999999993</v>
      </c>
      <c r="MP22" s="241">
        <f t="shared" si="55"/>
        <v>0.43636363636363595</v>
      </c>
      <c r="MQ22" s="240">
        <f t="shared" si="55"/>
        <v>1.4879999999999993</v>
      </c>
      <c r="MR22" s="241">
        <f t="shared" si="55"/>
        <v>0.43636363636363595</v>
      </c>
      <c r="MS22" s="240">
        <f t="shared" si="55"/>
        <v>1.4999999999999993</v>
      </c>
      <c r="MT22" s="241">
        <f t="shared" si="55"/>
        <v>0.45454545454545481</v>
      </c>
      <c r="MU22" s="240">
        <f t="shared" si="55"/>
        <v>1.7120000000000004</v>
      </c>
      <c r="MV22" s="241">
        <f t="shared" si="55"/>
        <v>0.47272727272727266</v>
      </c>
      <c r="MW22" s="240">
        <f t="shared" si="55"/>
        <v>1.8599999999999999</v>
      </c>
      <c r="MX22" s="241">
        <f t="shared" si="55"/>
        <v>0.54545454545454608</v>
      </c>
      <c r="MY22" s="240">
        <f t="shared" si="55"/>
        <v>1.8599999999999999</v>
      </c>
      <c r="MZ22" s="241">
        <f t="shared" si="55"/>
        <v>0.51428571428571512</v>
      </c>
      <c r="NA22" s="240">
        <f t="shared" si="55"/>
        <v>1.8599999999999999</v>
      </c>
      <c r="NB22" s="241">
        <f t="shared" si="55"/>
        <v>0.54545454545454608</v>
      </c>
      <c r="NC22" s="240">
        <f t="shared" si="55"/>
        <v>1.8599999999999999</v>
      </c>
      <c r="ND22" s="241">
        <f t="shared" si="55"/>
        <v>0.54545454545454608</v>
      </c>
      <c r="NE22" s="240">
        <f t="shared" si="55"/>
        <v>1.8599999999999999</v>
      </c>
      <c r="NF22" s="241">
        <f t="shared" si="55"/>
        <v>0.54545454545454608</v>
      </c>
      <c r="NG22" s="240">
        <f t="shared" si="55"/>
        <v>1.8599999999999999</v>
      </c>
      <c r="NH22" s="241">
        <f t="shared" si="55"/>
        <v>0.54545454545454608</v>
      </c>
      <c r="NI22" s="240">
        <f t="shared" si="55"/>
        <v>1.8599999999999999</v>
      </c>
      <c r="NJ22" s="241">
        <f t="shared" si="55"/>
        <v>0.54545454545454608</v>
      </c>
      <c r="NK22" s="240">
        <f t="shared" si="55"/>
        <v>1.8599999999999999</v>
      </c>
      <c r="NL22" s="241">
        <f t="shared" si="55"/>
        <v>0.54545454545454608</v>
      </c>
      <c r="NM22" s="240">
        <f t="shared" si="55"/>
        <v>1.8599999999999999</v>
      </c>
      <c r="NN22" s="241">
        <f t="shared" si="55"/>
        <v>1.4090909090909085</v>
      </c>
      <c r="NO22" s="240">
        <f t="shared" si="55"/>
        <v>1.8599999999999999</v>
      </c>
      <c r="NP22" s="241">
        <f t="shared" si="55"/>
        <v>1.4090909090909085</v>
      </c>
      <c r="NQ22" s="240">
        <f t="shared" si="55"/>
        <v>1.8599999999999999</v>
      </c>
      <c r="NR22" s="241">
        <f t="shared" si="55"/>
        <v>1.4090909090909085</v>
      </c>
      <c r="NS22" s="240">
        <f t="shared" si="55"/>
        <v>1.8599999999999999</v>
      </c>
      <c r="NT22" s="241">
        <f t="shared" si="55"/>
        <v>1.4090909090909085</v>
      </c>
      <c r="NU22" s="240">
        <f t="shared" si="55"/>
        <v>1.8599999999999999</v>
      </c>
      <c r="NV22" s="241">
        <f t="shared" si="55"/>
        <v>1.4090909090909085</v>
      </c>
      <c r="NW22" s="240">
        <f t="shared" si="55"/>
        <v>1.8599999999999999</v>
      </c>
      <c r="NX22" s="241">
        <f t="shared" si="55"/>
        <v>1.4090909090909085</v>
      </c>
      <c r="NY22" s="240">
        <f t="shared" si="55"/>
        <v>1.8599999999999999</v>
      </c>
      <c r="NZ22" s="241">
        <f t="shared" si="55"/>
        <v>1.4090909090909085</v>
      </c>
      <c r="OA22" s="240">
        <f t="shared" si="55"/>
        <v>1.8599999999999999</v>
      </c>
      <c r="OB22" s="241">
        <f t="shared" si="55"/>
        <v>1.4090909090909085</v>
      </c>
      <c r="OC22" s="240">
        <f t="shared" si="55"/>
        <v>1.8599999999999999</v>
      </c>
      <c r="OD22" s="241">
        <f t="shared" si="55"/>
        <v>1.4090909090909085</v>
      </c>
      <c r="OE22" s="240">
        <f t="shared" si="55"/>
        <v>1.8599999999999999</v>
      </c>
      <c r="OF22" s="241">
        <f t="shared" si="55"/>
        <v>1.4090909090909085</v>
      </c>
      <c r="OG22" s="240">
        <f t="shared" si="55"/>
        <v>1.8599999999999999</v>
      </c>
      <c r="OH22" s="241">
        <f t="shared" si="55"/>
        <v>1.4090909090909085</v>
      </c>
      <c r="OI22" s="240">
        <f t="shared" si="55"/>
        <v>1.8599999999999999</v>
      </c>
      <c r="OJ22" s="241">
        <f t="shared" si="55"/>
        <v>1.4090909090909085</v>
      </c>
      <c r="OK22" s="240">
        <f t="shared" si="55"/>
        <v>1.8599999999999999</v>
      </c>
      <c r="OL22" s="241">
        <f t="shared" si="55"/>
        <v>1.4090909090909085</v>
      </c>
      <c r="OM22" s="240">
        <f t="shared" si="55"/>
        <v>1.8599999999999999</v>
      </c>
      <c r="ON22" s="241">
        <f t="shared" si="55"/>
        <v>1.4090909090909085</v>
      </c>
      <c r="OO22" s="240">
        <f t="shared" si="55"/>
        <v>1.8599999999999999</v>
      </c>
      <c r="OP22" s="241">
        <f t="shared" si="55"/>
        <v>1.4090909090909085</v>
      </c>
      <c r="OQ22" s="240">
        <f t="shared" si="55"/>
        <v>1.8599999999999999</v>
      </c>
      <c r="OR22" s="241">
        <f t="shared" si="55"/>
        <v>1.4090909090909085</v>
      </c>
      <c r="OS22" s="240">
        <f t="shared" si="55"/>
        <v>1.8599999999999999</v>
      </c>
      <c r="OT22" s="241">
        <f t="shared" si="55"/>
        <v>1.4090909090909085</v>
      </c>
      <c r="OU22" s="240">
        <f t="shared" ref="OU22:PL22" si="56">OU24+OU26+OU28</f>
        <v>1.5</v>
      </c>
      <c r="OV22" s="241">
        <f t="shared" si="56"/>
        <v>1.1363636363636358</v>
      </c>
      <c r="OW22" s="240">
        <f t="shared" si="56"/>
        <v>1.5</v>
      </c>
      <c r="OX22" s="241">
        <f t="shared" si="56"/>
        <v>1.1363636363636358</v>
      </c>
      <c r="OY22" s="240">
        <f t="shared" si="56"/>
        <v>1.5</v>
      </c>
      <c r="OZ22" s="241">
        <f t="shared" si="56"/>
        <v>1.1363636363636358</v>
      </c>
      <c r="PA22" s="240">
        <f t="shared" si="56"/>
        <v>1.5</v>
      </c>
      <c r="PB22" s="241">
        <f t="shared" si="56"/>
        <v>1.1363636363636358</v>
      </c>
      <c r="PC22" s="240">
        <f t="shared" si="56"/>
        <v>1.5</v>
      </c>
      <c r="PD22" s="241">
        <f t="shared" si="56"/>
        <v>1.1363636363636358</v>
      </c>
      <c r="PE22" s="240">
        <f t="shared" si="56"/>
        <v>1.5</v>
      </c>
      <c r="PF22" s="241">
        <f t="shared" si="56"/>
        <v>1.1363636363636358</v>
      </c>
      <c r="PG22" s="240">
        <f t="shared" si="56"/>
        <v>1.5</v>
      </c>
      <c r="PH22" s="241">
        <f t="shared" si="56"/>
        <v>1.1363636363636358</v>
      </c>
      <c r="PI22" s="240">
        <f t="shared" si="56"/>
        <v>1.3</v>
      </c>
      <c r="PJ22" s="241">
        <f t="shared" si="56"/>
        <v>0.98484848484848597</v>
      </c>
      <c r="PK22" s="240">
        <f t="shared" si="56"/>
        <v>0.87599999999999967</v>
      </c>
      <c r="PL22" s="241">
        <f t="shared" si="56"/>
        <v>0.66363636363636314</v>
      </c>
      <c r="PM22" s="240">
        <f>PM24+PM26+PM28</f>
        <v>1.0687499999999996</v>
      </c>
      <c r="PN22" s="241">
        <f>PN24+PN26+PN28</f>
        <v>0.80965909090909016</v>
      </c>
      <c r="PO22" s="240">
        <f>PO24+PO26+PO28</f>
        <v>1.0293749999999999</v>
      </c>
      <c r="PP22" s="241">
        <f>PP24+PP26+PP28</f>
        <v>0.77982954545454586</v>
      </c>
      <c r="PR22" s="240">
        <f t="shared" ref="PR22:QC22" si="57">PR24+PR26+PR28</f>
        <v>2</v>
      </c>
      <c r="PS22" s="241">
        <f t="shared" si="57"/>
        <v>1.5151515151515156</v>
      </c>
      <c r="PT22" s="240">
        <f t="shared" si="57"/>
        <v>2</v>
      </c>
      <c r="PU22" s="241">
        <f t="shared" si="57"/>
        <v>1.5151515151515156</v>
      </c>
      <c r="PV22" s="240">
        <f t="shared" si="57"/>
        <v>1.1999999999999993</v>
      </c>
      <c r="PW22" s="241">
        <f t="shared" si="57"/>
        <v>0.90909090909090828</v>
      </c>
      <c r="PX22" s="240">
        <f t="shared" si="57"/>
        <v>1.1999999999999993</v>
      </c>
      <c r="PY22" s="241">
        <f t="shared" si="57"/>
        <v>0.90909090909090828</v>
      </c>
      <c r="PZ22" s="240">
        <f t="shared" si="57"/>
        <v>1.1999999999999993</v>
      </c>
      <c r="QA22" s="241">
        <f t="shared" si="57"/>
        <v>0.90909090909090917</v>
      </c>
      <c r="QB22" s="240">
        <f t="shared" si="57"/>
        <v>1.1999999999999993</v>
      </c>
      <c r="QC22" s="241">
        <f t="shared" si="57"/>
        <v>0.90909090909090917</v>
      </c>
      <c r="QF22" s="240">
        <f t="shared" ref="QF22:QQ22" si="58">QF24+QF26+QF28</f>
        <v>2</v>
      </c>
      <c r="QG22" s="241">
        <f t="shared" si="58"/>
        <v>1.5151515151515156</v>
      </c>
      <c r="QH22" s="240">
        <f t="shared" si="58"/>
        <v>2</v>
      </c>
      <c r="QI22" s="241">
        <f t="shared" si="58"/>
        <v>1.5151515151515156</v>
      </c>
      <c r="QJ22" s="240">
        <f t="shared" si="58"/>
        <v>1.1999999999999993</v>
      </c>
      <c r="QK22" s="241">
        <f t="shared" si="58"/>
        <v>0.90909090909090828</v>
      </c>
      <c r="QL22" s="240">
        <f t="shared" si="58"/>
        <v>1.1999999999999993</v>
      </c>
      <c r="QM22" s="241">
        <f t="shared" si="58"/>
        <v>0.90909090909090828</v>
      </c>
      <c r="QN22" s="240">
        <f t="shared" si="58"/>
        <v>1.1999999999999993</v>
      </c>
      <c r="QO22" s="241">
        <f t="shared" si="58"/>
        <v>0.90909090909090828</v>
      </c>
      <c r="QP22" s="240">
        <f t="shared" si="58"/>
        <v>1.1999999999999993</v>
      </c>
      <c r="QQ22" s="241">
        <f t="shared" si="58"/>
        <v>0.90909090909090828</v>
      </c>
    </row>
    <row r="23" spans="1:459" x14ac:dyDescent="0.45">
      <c r="A23" s="876"/>
      <c r="B23" s="244" t="s">
        <v>331</v>
      </c>
      <c r="C23" s="245"/>
      <c r="D23" s="246"/>
      <c r="E23" s="231"/>
      <c r="F23" s="247">
        <f>F24/F18</f>
        <v>0.12666666666666662</v>
      </c>
      <c r="G23" s="248">
        <f>+F23</f>
        <v>0.12666666666666662</v>
      </c>
      <c r="H23" s="247">
        <f>H24/H18</f>
        <v>0.12666666666666662</v>
      </c>
      <c r="I23" s="248">
        <f>+H23</f>
        <v>0.12666666666666662</v>
      </c>
      <c r="J23" s="247">
        <f>J24/J18</f>
        <v>0.12666666666666662</v>
      </c>
      <c r="K23" s="248">
        <f>+J23</f>
        <v>0.12666666666666662</v>
      </c>
      <c r="L23" s="247">
        <f>L24/L18</f>
        <v>0.12666666666666662</v>
      </c>
      <c r="M23" s="248">
        <f>+L23</f>
        <v>0.12666666666666662</v>
      </c>
      <c r="N23" s="247">
        <f>N24/N18</f>
        <v>0.12666666666666662</v>
      </c>
      <c r="O23" s="248">
        <f>+N23</f>
        <v>0.12666666666666662</v>
      </c>
      <c r="P23" s="247">
        <f>P24/P18</f>
        <v>0.12500000000000011</v>
      </c>
      <c r="Q23" s="248">
        <f>+P23</f>
        <v>0.12500000000000011</v>
      </c>
      <c r="R23" s="247">
        <f>R24/R18</f>
        <v>0.12500000000000011</v>
      </c>
      <c r="S23" s="248">
        <f>+R23</f>
        <v>0.12500000000000011</v>
      </c>
      <c r="T23" s="247">
        <f>T24/T18</f>
        <v>0.12500000000000011</v>
      </c>
      <c r="U23" s="248">
        <f>+T23</f>
        <v>0.12500000000000011</v>
      </c>
      <c r="V23" s="247">
        <f>V24/V18</f>
        <v>0.12121212121212119</v>
      </c>
      <c r="W23" s="248">
        <f>+V23</f>
        <v>0.12121212121212119</v>
      </c>
      <c r="X23" s="247">
        <f>X24/X18</f>
        <v>0.1249999999999999</v>
      </c>
      <c r="Y23" s="248">
        <f>+X23</f>
        <v>0.1249999999999999</v>
      </c>
      <c r="Z23" s="247">
        <f>Z24/Z18</f>
        <v>0.1249999999999999</v>
      </c>
      <c r="AA23" s="248">
        <f>+Z23</f>
        <v>0.1249999999999999</v>
      </c>
      <c r="AB23" s="247">
        <f>AB24/AB18</f>
        <v>0.1249999999999999</v>
      </c>
      <c r="AC23" s="248">
        <f>+AB23</f>
        <v>0.1249999999999999</v>
      </c>
      <c r="AD23" s="247">
        <f>AD24/AD18</f>
        <v>0.11999999999999998</v>
      </c>
      <c r="AE23" s="248">
        <f>+AD23</f>
        <v>0.11999999999999998</v>
      </c>
      <c r="AF23" s="247">
        <f>AF24/AF18</f>
        <v>0.11999999999999998</v>
      </c>
      <c r="AG23" s="248">
        <f>+AF23</f>
        <v>0.11999999999999998</v>
      </c>
      <c r="AH23" s="247">
        <f>AH24/AH18</f>
        <v>0.11999999999999998</v>
      </c>
      <c r="AI23" s="248">
        <f>+AH23</f>
        <v>0.11999999999999998</v>
      </c>
      <c r="AJ23" s="247">
        <f>AJ24/AJ18</f>
        <v>0.11999999999999998</v>
      </c>
      <c r="AK23" s="248">
        <f>+AJ23</f>
        <v>0.11999999999999998</v>
      </c>
      <c r="AL23" s="247">
        <f>AL24/AL18</f>
        <v>0.11999999999999998</v>
      </c>
      <c r="AM23" s="248">
        <f>+AL23</f>
        <v>0.11999999999999998</v>
      </c>
      <c r="AN23" s="247">
        <f>AN24/AN18</f>
        <v>0.11999999999999998</v>
      </c>
      <c r="AO23" s="248">
        <f>+AN23</f>
        <v>0.11999999999999998</v>
      </c>
      <c r="AP23" s="247">
        <f>AP24/AP18</f>
        <v>0.11999999999999998</v>
      </c>
      <c r="AQ23" s="248">
        <f>+AP23</f>
        <v>0.11999999999999998</v>
      </c>
      <c r="AR23" s="247">
        <f>AR24/AR18</f>
        <v>0.11999999999999998</v>
      </c>
      <c r="AS23" s="248">
        <f>+AR23</f>
        <v>0.11999999999999998</v>
      </c>
      <c r="AT23" s="247">
        <f>AT24/AT18</f>
        <v>0.11999999999999998</v>
      </c>
      <c r="AU23" s="248">
        <f>+AT23</f>
        <v>0.11999999999999998</v>
      </c>
      <c r="AV23" s="247">
        <f>AV24/AV18</f>
        <v>0.11999999999999998</v>
      </c>
      <c r="AW23" s="248">
        <f>+AV23</f>
        <v>0.11999999999999998</v>
      </c>
      <c r="AX23" s="247">
        <f>AX24/AX18</f>
        <v>0.11999999999999998</v>
      </c>
      <c r="AY23" s="248">
        <f>+AX23</f>
        <v>0.11999999999999998</v>
      </c>
      <c r="AZ23" s="247">
        <f>AZ24/AZ18</f>
        <v>0.11999999999999998</v>
      </c>
      <c r="BA23" s="248">
        <f>+AZ23</f>
        <v>0.11999999999999998</v>
      </c>
      <c r="BB23" s="247">
        <f>BB24/BB18</f>
        <v>0.11999999999999998</v>
      </c>
      <c r="BC23" s="248">
        <f>+BB23</f>
        <v>0.11999999999999998</v>
      </c>
      <c r="BD23" s="247">
        <f>BD24/BD18</f>
        <v>0.11999999999999998</v>
      </c>
      <c r="BE23" s="248">
        <f>+BD23</f>
        <v>0.11999999999999998</v>
      </c>
      <c r="BF23" s="247">
        <f>BF24/BF18</f>
        <v>0.11999999999999998</v>
      </c>
      <c r="BG23" s="248">
        <f>+BF23</f>
        <v>0.11999999999999998</v>
      </c>
      <c r="BH23" s="247">
        <f>BH24/BH18</f>
        <v>0.11999999999999998</v>
      </c>
      <c r="BI23" s="248">
        <f>+BH23</f>
        <v>0.11999999999999998</v>
      </c>
      <c r="BJ23" s="247">
        <f>BJ24/BJ18</f>
        <v>0.11999999999999998</v>
      </c>
      <c r="BK23" s="248">
        <f>+BJ23</f>
        <v>0.11999999999999998</v>
      </c>
      <c r="BL23" s="247">
        <f>BL24/BL18</f>
        <v>0.13725490196078433</v>
      </c>
      <c r="BM23" s="248">
        <f>+BL23</f>
        <v>0.13725490196078433</v>
      </c>
      <c r="BN23" s="247">
        <f>BN24/BN18</f>
        <v>0.11999999999999998</v>
      </c>
      <c r="BO23" s="248">
        <f>+BN23</f>
        <v>0.11999999999999998</v>
      </c>
      <c r="BP23" s="247">
        <f>BP24/BP18</f>
        <v>0.11999999999999998</v>
      </c>
      <c r="BQ23" s="248">
        <f>+BP23</f>
        <v>0.11999999999999998</v>
      </c>
      <c r="BR23" s="247">
        <f>BR24/BR18</f>
        <v>0.11999999999999998</v>
      </c>
      <c r="BS23" s="248">
        <f>+BR23</f>
        <v>0.11999999999999998</v>
      </c>
      <c r="BT23" s="247">
        <f>BT24/BT18</f>
        <v>0.11999999999999998</v>
      </c>
      <c r="BU23" s="248">
        <f>+BT23</f>
        <v>0.11999999999999998</v>
      </c>
      <c r="BV23" s="247">
        <f>BV24/BV18</f>
        <v>0.11999999999999998</v>
      </c>
      <c r="BW23" s="248">
        <f>+BV23</f>
        <v>0.11999999999999998</v>
      </c>
      <c r="BX23" s="247">
        <f>BX24/BX18</f>
        <v>0.11999999999999998</v>
      </c>
      <c r="BY23" s="248">
        <f>+BX23</f>
        <v>0.11999999999999998</v>
      </c>
      <c r="BZ23" s="247">
        <f>BZ24/BZ18</f>
        <v>0.11999999999999998</v>
      </c>
      <c r="CA23" s="248">
        <f>+BZ23</f>
        <v>0.11999999999999998</v>
      </c>
      <c r="CB23" s="247">
        <f>CB24/CB18</f>
        <v>0.11999999999999998</v>
      </c>
      <c r="CC23" s="248">
        <f>+CB23</f>
        <v>0.11999999999999998</v>
      </c>
      <c r="CD23" s="247">
        <f>CD24/CD18</f>
        <v>0.11999999999999998</v>
      </c>
      <c r="CE23" s="248">
        <f>+CD23</f>
        <v>0.11999999999999998</v>
      </c>
      <c r="CF23" s="247">
        <f>CF24/CF18</f>
        <v>0.11999999999999998</v>
      </c>
      <c r="CG23" s="248">
        <f>+CF23</f>
        <v>0.11999999999999998</v>
      </c>
      <c r="CH23" s="247">
        <f>CH24/CH18</f>
        <v>0.11999999999999998</v>
      </c>
      <c r="CI23" s="248">
        <f>+CH23</f>
        <v>0.11999999999999998</v>
      </c>
      <c r="CJ23" s="247">
        <f>CJ24/CJ18</f>
        <v>0.11999999999999998</v>
      </c>
      <c r="CK23" s="248">
        <f>+CJ23</f>
        <v>0.11999999999999998</v>
      </c>
      <c r="CL23" s="247">
        <f t="shared" ref="CL23" si="59">CL24/CL18</f>
        <v>0.13725490196078433</v>
      </c>
      <c r="CM23" s="248">
        <f t="shared" ref="CM23" si="60">+CL23</f>
        <v>0.13725490196078433</v>
      </c>
      <c r="CN23" s="247">
        <f t="shared" ref="CN23" si="61">CN24/CN18</f>
        <v>0.12567741935483875</v>
      </c>
      <c r="CO23" s="248">
        <f t="shared" ref="CO23" si="62">+CN23</f>
        <v>0.12567741935483875</v>
      </c>
      <c r="CP23" s="247">
        <f>CP24/CP18</f>
        <v>0.12567741935483875</v>
      </c>
      <c r="CQ23" s="248">
        <f>+CP23</f>
        <v>0.12567741935483875</v>
      </c>
      <c r="CR23" s="247">
        <f>CR24/CR18</f>
        <v>0.1249999999999999</v>
      </c>
      <c r="CS23" s="248">
        <f>+CR23</f>
        <v>0.1249999999999999</v>
      </c>
      <c r="CT23" s="249"/>
      <c r="CU23" s="247">
        <f>CU24/CU18</f>
        <v>8.9655172413793033E-2</v>
      </c>
      <c r="CV23" s="248">
        <f>+CU23</f>
        <v>8.9655172413793033E-2</v>
      </c>
      <c r="CW23" s="247">
        <f>CW24/CW18</f>
        <v>8.9655172413793033E-2</v>
      </c>
      <c r="CX23" s="248">
        <f>+CW23</f>
        <v>8.9655172413793033E-2</v>
      </c>
      <c r="CY23" s="247">
        <f>CY24/CY18</f>
        <v>8.9655172413793033E-2</v>
      </c>
      <c r="CZ23" s="248">
        <f>+CY23</f>
        <v>8.9655172413793033E-2</v>
      </c>
      <c r="DA23" s="247">
        <f>DA24/DA18</f>
        <v>0.11944444444444446</v>
      </c>
      <c r="DB23" s="248">
        <f>+DA23</f>
        <v>0.11944444444444446</v>
      </c>
      <c r="DC23" s="247">
        <f>DC24/DC18</f>
        <v>0.12121212121212116</v>
      </c>
      <c r="DD23" s="248">
        <f>+DC23</f>
        <v>0.12121212121212116</v>
      </c>
      <c r="DE23" s="247">
        <f>DE24/DE18</f>
        <v>0.12121212121212116</v>
      </c>
      <c r="DF23" s="248">
        <f>+DE23</f>
        <v>0.12121212121212116</v>
      </c>
      <c r="DG23" s="247">
        <f>DG24/DG18</f>
        <v>0.12121212121212116</v>
      </c>
      <c r="DH23" s="248">
        <f>+DG23</f>
        <v>0.12121212121212116</v>
      </c>
      <c r="DI23" s="247">
        <f>DI24/DI18</f>
        <v>0.12121212121212116</v>
      </c>
      <c r="DJ23" s="248">
        <f>+DI23</f>
        <v>0.12121212121212116</v>
      </c>
      <c r="DK23" s="247">
        <f>DK24/DK18</f>
        <v>0.12121212121212116</v>
      </c>
      <c r="DL23" s="248">
        <f>+DK23</f>
        <v>0.12121212121212116</v>
      </c>
      <c r="DM23" s="247">
        <f>DM24/DM18</f>
        <v>0.12121212121212116</v>
      </c>
      <c r="DN23" s="248">
        <f>+DM23</f>
        <v>0.12121212121212116</v>
      </c>
      <c r="DO23" s="247">
        <f>DO24/DO18</f>
        <v>0.12121212121212116</v>
      </c>
      <c r="DP23" s="248">
        <f>+DO23</f>
        <v>0.12121212121212116</v>
      </c>
      <c r="DQ23" s="247">
        <f>DQ24/DQ18</f>
        <v>0.12121212121212116</v>
      </c>
      <c r="DR23" s="248">
        <f>+DQ23</f>
        <v>0.12121212121212116</v>
      </c>
      <c r="DS23" s="247">
        <f>DS24/DS18</f>
        <v>0.12121212121212116</v>
      </c>
      <c r="DT23" s="248">
        <f>+DS23</f>
        <v>0.12121212121212116</v>
      </c>
      <c r="DU23" s="247">
        <f>DU24/DU18</f>
        <v>0.12121212121212116</v>
      </c>
      <c r="DV23" s="248">
        <f>+DU23</f>
        <v>0.12121212121212116</v>
      </c>
      <c r="DW23" s="247">
        <f>DW24/DW18</f>
        <v>0.12121212121212116</v>
      </c>
      <c r="DX23" s="248">
        <f>+DW23</f>
        <v>0.12121212121212116</v>
      </c>
      <c r="DY23" s="247">
        <f>DY24/DY18</f>
        <v>0.12121212121212116</v>
      </c>
      <c r="DZ23" s="248">
        <f>+DY23</f>
        <v>0.12121212121212116</v>
      </c>
      <c r="EA23" s="247">
        <f>EA24/EA18</f>
        <v>0.12121212121212116</v>
      </c>
      <c r="EB23" s="248">
        <f>+EA23</f>
        <v>0.12121212121212116</v>
      </c>
      <c r="EC23" s="247">
        <f>EC24/EC18</f>
        <v>0.12121212121212116</v>
      </c>
      <c r="ED23" s="248">
        <f>+EC23</f>
        <v>0.12121212121212116</v>
      </c>
      <c r="EE23" s="247">
        <f>EE24/EE18</f>
        <v>0.12121212121212116</v>
      </c>
      <c r="EF23" s="248">
        <f>+EE23</f>
        <v>0.12121212121212116</v>
      </c>
      <c r="EG23" s="247">
        <f>EG24/EG18</f>
        <v>0.12121212121212116</v>
      </c>
      <c r="EH23" s="248">
        <f>+EG23</f>
        <v>0.12121212121212116</v>
      </c>
      <c r="EI23" s="247">
        <f>EI24/EI18</f>
        <v>0.12121212121212116</v>
      </c>
      <c r="EJ23" s="248">
        <f>+EI23</f>
        <v>0.12121212121212116</v>
      </c>
      <c r="EK23" s="247">
        <f t="shared" ref="EK23" si="63">EK24/EK18</f>
        <v>0.12121212121212116</v>
      </c>
      <c r="EL23" s="248">
        <f t="shared" ref="EL23" si="64">+EK23</f>
        <v>0.12121212121212116</v>
      </c>
      <c r="EM23" s="247">
        <f t="shared" ref="EM23" si="65">EM24/EM18</f>
        <v>0.12121212121212116</v>
      </c>
      <c r="EN23" s="248">
        <f t="shared" ref="EN23" si="66">+EM23</f>
        <v>0.12121212121212116</v>
      </c>
      <c r="EO23" s="247">
        <f t="shared" ref="EO23" si="67">EO24/EO18</f>
        <v>0.12121212121212116</v>
      </c>
      <c r="EP23" s="248">
        <f t="shared" ref="EP23" si="68">+EO23</f>
        <v>0.12121212121212116</v>
      </c>
      <c r="EQ23" s="247">
        <f t="shared" ref="EQ23" si="69">EQ24/EQ18</f>
        <v>0.12121212121212116</v>
      </c>
      <c r="ER23" s="248">
        <f t="shared" ref="ER23" si="70">+EQ23</f>
        <v>0.12121212121212116</v>
      </c>
      <c r="ES23" s="247">
        <f t="shared" ref="ES23" si="71">ES24/ES18</f>
        <v>0.12121212121212116</v>
      </c>
      <c r="ET23" s="248">
        <f t="shared" ref="ET23" si="72">+ES23</f>
        <v>0.12121212121212116</v>
      </c>
      <c r="EU23" s="247">
        <f t="shared" ref="EU23" si="73">EU24/EU18</f>
        <v>0.12121212121212116</v>
      </c>
      <c r="EV23" s="248">
        <f t="shared" ref="EV23" si="74">+EU23</f>
        <v>0.12121212121212116</v>
      </c>
      <c r="EW23" s="247">
        <f t="shared" ref="EW23" si="75">EW24/EW18</f>
        <v>0.12121212121212116</v>
      </c>
      <c r="EX23" s="248">
        <f t="shared" ref="EX23" si="76">+EW23</f>
        <v>0.12121212121212116</v>
      </c>
      <c r="EY23" s="247">
        <f t="shared" ref="EY23" si="77">EY24/EY18</f>
        <v>0.12121212121212116</v>
      </c>
      <c r="EZ23" s="248">
        <f t="shared" ref="EZ23" si="78">+EY23</f>
        <v>0.12121212121212116</v>
      </c>
      <c r="FA23" s="247">
        <f t="shared" ref="FA23" si="79">FA24/FA18</f>
        <v>0.12121212121212116</v>
      </c>
      <c r="FB23" s="248">
        <f t="shared" ref="FB23" si="80">+FA23</f>
        <v>0.12121212121212116</v>
      </c>
      <c r="FC23" s="247">
        <f t="shared" ref="FC23" si="81">FC24/FC18</f>
        <v>0.12121212121212116</v>
      </c>
      <c r="FD23" s="248">
        <f t="shared" ref="FD23" si="82">+FC23</f>
        <v>0.12121212121212116</v>
      </c>
      <c r="FE23" s="247">
        <f t="shared" ref="FE23" si="83">FE24/FE18</f>
        <v>0.12121212121212116</v>
      </c>
      <c r="FF23" s="248">
        <f t="shared" ref="FF23" si="84">+FE23</f>
        <v>0.12121212121212116</v>
      </c>
      <c r="FG23" s="247">
        <f t="shared" ref="FG23" si="85">FG24/FG18</f>
        <v>0.12121212121212116</v>
      </c>
      <c r="FH23" s="248">
        <f t="shared" ref="FH23" si="86">+FG23</f>
        <v>0.12121212121212116</v>
      </c>
      <c r="FI23" s="247">
        <f t="shared" ref="FI23" si="87">FI24/FI18</f>
        <v>0.12121212121212116</v>
      </c>
      <c r="FJ23" s="248">
        <f t="shared" ref="FJ23" si="88">+FI23</f>
        <v>0.12121212121212116</v>
      </c>
      <c r="FK23" s="247">
        <f t="shared" ref="FK23" si="89">FK24/FK18</f>
        <v>0.12121212121212116</v>
      </c>
      <c r="FL23" s="248">
        <f t="shared" ref="FL23" si="90">+FK23</f>
        <v>0.12121212121212116</v>
      </c>
      <c r="FM23" s="247">
        <f t="shared" ref="FM23" si="91">FM24/FM18</f>
        <v>0.10606697491943404</v>
      </c>
      <c r="FN23" s="248">
        <f t="shared" ref="FN23" si="92">+FM23</f>
        <v>0.10606697491943404</v>
      </c>
      <c r="FO23" s="247">
        <f t="shared" ref="FO23" si="93">FO24/FO18</f>
        <v>0.10606697491943404</v>
      </c>
      <c r="FP23" s="248">
        <f t="shared" ref="FP23" si="94">+FO23</f>
        <v>0.10606697491943404</v>
      </c>
      <c r="FQ23" s="231"/>
      <c r="FR23" s="247">
        <f>FR24/FR18</f>
        <v>0.12666666666666662</v>
      </c>
      <c r="FS23" s="248">
        <f t="shared" ref="FS23:HK23" si="95">+FR23</f>
        <v>0.12666666666666662</v>
      </c>
      <c r="FT23" s="247">
        <f>FT24/FT18</f>
        <v>0.12666666666666662</v>
      </c>
      <c r="FU23" s="248">
        <f t="shared" si="95"/>
        <v>0.12666666666666662</v>
      </c>
      <c r="FV23" s="247">
        <f>FV24/FV18</f>
        <v>0.12500000000000011</v>
      </c>
      <c r="FW23" s="248">
        <f t="shared" si="95"/>
        <v>0.12500000000000011</v>
      </c>
      <c r="FX23" s="247">
        <f>FX24/FX18</f>
        <v>0.12500000000000011</v>
      </c>
      <c r="FY23" s="248">
        <f t="shared" si="95"/>
        <v>0.12500000000000011</v>
      </c>
      <c r="FZ23" s="247">
        <f>FZ24/FZ18</f>
        <v>0.12500000000000011</v>
      </c>
      <c r="GA23" s="248">
        <f t="shared" si="95"/>
        <v>0.12500000000000011</v>
      </c>
      <c r="GB23" s="247">
        <f>GB24/GB18</f>
        <v>0.12121212121212119</v>
      </c>
      <c r="GC23" s="248">
        <f t="shared" si="95"/>
        <v>0.12121212121212119</v>
      </c>
      <c r="GD23" s="247">
        <f>GD24/GD18</f>
        <v>0.1249999999999999</v>
      </c>
      <c r="GE23" s="248">
        <f t="shared" si="95"/>
        <v>0.1249999999999999</v>
      </c>
      <c r="GF23" s="247">
        <f>GF24/GF18</f>
        <v>0.1249999999999999</v>
      </c>
      <c r="GG23" s="248">
        <f t="shared" si="95"/>
        <v>0.1249999999999999</v>
      </c>
      <c r="GH23" s="247">
        <f>GH24/GH18</f>
        <v>0.1249999999999999</v>
      </c>
      <c r="GI23" s="248">
        <f t="shared" si="95"/>
        <v>0.1249999999999999</v>
      </c>
      <c r="GJ23" s="247">
        <f>GJ24/GJ18</f>
        <v>0.11842105263157889</v>
      </c>
      <c r="GK23" s="248">
        <f t="shared" si="95"/>
        <v>0.11842105263157889</v>
      </c>
      <c r="GL23" s="247">
        <f>GL24/GL18</f>
        <v>0.11842105263157889</v>
      </c>
      <c r="GM23" s="248">
        <f t="shared" si="95"/>
        <v>0.11842105263157889</v>
      </c>
      <c r="GN23" s="247">
        <f>GN24/GN18</f>
        <v>0.11842105263157889</v>
      </c>
      <c r="GO23" s="248">
        <f t="shared" si="95"/>
        <v>0.11842105263157889</v>
      </c>
      <c r="GP23" s="247">
        <f>GP24/GP18</f>
        <v>0.11842105263157889</v>
      </c>
      <c r="GQ23" s="248">
        <f t="shared" si="95"/>
        <v>0.11842105263157889</v>
      </c>
      <c r="GR23" s="247">
        <f>GR24/GR18</f>
        <v>0.11842105263157889</v>
      </c>
      <c r="GS23" s="248">
        <f t="shared" si="95"/>
        <v>0.11842105263157889</v>
      </c>
      <c r="GT23" s="247">
        <f>GT24/GT18</f>
        <v>0.11842105263157889</v>
      </c>
      <c r="GU23" s="248">
        <f t="shared" si="95"/>
        <v>0.11842105263157889</v>
      </c>
      <c r="GV23" s="247">
        <f>GV24/GV18</f>
        <v>0.11842105263157889</v>
      </c>
      <c r="GW23" s="248">
        <f t="shared" si="95"/>
        <v>0.11842105263157889</v>
      </c>
      <c r="GX23" s="247">
        <f>GX24/GX18</f>
        <v>0.11842105263157889</v>
      </c>
      <c r="GY23" s="248">
        <f t="shared" si="95"/>
        <v>0.11842105263157889</v>
      </c>
      <c r="GZ23" s="247">
        <f>GZ24/GZ18</f>
        <v>0.11842105263157889</v>
      </c>
      <c r="HA23" s="248">
        <f t="shared" si="95"/>
        <v>0.11842105263157889</v>
      </c>
      <c r="HB23" s="247">
        <f>HB24/HB18</f>
        <v>0.11842105263157889</v>
      </c>
      <c r="HC23" s="248">
        <f t="shared" si="95"/>
        <v>0.11842105263157889</v>
      </c>
      <c r="HD23" s="247">
        <f>HD24/HD18</f>
        <v>0.11842105263157889</v>
      </c>
      <c r="HE23" s="248">
        <f t="shared" si="95"/>
        <v>0.11842105263157889</v>
      </c>
      <c r="HF23" s="247">
        <f>HF24/HF18</f>
        <v>0.11842105263157889</v>
      </c>
      <c r="HG23" s="248">
        <f t="shared" si="95"/>
        <v>0.11842105263157889</v>
      </c>
      <c r="HH23" s="247">
        <f>HH24/HH18</f>
        <v>0.11842105263157889</v>
      </c>
      <c r="HI23" s="248">
        <f t="shared" si="95"/>
        <v>0.11842105263157889</v>
      </c>
      <c r="HJ23" s="247">
        <f>HJ24/HJ18</f>
        <v>0.11842105263157889</v>
      </c>
      <c r="HK23" s="248">
        <f t="shared" si="95"/>
        <v>0.11842105263157889</v>
      </c>
      <c r="HL23" s="247">
        <f>HL24/HL18</f>
        <v>0.11842105263157889</v>
      </c>
      <c r="HM23" s="248">
        <f>+HL23</f>
        <v>0.11842105263157889</v>
      </c>
      <c r="HN23" s="247">
        <f>HN24/HN18</f>
        <v>0.11842105263157889</v>
      </c>
      <c r="HO23" s="248">
        <f>+HN23</f>
        <v>0.11842105263157889</v>
      </c>
      <c r="HP23" s="247">
        <f>HP24/HP18</f>
        <v>0.11842105263157889</v>
      </c>
      <c r="HQ23" s="248">
        <f>+HP23</f>
        <v>0.11842105263157889</v>
      </c>
      <c r="HR23" s="247">
        <f t="shared" ref="HR23" si="96">HR24/HR18</f>
        <v>0.11842105263157889</v>
      </c>
      <c r="HS23" s="248">
        <f t="shared" ref="HS23:IW23" si="97">+HR23</f>
        <v>0.11842105263157889</v>
      </c>
      <c r="HT23" s="247">
        <f t="shared" ref="HT23" si="98">HT24/HT18</f>
        <v>0.11842105263157889</v>
      </c>
      <c r="HU23" s="248">
        <f t="shared" si="97"/>
        <v>0.11842105263157889</v>
      </c>
      <c r="HV23" s="247">
        <f t="shared" ref="HV23" si="99">HV24/HV18</f>
        <v>0.11842105263157889</v>
      </c>
      <c r="HW23" s="248">
        <f t="shared" si="97"/>
        <v>0.11842105263157889</v>
      </c>
      <c r="HX23" s="247">
        <f t="shared" ref="HX23" si="100">HX24/HX18</f>
        <v>0.11842105263157889</v>
      </c>
      <c r="HY23" s="248">
        <f t="shared" si="97"/>
        <v>0.11842105263157889</v>
      </c>
      <c r="HZ23" s="247">
        <f t="shared" ref="HZ23" si="101">HZ24/HZ18</f>
        <v>0.11842105263157889</v>
      </c>
      <c r="IA23" s="248">
        <f t="shared" si="97"/>
        <v>0.11842105263157889</v>
      </c>
      <c r="IB23" s="247">
        <f t="shared" ref="IB23" si="102">IB24/IB18</f>
        <v>0.11842105263157889</v>
      </c>
      <c r="IC23" s="248">
        <f t="shared" si="97"/>
        <v>0.11842105263157889</v>
      </c>
      <c r="ID23" s="247">
        <f t="shared" ref="ID23" si="103">ID24/ID18</f>
        <v>0.11842105263157889</v>
      </c>
      <c r="IE23" s="248">
        <f t="shared" si="97"/>
        <v>0.11842105263157889</v>
      </c>
      <c r="IF23" s="247">
        <f t="shared" ref="IF23" si="104">IF24/IF18</f>
        <v>0.11842105263157889</v>
      </c>
      <c r="IG23" s="248">
        <f t="shared" si="97"/>
        <v>0.11842105263157889</v>
      </c>
      <c r="IH23" s="247">
        <f t="shared" ref="IH23" si="105">IH24/IH18</f>
        <v>0.11842105263157889</v>
      </c>
      <c r="II23" s="248">
        <f t="shared" si="97"/>
        <v>0.11842105263157889</v>
      </c>
      <c r="IJ23" s="247">
        <f t="shared" ref="IJ23" si="106">IJ24/IJ18</f>
        <v>0.11842105263157889</v>
      </c>
      <c r="IK23" s="248">
        <f t="shared" si="97"/>
        <v>0.11842105263157889</v>
      </c>
      <c r="IL23" s="247">
        <f t="shared" ref="IL23" si="107">IL24/IL18</f>
        <v>0.11842105263157889</v>
      </c>
      <c r="IM23" s="248">
        <f t="shared" si="97"/>
        <v>0.11842105263157889</v>
      </c>
      <c r="IN23" s="247">
        <f t="shared" ref="IN23" si="108">IN24/IN18</f>
        <v>0.11842105263157889</v>
      </c>
      <c r="IO23" s="248">
        <f t="shared" si="97"/>
        <v>0.11842105263157889</v>
      </c>
      <c r="IP23" s="247">
        <f t="shared" ref="IP23" si="109">IP24/IP18</f>
        <v>0.11842105263157889</v>
      </c>
      <c r="IQ23" s="248">
        <f t="shared" si="97"/>
        <v>0.11842105263157889</v>
      </c>
      <c r="IR23" s="247">
        <f t="shared" ref="IR23" si="110">IR24/IR18</f>
        <v>0.11842105263157889</v>
      </c>
      <c r="IS23" s="248">
        <f t="shared" si="97"/>
        <v>0.11842105263157889</v>
      </c>
      <c r="IT23" s="247">
        <f t="shared" ref="IT23" si="111">IT24/IT18</f>
        <v>0.11842105263157889</v>
      </c>
      <c r="IU23" s="248">
        <f t="shared" si="97"/>
        <v>0.11842105263157889</v>
      </c>
      <c r="IV23" s="247">
        <f t="shared" ref="IV23" si="112">IV24/IV18</f>
        <v>0.10427807486631004</v>
      </c>
      <c r="IW23" s="248">
        <f t="shared" si="97"/>
        <v>0.10427807486631004</v>
      </c>
      <c r="IX23" s="247">
        <f t="shared" ref="IX23" si="113">IX24/IX18</f>
        <v>0.10427807486631004</v>
      </c>
      <c r="IY23" s="248">
        <f t="shared" ref="IY23" si="114">+IX23</f>
        <v>0.10427807486631004</v>
      </c>
      <c r="IZ23" s="231"/>
      <c r="JA23" s="247">
        <f>JA24/JA18</f>
        <v>4.411764705882338E-2</v>
      </c>
      <c r="JB23" s="248">
        <f>+JA23</f>
        <v>4.411764705882338E-2</v>
      </c>
      <c r="JC23" s="247">
        <f>JC24/JC18</f>
        <v>9.7222222222222127E-2</v>
      </c>
      <c r="JD23" s="248">
        <f>+JC23</f>
        <v>9.7222222222222127E-2</v>
      </c>
      <c r="JE23" s="231"/>
      <c r="JF23" s="247">
        <f>JF24/JF18</f>
        <v>0.12142857142857139</v>
      </c>
      <c r="JG23" s="248">
        <f t="shared" ref="JG23:KU23" si="115">+JF23</f>
        <v>0.12142857142857139</v>
      </c>
      <c r="JH23" s="247">
        <f>JH24/JH18</f>
        <v>0.12142857142857139</v>
      </c>
      <c r="JI23" s="248">
        <f t="shared" si="115"/>
        <v>0.12142857142857139</v>
      </c>
      <c r="JJ23" s="247">
        <f>JJ24/JJ18</f>
        <v>0.12666666666666662</v>
      </c>
      <c r="JK23" s="248">
        <f t="shared" si="115"/>
        <v>0.12666666666666662</v>
      </c>
      <c r="JL23" s="247">
        <f>JL24/JL18</f>
        <v>0.12666666666666662</v>
      </c>
      <c r="JM23" s="248">
        <f t="shared" si="115"/>
        <v>0.12666666666666662</v>
      </c>
      <c r="JN23" s="247">
        <f>JN24/JN18</f>
        <v>0.12666666666666662</v>
      </c>
      <c r="JO23" s="248">
        <f t="shared" si="115"/>
        <v>0.12666666666666662</v>
      </c>
      <c r="JP23" s="247">
        <f>JP24/JP18</f>
        <v>0.12096774193548386</v>
      </c>
      <c r="JQ23" s="248">
        <f t="shared" si="115"/>
        <v>0.12096774193548386</v>
      </c>
      <c r="JR23" s="247">
        <f>JR24/JR18</f>
        <v>0.12096774193548386</v>
      </c>
      <c r="JS23" s="248">
        <f t="shared" si="115"/>
        <v>0.12096774193548386</v>
      </c>
      <c r="JT23" s="247">
        <f>JT24/JT18</f>
        <v>0.12096774193548386</v>
      </c>
      <c r="JU23" s="248">
        <f t="shared" si="115"/>
        <v>0.12096774193548386</v>
      </c>
      <c r="JV23" s="247">
        <f>JV24/JV18</f>
        <v>0.12096774193548386</v>
      </c>
      <c r="JW23" s="248">
        <f t="shared" si="115"/>
        <v>0.12096774193548386</v>
      </c>
      <c r="JX23" s="247">
        <f>JX24/JX18</f>
        <v>0.12096774193548386</v>
      </c>
      <c r="JY23" s="248">
        <f t="shared" si="115"/>
        <v>0.12096774193548386</v>
      </c>
      <c r="JZ23" s="247">
        <f>JZ24/JZ18</f>
        <v>0.12096774193548386</v>
      </c>
      <c r="KA23" s="248">
        <f t="shared" si="115"/>
        <v>0.12096774193548386</v>
      </c>
      <c r="KB23" s="247">
        <f>KB24/KB18</f>
        <v>0.12096774193548386</v>
      </c>
      <c r="KC23" s="248">
        <f t="shared" si="115"/>
        <v>0.12096774193548386</v>
      </c>
      <c r="KD23" s="247">
        <f>KD24/KD18</f>
        <v>0.12096774193548386</v>
      </c>
      <c r="KE23" s="248">
        <f t="shared" si="115"/>
        <v>0.12096774193548386</v>
      </c>
      <c r="KF23" s="247">
        <f>KF24/KF18</f>
        <v>0.12096774193548386</v>
      </c>
      <c r="KG23" s="248">
        <f t="shared" si="115"/>
        <v>0.12096774193548386</v>
      </c>
      <c r="KH23" s="247">
        <f>KH24/KH18</f>
        <v>0.12096774193548386</v>
      </c>
      <c r="KI23" s="248">
        <f t="shared" si="115"/>
        <v>0.12096774193548386</v>
      </c>
      <c r="KJ23" s="247">
        <f>KJ24/KJ18</f>
        <v>0.12096774193548386</v>
      </c>
      <c r="KK23" s="248">
        <f t="shared" si="115"/>
        <v>0.12096774193548386</v>
      </c>
      <c r="KL23" s="247">
        <f>KL24/KL18</f>
        <v>0.12096774193548386</v>
      </c>
      <c r="KM23" s="248">
        <f t="shared" si="115"/>
        <v>0.12096774193548386</v>
      </c>
      <c r="KN23" s="247">
        <f>KN24/KN18</f>
        <v>0.12096774193548386</v>
      </c>
      <c r="KO23" s="248">
        <f t="shared" si="115"/>
        <v>0.12096774193548386</v>
      </c>
      <c r="KP23" s="247">
        <f>KP24/KP18</f>
        <v>0.12096774193548386</v>
      </c>
      <c r="KQ23" s="248">
        <f t="shared" si="115"/>
        <v>0.12096774193548386</v>
      </c>
      <c r="KR23" s="247">
        <f>KR24/KR18</f>
        <v>0.12096774193548386</v>
      </c>
      <c r="KS23" s="248">
        <f t="shared" si="115"/>
        <v>0.12096774193548386</v>
      </c>
      <c r="KT23" s="247">
        <f>KT24/KT18</f>
        <v>0.12096774193548386</v>
      </c>
      <c r="KU23" s="248">
        <f t="shared" si="115"/>
        <v>0.12096774193548386</v>
      </c>
      <c r="KV23" s="247">
        <f>KV24/KV18</f>
        <v>0.12096774193548386</v>
      </c>
      <c r="KW23" s="248">
        <f>+KV23</f>
        <v>0.12096774193548386</v>
      </c>
      <c r="KX23" s="247">
        <f>KX24/KX18</f>
        <v>0.12096774193548386</v>
      </c>
      <c r="KY23" s="248">
        <f>+KX23</f>
        <v>0.12096774193548386</v>
      </c>
      <c r="KZ23" s="247">
        <f>KZ24/KZ18</f>
        <v>0.12096774193548386</v>
      </c>
      <c r="LA23" s="248">
        <f>+KZ23</f>
        <v>0.12096774193548386</v>
      </c>
      <c r="LB23" s="247">
        <f t="shared" ref="LB23" si="116">LB24/LB18</f>
        <v>0.12660256410256418</v>
      </c>
      <c r="LC23" s="248">
        <f t="shared" ref="LC23:MC23" si="117">+LB23</f>
        <v>0.12660256410256418</v>
      </c>
      <c r="LD23" s="247">
        <f t="shared" ref="LD23" si="118">LD24/LD18</f>
        <v>0.15477667493796535</v>
      </c>
      <c r="LE23" s="248">
        <f t="shared" si="117"/>
        <v>0.15477667493796535</v>
      </c>
      <c r="LF23" s="247">
        <f t="shared" ref="LF23" si="119">LF24/LF18</f>
        <v>0.15477667493796535</v>
      </c>
      <c r="LG23" s="248">
        <f t="shared" si="117"/>
        <v>0.15477667493796535</v>
      </c>
      <c r="LH23" s="247">
        <f t="shared" ref="LH23" si="120">LH24/LH18</f>
        <v>0.15477667493796535</v>
      </c>
      <c r="LI23" s="248">
        <f t="shared" si="117"/>
        <v>0.15477667493796535</v>
      </c>
      <c r="LJ23" s="247">
        <f t="shared" ref="LJ23" si="121">LJ24/LJ18</f>
        <v>0.15477667493796535</v>
      </c>
      <c r="LK23" s="248">
        <f t="shared" si="117"/>
        <v>0.15477667493796535</v>
      </c>
      <c r="LL23" s="247">
        <f t="shared" ref="LL23" si="122">LL24/LL18</f>
        <v>0.15477667493796535</v>
      </c>
      <c r="LM23" s="248">
        <f t="shared" si="117"/>
        <v>0.15477667493796535</v>
      </c>
      <c r="LN23" s="247">
        <f t="shared" ref="LN23" si="123">LN24/LN18</f>
        <v>0.15477667493796535</v>
      </c>
      <c r="LO23" s="248">
        <f t="shared" si="117"/>
        <v>0.15477667493796535</v>
      </c>
      <c r="LP23" s="247">
        <f t="shared" ref="LP23" si="124">LP24/LP18</f>
        <v>0.15477667493796535</v>
      </c>
      <c r="LQ23" s="248">
        <f t="shared" si="117"/>
        <v>0.15477667493796535</v>
      </c>
      <c r="LR23" s="247">
        <f t="shared" ref="LR23" si="125">LR24/LR18</f>
        <v>0.15477667493796535</v>
      </c>
      <c r="LS23" s="248">
        <f t="shared" si="117"/>
        <v>0.15477667493796535</v>
      </c>
      <c r="LT23" s="247">
        <f t="shared" ref="LT23" si="126">LT24/LT18</f>
        <v>0.12660256410256418</v>
      </c>
      <c r="LU23" s="248">
        <f t="shared" si="117"/>
        <v>0.12660256410256418</v>
      </c>
      <c r="LV23" s="247">
        <f t="shared" ref="LV23" si="127">LV24/LV18</f>
        <v>0.12660256410256418</v>
      </c>
      <c r="LW23" s="248">
        <f t="shared" si="117"/>
        <v>0.12660256410256418</v>
      </c>
      <c r="LX23" s="247">
        <f t="shared" ref="LX23" si="128">LX24/LX18</f>
        <v>0.12660256410256418</v>
      </c>
      <c r="LY23" s="248">
        <f t="shared" si="117"/>
        <v>0.12660256410256418</v>
      </c>
      <c r="LZ23" s="247">
        <f t="shared" ref="LZ23" si="129">LZ24/LZ18</f>
        <v>0.12660256410256418</v>
      </c>
      <c r="MA23" s="248">
        <f t="shared" si="117"/>
        <v>0.12660256410256418</v>
      </c>
      <c r="MB23" s="247">
        <f t="shared" ref="MB23" si="130">MB24/MB18</f>
        <v>0.12660256410256418</v>
      </c>
      <c r="MC23" s="248">
        <f t="shared" si="117"/>
        <v>0.12660256410256418</v>
      </c>
      <c r="MD23" s="247">
        <f t="shared" ref="MD23" si="131">MD24/MD18</f>
        <v>0.12660256410256418</v>
      </c>
      <c r="ME23" s="248">
        <f t="shared" ref="ME23" si="132">+MD23</f>
        <v>0.12660256410256418</v>
      </c>
      <c r="MF23" s="247">
        <f t="shared" ref="MF23" si="133">MF24/MF18</f>
        <v>0.10476762820512817</v>
      </c>
      <c r="MG23" s="248">
        <f t="shared" ref="MG23" si="134">+MF23</f>
        <v>0.10476762820512817</v>
      </c>
      <c r="MH23" s="231"/>
      <c r="MI23" s="247">
        <f>MI24/MI18</f>
        <v>0.16666666666666663</v>
      </c>
      <c r="MJ23" s="248">
        <f>+MI23</f>
        <v>0.16666666666666663</v>
      </c>
      <c r="MK23" s="247">
        <f>MK24/MK18</f>
        <v>0.12499999999999993</v>
      </c>
      <c r="ML23" s="248">
        <f>+MK23</f>
        <v>0.12499999999999993</v>
      </c>
      <c r="MM23" s="247">
        <f>MM24/MM18</f>
        <v>0.12499999999999993</v>
      </c>
      <c r="MN23" s="248">
        <f>+MM23</f>
        <v>0.12499999999999993</v>
      </c>
      <c r="MO23" s="247">
        <f>MO24/MO18</f>
        <v>0.12499999999999993</v>
      </c>
      <c r="MP23" s="248">
        <f>+MO23</f>
        <v>0.12499999999999993</v>
      </c>
      <c r="MQ23" s="247">
        <f>MQ24/MQ18</f>
        <v>0.12499999999999993</v>
      </c>
      <c r="MR23" s="248">
        <f>+MQ23</f>
        <v>0.12499999999999993</v>
      </c>
      <c r="MS23" s="247">
        <f>MS24/MS18</f>
        <v>0.11999999999999993</v>
      </c>
      <c r="MT23" s="248">
        <f>+MS23</f>
        <v>0.11999999999999993</v>
      </c>
      <c r="MU23" s="247">
        <f>MU24/MU18</f>
        <v>0.13461538461538464</v>
      </c>
      <c r="MV23" s="248">
        <f>+MU23</f>
        <v>0.13461538461538464</v>
      </c>
      <c r="MW23" s="247">
        <f>MW24/MW18</f>
        <v>0.125</v>
      </c>
      <c r="MX23" s="248">
        <f>+MW23</f>
        <v>0.125</v>
      </c>
      <c r="MY23" s="247">
        <f>MY24/MY18</f>
        <v>0.125</v>
      </c>
      <c r="MZ23" s="248">
        <f>+MY23</f>
        <v>0.125</v>
      </c>
      <c r="NA23" s="247">
        <f>NA24/NA18</f>
        <v>0.125</v>
      </c>
      <c r="NB23" s="248">
        <f>+NA23</f>
        <v>0.125</v>
      </c>
      <c r="NC23" s="247">
        <f>NC24/NC18</f>
        <v>0.125</v>
      </c>
      <c r="ND23" s="248">
        <f>+NC23</f>
        <v>0.125</v>
      </c>
      <c r="NE23" s="247">
        <f>NE24/NE18</f>
        <v>0.125</v>
      </c>
      <c r="NF23" s="248">
        <f>+NE23</f>
        <v>0.125</v>
      </c>
      <c r="NG23" s="247">
        <f>NG24/NG18</f>
        <v>0.125</v>
      </c>
      <c r="NH23" s="248">
        <f>+NG23</f>
        <v>0.125</v>
      </c>
      <c r="NI23" s="247">
        <f>NI24/NI18</f>
        <v>0.125</v>
      </c>
      <c r="NJ23" s="248">
        <f>+NI23</f>
        <v>0.125</v>
      </c>
      <c r="NK23" s="247">
        <f>NK24/NK18</f>
        <v>0.125</v>
      </c>
      <c r="NL23" s="248">
        <f>+NK23</f>
        <v>0.125</v>
      </c>
      <c r="NM23" s="247">
        <f>NM24/NM18</f>
        <v>0.125</v>
      </c>
      <c r="NN23" s="248">
        <f>+NM23</f>
        <v>0.125</v>
      </c>
      <c r="NO23" s="247">
        <f>NO24/NO18</f>
        <v>0.125</v>
      </c>
      <c r="NP23" s="248">
        <f>+NO23</f>
        <v>0.125</v>
      </c>
      <c r="NQ23" s="247">
        <f>NQ24/NQ18</f>
        <v>0.125</v>
      </c>
      <c r="NR23" s="248">
        <f>+NQ23</f>
        <v>0.125</v>
      </c>
      <c r="NS23" s="247">
        <f>NS24/NS18</f>
        <v>0.125</v>
      </c>
      <c r="NT23" s="248">
        <f>+NS23</f>
        <v>0.125</v>
      </c>
      <c r="NU23" s="247">
        <f>NU24/NU18</f>
        <v>0.125</v>
      </c>
      <c r="NV23" s="248">
        <f>+NU23</f>
        <v>0.125</v>
      </c>
      <c r="NW23" s="247">
        <f>NW24/NW18</f>
        <v>0.125</v>
      </c>
      <c r="NX23" s="248">
        <f>+NW23</f>
        <v>0.125</v>
      </c>
      <c r="NY23" s="247">
        <f>NY24/NY18</f>
        <v>0.125</v>
      </c>
      <c r="NZ23" s="248">
        <f>+NY23</f>
        <v>0.125</v>
      </c>
      <c r="OA23" s="247">
        <f>OA24/OA18</f>
        <v>0.125</v>
      </c>
      <c r="OB23" s="248">
        <f>+OA23</f>
        <v>0.125</v>
      </c>
      <c r="OC23" s="247">
        <f>OC24/OC18</f>
        <v>0.125</v>
      </c>
      <c r="OD23" s="248">
        <f>+OC23</f>
        <v>0.125</v>
      </c>
      <c r="OE23" s="247">
        <f>OE24/OE18</f>
        <v>0.125</v>
      </c>
      <c r="OF23" s="248">
        <f>+OE23</f>
        <v>0.125</v>
      </c>
      <c r="OG23" s="247">
        <f>OG24/OG18</f>
        <v>0.125</v>
      </c>
      <c r="OH23" s="248">
        <f>+OG23</f>
        <v>0.125</v>
      </c>
      <c r="OI23" s="247">
        <f>OI24/OI18</f>
        <v>0.125</v>
      </c>
      <c r="OJ23" s="248">
        <f>+OI23</f>
        <v>0.125</v>
      </c>
      <c r="OK23" s="247">
        <f>OK24/OK18</f>
        <v>0.125</v>
      </c>
      <c r="OL23" s="248">
        <f>+OK23</f>
        <v>0.125</v>
      </c>
      <c r="OM23" s="247">
        <f>OM24/OM18</f>
        <v>0.125</v>
      </c>
      <c r="ON23" s="248">
        <f>+OM23</f>
        <v>0.125</v>
      </c>
      <c r="OO23" s="247">
        <f>OO24/OO18</f>
        <v>0.125</v>
      </c>
      <c r="OP23" s="248">
        <f>+OO23</f>
        <v>0.125</v>
      </c>
      <c r="OQ23" s="247">
        <f>OQ24/OQ18</f>
        <v>0.125</v>
      </c>
      <c r="OR23" s="248">
        <f>+OQ23</f>
        <v>0.125</v>
      </c>
      <c r="OS23" s="247">
        <f>OS24/OS18</f>
        <v>0.125</v>
      </c>
      <c r="OT23" s="248">
        <f>+OS23</f>
        <v>0.125</v>
      </c>
      <c r="OU23" s="247">
        <f>OU24/OU18</f>
        <v>0.125</v>
      </c>
      <c r="OV23" s="248">
        <f>+OU23</f>
        <v>0.125</v>
      </c>
      <c r="OW23" s="247">
        <f>OW24/OW18</f>
        <v>0.125</v>
      </c>
      <c r="OX23" s="248">
        <f>+OW23</f>
        <v>0.125</v>
      </c>
      <c r="OY23" s="247">
        <f>OY24/OY18</f>
        <v>0.125</v>
      </c>
      <c r="OZ23" s="248">
        <f>+OY23</f>
        <v>0.125</v>
      </c>
      <c r="PA23" s="247">
        <f>PA24/PA18</f>
        <v>0.125</v>
      </c>
      <c r="PB23" s="248">
        <f>+PA23</f>
        <v>0.125</v>
      </c>
      <c r="PC23" s="247">
        <f>PC24/PC18</f>
        <v>0.125</v>
      </c>
      <c r="PD23" s="248">
        <f>+PC23</f>
        <v>0.125</v>
      </c>
      <c r="PE23" s="247">
        <f>PE24/PE18</f>
        <v>0.125</v>
      </c>
      <c r="PF23" s="248">
        <f>+PE23</f>
        <v>0.125</v>
      </c>
      <c r="PG23" s="247">
        <f>PG24/PG18</f>
        <v>0.125</v>
      </c>
      <c r="PH23" s="248">
        <f>+PG23</f>
        <v>0.125</v>
      </c>
      <c r="PI23" s="247">
        <f>PI24/PI18</f>
        <v>0.1</v>
      </c>
      <c r="PJ23" s="248">
        <f>+PI23</f>
        <v>0.1</v>
      </c>
      <c r="PK23" s="247">
        <f>PK24/PK18</f>
        <v>6.5217391304347797E-2</v>
      </c>
      <c r="PL23" s="248">
        <f>+PK23</f>
        <v>6.5217391304347797E-2</v>
      </c>
      <c r="PM23" s="247">
        <f t="shared" ref="PM23" si="135">PM24/PM18</f>
        <v>0.11132812499999997</v>
      </c>
      <c r="PN23" s="248">
        <f t="shared" ref="PN23:PP23" si="136">+PM23</f>
        <v>0.11132812499999997</v>
      </c>
      <c r="PO23" s="247">
        <f t="shared" ref="PO23" si="137">PO24/PO18</f>
        <v>0.12997159090909091</v>
      </c>
      <c r="PP23" s="248">
        <f t="shared" si="136"/>
        <v>0.12997159090909091</v>
      </c>
      <c r="PQ23" s="236"/>
      <c r="PR23" s="247">
        <f>PR24/PR18</f>
        <v>0.14285714285714285</v>
      </c>
      <c r="PS23" s="248">
        <f>+PR23</f>
        <v>0.14285714285714285</v>
      </c>
      <c r="PT23" s="247">
        <f>PT24/PT18</f>
        <v>0.14285714285714285</v>
      </c>
      <c r="PU23" s="248">
        <f>+PT23</f>
        <v>0.14285714285714285</v>
      </c>
      <c r="PV23" s="247">
        <f>PV24/PV18</f>
        <v>9.9999999999999936E-2</v>
      </c>
      <c r="PW23" s="248">
        <f>+PV23</f>
        <v>9.9999999999999936E-2</v>
      </c>
      <c r="PX23" s="247">
        <f>PX24/PX18</f>
        <v>9.9999999999999936E-2</v>
      </c>
      <c r="PY23" s="248">
        <f>+PX23</f>
        <v>9.9999999999999936E-2</v>
      </c>
      <c r="PZ23" s="247">
        <f>PZ24/PZ18</f>
        <v>0.11999999999999993</v>
      </c>
      <c r="QA23" s="248">
        <f>+PZ23</f>
        <v>0.11999999999999993</v>
      </c>
      <c r="QB23" s="247">
        <f>QB24/QB18</f>
        <v>0.11999999999999993</v>
      </c>
      <c r="QC23" s="248">
        <f>+QB23</f>
        <v>0.11999999999999993</v>
      </c>
      <c r="QD23" s="236"/>
      <c r="QE23" s="236"/>
      <c r="QF23" s="247">
        <f>QF24/QF18</f>
        <v>0.14285714285714285</v>
      </c>
      <c r="QG23" s="248">
        <f>+QF23</f>
        <v>0.14285714285714285</v>
      </c>
      <c r="QH23" s="247">
        <f>QH24/QH18</f>
        <v>0.14285714285714285</v>
      </c>
      <c r="QI23" s="248">
        <f>+QH23</f>
        <v>0.14285714285714285</v>
      </c>
      <c r="QJ23" s="247">
        <f>QJ24/QJ18</f>
        <v>9.9999999999999936E-2</v>
      </c>
      <c r="QK23" s="248">
        <f>+QJ23</f>
        <v>9.9999999999999936E-2</v>
      </c>
      <c r="QL23" s="247">
        <f>QL24/QL18</f>
        <v>9.9999999999999936E-2</v>
      </c>
      <c r="QM23" s="248">
        <f>+QL23</f>
        <v>9.9999999999999936E-2</v>
      </c>
      <c r="QN23" s="247">
        <f>QN24/QN18</f>
        <v>9.9999999999999936E-2</v>
      </c>
      <c r="QO23" s="248">
        <f>+QN23</f>
        <v>9.9999999999999936E-2</v>
      </c>
      <c r="QP23" s="247">
        <f>QP24/QP18</f>
        <v>9.9999999999999936E-2</v>
      </c>
      <c r="QQ23" s="248">
        <f>+QP23</f>
        <v>9.9999999999999936E-2</v>
      </c>
    </row>
    <row r="24" spans="1:459" x14ac:dyDescent="0.45">
      <c r="A24" s="876"/>
      <c r="B24" s="180" t="s">
        <v>332</v>
      </c>
      <c r="C24" s="181"/>
      <c r="D24" s="199"/>
      <c r="E24" s="186"/>
      <c r="F24" s="215">
        <f t="shared" ref="F24:BQ24" si="138">F18-F31</f>
        <v>1.5199999999999996</v>
      </c>
      <c r="G24" s="188">
        <f t="shared" si="138"/>
        <v>0</v>
      </c>
      <c r="H24" s="215">
        <f t="shared" si="138"/>
        <v>1.5199999999999996</v>
      </c>
      <c r="I24" s="188">
        <f t="shared" si="138"/>
        <v>0</v>
      </c>
      <c r="J24" s="215">
        <f t="shared" si="138"/>
        <v>1.5199999999999996</v>
      </c>
      <c r="K24" s="188">
        <f t="shared" si="138"/>
        <v>0</v>
      </c>
      <c r="L24" s="215">
        <f t="shared" si="138"/>
        <v>1.5199999999999996</v>
      </c>
      <c r="M24" s="188">
        <f t="shared" si="138"/>
        <v>0</v>
      </c>
      <c r="N24" s="215">
        <f t="shared" si="138"/>
        <v>1.5199999999999996</v>
      </c>
      <c r="O24" s="188">
        <f t="shared" si="138"/>
        <v>0</v>
      </c>
      <c r="P24" s="215">
        <f t="shared" si="138"/>
        <v>1.6000000000000014</v>
      </c>
      <c r="Q24" s="188">
        <f t="shared" si="138"/>
        <v>0</v>
      </c>
      <c r="R24" s="215">
        <f t="shared" si="138"/>
        <v>1.6000000000000014</v>
      </c>
      <c r="S24" s="188">
        <f t="shared" si="138"/>
        <v>0</v>
      </c>
      <c r="T24" s="215">
        <f t="shared" si="138"/>
        <v>1.6000000000000014</v>
      </c>
      <c r="U24" s="188">
        <f t="shared" si="138"/>
        <v>0</v>
      </c>
      <c r="V24" s="215">
        <f t="shared" si="138"/>
        <v>1.5999999999999996</v>
      </c>
      <c r="W24" s="188">
        <f t="shared" si="138"/>
        <v>0</v>
      </c>
      <c r="X24" s="215">
        <f t="shared" si="138"/>
        <v>1.6499999999999986</v>
      </c>
      <c r="Y24" s="188">
        <f t="shared" si="138"/>
        <v>0</v>
      </c>
      <c r="Z24" s="215">
        <f t="shared" si="138"/>
        <v>1.6499999999999986</v>
      </c>
      <c r="AA24" s="188">
        <f t="shared" si="138"/>
        <v>0</v>
      </c>
      <c r="AB24" s="215">
        <f t="shared" si="138"/>
        <v>1.6499999999999986</v>
      </c>
      <c r="AC24" s="188">
        <f t="shared" si="138"/>
        <v>0</v>
      </c>
      <c r="AD24" s="215">
        <f t="shared" si="138"/>
        <v>1.6799999999999997</v>
      </c>
      <c r="AE24" s="188">
        <f t="shared" si="138"/>
        <v>1.2727272727272716</v>
      </c>
      <c r="AF24" s="215">
        <f t="shared" si="138"/>
        <v>1.6799999999999997</v>
      </c>
      <c r="AG24" s="188">
        <f t="shared" si="138"/>
        <v>0</v>
      </c>
      <c r="AH24" s="215">
        <f t="shared" si="138"/>
        <v>1.6799999999999997</v>
      </c>
      <c r="AI24" s="188">
        <f t="shared" si="138"/>
        <v>0</v>
      </c>
      <c r="AJ24" s="215">
        <f t="shared" si="138"/>
        <v>1.6799999999999997</v>
      </c>
      <c r="AK24" s="188">
        <f t="shared" si="138"/>
        <v>0</v>
      </c>
      <c r="AL24" s="215">
        <f t="shared" si="138"/>
        <v>1.6799999999999997</v>
      </c>
      <c r="AM24" s="188">
        <f t="shared" si="138"/>
        <v>0</v>
      </c>
      <c r="AN24" s="215">
        <f t="shared" si="138"/>
        <v>1.6799999999999997</v>
      </c>
      <c r="AO24" s="188">
        <f t="shared" si="138"/>
        <v>0</v>
      </c>
      <c r="AP24" s="215">
        <f t="shared" si="138"/>
        <v>1.6799999999999997</v>
      </c>
      <c r="AQ24" s="188">
        <f t="shared" si="138"/>
        <v>0</v>
      </c>
      <c r="AR24" s="215">
        <f t="shared" si="138"/>
        <v>1.6799999999999997</v>
      </c>
      <c r="AS24" s="188">
        <f t="shared" si="138"/>
        <v>1.2727272727272716</v>
      </c>
      <c r="AT24" s="215">
        <f t="shared" si="138"/>
        <v>1.6799999999999997</v>
      </c>
      <c r="AU24" s="188">
        <f t="shared" si="138"/>
        <v>1.2727272727272716</v>
      </c>
      <c r="AV24" s="215">
        <f t="shared" si="138"/>
        <v>1.6799999999999997</v>
      </c>
      <c r="AW24" s="188">
        <f t="shared" si="138"/>
        <v>1.2727272727272716</v>
      </c>
      <c r="AX24" s="215">
        <f t="shared" si="138"/>
        <v>1.6799999999999997</v>
      </c>
      <c r="AY24" s="188">
        <f t="shared" si="138"/>
        <v>1.2727272727272716</v>
      </c>
      <c r="AZ24" s="215">
        <f t="shared" si="138"/>
        <v>1.6799999999999997</v>
      </c>
      <c r="BA24" s="188">
        <f t="shared" si="138"/>
        <v>1.2727272727272716</v>
      </c>
      <c r="BB24" s="215">
        <f t="shared" si="138"/>
        <v>1.6799999999999997</v>
      </c>
      <c r="BC24" s="188">
        <f t="shared" si="138"/>
        <v>1.2727272727272716</v>
      </c>
      <c r="BD24" s="215">
        <f t="shared" si="138"/>
        <v>1.6799999999999997</v>
      </c>
      <c r="BE24" s="188">
        <f t="shared" si="138"/>
        <v>1.2727272727272716</v>
      </c>
      <c r="BF24" s="215">
        <f t="shared" si="138"/>
        <v>1.6799999999999997</v>
      </c>
      <c r="BG24" s="188">
        <f t="shared" si="138"/>
        <v>1.2727272727272716</v>
      </c>
      <c r="BH24" s="215">
        <f t="shared" si="138"/>
        <v>1.6799999999999997</v>
      </c>
      <c r="BI24" s="188">
        <f t="shared" si="138"/>
        <v>1.2727272727272716</v>
      </c>
      <c r="BJ24" s="215">
        <f t="shared" si="138"/>
        <v>1.6799999999999997</v>
      </c>
      <c r="BK24" s="188">
        <f t="shared" si="138"/>
        <v>1.2727272727272716</v>
      </c>
      <c r="BL24" s="215">
        <f>BL18-BL31+BL30</f>
        <v>1.9215686274509807</v>
      </c>
      <c r="BM24" s="188">
        <f>BM18-BM31+BM30</f>
        <v>1.4557338086749845</v>
      </c>
      <c r="BN24" s="215">
        <f t="shared" si="138"/>
        <v>1.6799999999999997</v>
      </c>
      <c r="BO24" s="188">
        <f t="shared" si="138"/>
        <v>1.2727272727272716</v>
      </c>
      <c r="BP24" s="215">
        <f t="shared" si="138"/>
        <v>1.6799999999999997</v>
      </c>
      <c r="BQ24" s="188">
        <f t="shared" si="138"/>
        <v>1.2727272727272716</v>
      </c>
      <c r="BR24" s="215">
        <f t="shared" ref="BR24:CK24" si="139">BR18-BR31</f>
        <v>1.6799999999999997</v>
      </c>
      <c r="BS24" s="188">
        <f t="shared" si="139"/>
        <v>1.2727272727272716</v>
      </c>
      <c r="BT24" s="215">
        <f t="shared" si="139"/>
        <v>1.6799999999999997</v>
      </c>
      <c r="BU24" s="188">
        <f t="shared" si="139"/>
        <v>1.2727272727272716</v>
      </c>
      <c r="BV24" s="215">
        <f t="shared" si="139"/>
        <v>1.6799999999999997</v>
      </c>
      <c r="BW24" s="188">
        <f t="shared" si="139"/>
        <v>1.2727272727272716</v>
      </c>
      <c r="BX24" s="215">
        <f t="shared" si="139"/>
        <v>1.6799999999999997</v>
      </c>
      <c r="BY24" s="188">
        <f t="shared" si="139"/>
        <v>1.2727272727272716</v>
      </c>
      <c r="BZ24" s="215">
        <f t="shared" si="139"/>
        <v>1.6799999999999997</v>
      </c>
      <c r="CA24" s="188">
        <f t="shared" si="139"/>
        <v>1.2727272727272716</v>
      </c>
      <c r="CB24" s="215">
        <f t="shared" si="139"/>
        <v>1.6799999999999997</v>
      </c>
      <c r="CC24" s="188">
        <f t="shared" si="139"/>
        <v>1.2727272727272716</v>
      </c>
      <c r="CD24" s="215">
        <f t="shared" si="139"/>
        <v>1.6799999999999997</v>
      </c>
      <c r="CE24" s="188">
        <f t="shared" si="139"/>
        <v>1.2727272727272716</v>
      </c>
      <c r="CF24" s="215">
        <f t="shared" si="139"/>
        <v>1.6799999999999997</v>
      </c>
      <c r="CG24" s="188">
        <f t="shared" si="139"/>
        <v>1.2727272727272716</v>
      </c>
      <c r="CH24" s="215">
        <f t="shared" si="139"/>
        <v>1.6799999999999997</v>
      </c>
      <c r="CI24" s="188">
        <f t="shared" si="139"/>
        <v>1.2727272727272716</v>
      </c>
      <c r="CJ24" s="215">
        <f t="shared" si="139"/>
        <v>1.6799999999999997</v>
      </c>
      <c r="CK24" s="188">
        <f t="shared" si="139"/>
        <v>1.2727272727272716</v>
      </c>
      <c r="CL24" s="215">
        <f t="shared" ref="CL24:CO24" si="140">CL18-CL31+CL30</f>
        <v>1.9215686274509807</v>
      </c>
      <c r="CM24" s="188">
        <f t="shared" si="140"/>
        <v>1.4557338086749845</v>
      </c>
      <c r="CN24" s="215">
        <f t="shared" si="140"/>
        <v>1.5584000000000007</v>
      </c>
      <c r="CO24" s="188">
        <f t="shared" si="140"/>
        <v>1.1806060606060591</v>
      </c>
      <c r="CP24" s="215">
        <f>CP18-CP31+CP30</f>
        <v>1.5584000000000007</v>
      </c>
      <c r="CQ24" s="188">
        <f>CQ18-CQ31+CQ30</f>
        <v>1.1806060606060591</v>
      </c>
      <c r="CR24" s="215">
        <f>CR18-CR31+CR30</f>
        <v>1.6499999999999986</v>
      </c>
      <c r="CS24" s="188">
        <f>CS18-CS31+CS30</f>
        <v>1.2499999999999973</v>
      </c>
      <c r="CT24" s="201"/>
      <c r="CU24" s="215">
        <f t="shared" ref="CU24:DB24" si="141">CU18-CU31</f>
        <v>1.5599999999999987</v>
      </c>
      <c r="CV24" s="188">
        <f t="shared" si="141"/>
        <v>1.1818181818181799</v>
      </c>
      <c r="CW24" s="215">
        <f t="shared" si="141"/>
        <v>1.5599999999999987</v>
      </c>
      <c r="CX24" s="188">
        <f t="shared" si="141"/>
        <v>1.1818181818181799</v>
      </c>
      <c r="CY24" s="215">
        <f t="shared" si="141"/>
        <v>1.5599999999999987</v>
      </c>
      <c r="CZ24" s="188">
        <f t="shared" si="141"/>
        <v>1.1818181818181799</v>
      </c>
      <c r="DA24" s="215">
        <f t="shared" si="141"/>
        <v>2.1500000000000004</v>
      </c>
      <c r="DB24" s="188">
        <f t="shared" si="141"/>
        <v>1.6287878787878807</v>
      </c>
      <c r="DC24" s="215">
        <f>DC18-DC31</f>
        <v>2.3999999999999986</v>
      </c>
      <c r="DD24" s="188">
        <f>DD18-DD31</f>
        <v>1.8181818181818166</v>
      </c>
      <c r="DE24" s="215">
        <f t="shared" ref="DE24:EJ24" si="142">DE18-DE31</f>
        <v>2.3999999999999986</v>
      </c>
      <c r="DF24" s="188">
        <f t="shared" si="142"/>
        <v>1.7142857142857135</v>
      </c>
      <c r="DG24" s="215">
        <f t="shared" si="142"/>
        <v>2.3999999999999986</v>
      </c>
      <c r="DH24" s="188">
        <f t="shared" si="142"/>
        <v>1.8181818181818166</v>
      </c>
      <c r="DI24" s="215">
        <f t="shared" si="142"/>
        <v>2.3999999999999986</v>
      </c>
      <c r="DJ24" s="188">
        <f t="shared" si="142"/>
        <v>1.8181818181818166</v>
      </c>
      <c r="DK24" s="215">
        <f t="shared" si="142"/>
        <v>2.3999999999999986</v>
      </c>
      <c r="DL24" s="188">
        <f t="shared" si="142"/>
        <v>1.8181818181818166</v>
      </c>
      <c r="DM24" s="215">
        <f t="shared" si="142"/>
        <v>2.3999999999999986</v>
      </c>
      <c r="DN24" s="188">
        <f t="shared" si="142"/>
        <v>1.8181818181818166</v>
      </c>
      <c r="DO24" s="215">
        <f t="shared" si="142"/>
        <v>2.3999999999999986</v>
      </c>
      <c r="DP24" s="188">
        <f t="shared" si="142"/>
        <v>1.8181818181818166</v>
      </c>
      <c r="DQ24" s="215">
        <f t="shared" si="142"/>
        <v>2.3999999999999986</v>
      </c>
      <c r="DR24" s="188">
        <f t="shared" si="142"/>
        <v>1.8181818181818166</v>
      </c>
      <c r="DS24" s="215">
        <f t="shared" si="142"/>
        <v>2.3999999999999986</v>
      </c>
      <c r="DT24" s="188">
        <f t="shared" si="142"/>
        <v>1.8181818181818166</v>
      </c>
      <c r="DU24" s="215">
        <f t="shared" si="142"/>
        <v>2.3999999999999986</v>
      </c>
      <c r="DV24" s="188">
        <f t="shared" si="142"/>
        <v>1.8181818181818166</v>
      </c>
      <c r="DW24" s="215">
        <f t="shared" si="142"/>
        <v>2.3999999999999986</v>
      </c>
      <c r="DX24" s="188">
        <f t="shared" si="142"/>
        <v>1.8181818181818166</v>
      </c>
      <c r="DY24" s="215">
        <f t="shared" si="142"/>
        <v>2.3999999999999986</v>
      </c>
      <c r="DZ24" s="188">
        <f t="shared" si="142"/>
        <v>1.8181818181818166</v>
      </c>
      <c r="EA24" s="215">
        <f t="shared" si="142"/>
        <v>2.3999999999999986</v>
      </c>
      <c r="EB24" s="188">
        <f t="shared" si="142"/>
        <v>1.8181818181818166</v>
      </c>
      <c r="EC24" s="215">
        <f t="shared" si="142"/>
        <v>2.3999999999999986</v>
      </c>
      <c r="ED24" s="188">
        <f t="shared" si="142"/>
        <v>1.8181818181818166</v>
      </c>
      <c r="EE24" s="215">
        <f t="shared" si="142"/>
        <v>2.3999999999999986</v>
      </c>
      <c r="EF24" s="188">
        <f t="shared" si="142"/>
        <v>1.8181818181818166</v>
      </c>
      <c r="EG24" s="215">
        <f t="shared" si="142"/>
        <v>2.3999999999999986</v>
      </c>
      <c r="EH24" s="188">
        <f t="shared" si="142"/>
        <v>1.8181818181818166</v>
      </c>
      <c r="EI24" s="215">
        <f t="shared" si="142"/>
        <v>2.3999999999999986</v>
      </c>
      <c r="EJ24" s="188">
        <f t="shared" si="142"/>
        <v>1.8181818181818166</v>
      </c>
      <c r="EK24" s="215">
        <f t="shared" ref="EK24:FP24" si="143">EK18-EK31+EK30</f>
        <v>2.3999999999999986</v>
      </c>
      <c r="EL24" s="188">
        <f t="shared" si="143"/>
        <v>1.8181818181818166</v>
      </c>
      <c r="EM24" s="215">
        <f t="shared" si="143"/>
        <v>2.3999999999999986</v>
      </c>
      <c r="EN24" s="188">
        <f t="shared" si="143"/>
        <v>1.8181818181818166</v>
      </c>
      <c r="EO24" s="215">
        <f t="shared" si="143"/>
        <v>2.3999999999999986</v>
      </c>
      <c r="EP24" s="188">
        <f t="shared" si="143"/>
        <v>1.8181818181818166</v>
      </c>
      <c r="EQ24" s="215">
        <f t="shared" si="143"/>
        <v>2.3999999999999986</v>
      </c>
      <c r="ER24" s="188">
        <f t="shared" si="143"/>
        <v>1.8181818181818166</v>
      </c>
      <c r="ES24" s="215">
        <f t="shared" si="143"/>
        <v>2.3999999999999986</v>
      </c>
      <c r="ET24" s="188">
        <f t="shared" si="143"/>
        <v>1.8181818181818166</v>
      </c>
      <c r="EU24" s="215">
        <f t="shared" si="143"/>
        <v>2.3999999999999986</v>
      </c>
      <c r="EV24" s="188">
        <f t="shared" si="143"/>
        <v>1.8181818181818166</v>
      </c>
      <c r="EW24" s="215">
        <f t="shared" si="143"/>
        <v>2.3999999999999986</v>
      </c>
      <c r="EX24" s="188">
        <f t="shared" si="143"/>
        <v>1.8181818181818166</v>
      </c>
      <c r="EY24" s="215">
        <f t="shared" si="143"/>
        <v>2.3999999999999986</v>
      </c>
      <c r="EZ24" s="188">
        <f t="shared" si="143"/>
        <v>1.8181818181818166</v>
      </c>
      <c r="FA24" s="215">
        <f t="shared" si="143"/>
        <v>2.3999999999999986</v>
      </c>
      <c r="FB24" s="188">
        <f t="shared" si="143"/>
        <v>1.8181818181818166</v>
      </c>
      <c r="FC24" s="215">
        <f t="shared" si="143"/>
        <v>2.3999999999999986</v>
      </c>
      <c r="FD24" s="188">
        <f t="shared" si="143"/>
        <v>1.8181818181818166</v>
      </c>
      <c r="FE24" s="215">
        <f t="shared" si="143"/>
        <v>2.3999999999999986</v>
      </c>
      <c r="FF24" s="188">
        <f t="shared" si="143"/>
        <v>1.8181818181818166</v>
      </c>
      <c r="FG24" s="215">
        <f t="shared" si="143"/>
        <v>2.3999999999999986</v>
      </c>
      <c r="FH24" s="188">
        <f t="shared" si="143"/>
        <v>1.8181818181818166</v>
      </c>
      <c r="FI24" s="215">
        <f t="shared" si="143"/>
        <v>2.3999999999999986</v>
      </c>
      <c r="FJ24" s="188">
        <f t="shared" si="143"/>
        <v>1.8181818181818166</v>
      </c>
      <c r="FK24" s="215">
        <f t="shared" si="143"/>
        <v>2.3999999999999986</v>
      </c>
      <c r="FL24" s="188">
        <f t="shared" si="143"/>
        <v>1.8181818181818166</v>
      </c>
      <c r="FM24" s="215">
        <f t="shared" si="143"/>
        <v>1.941025641025643</v>
      </c>
      <c r="FN24" s="188">
        <f t="shared" si="143"/>
        <v>1.470473970473972</v>
      </c>
      <c r="FO24" s="215">
        <f t="shared" si="143"/>
        <v>1.941025641025643</v>
      </c>
      <c r="FP24" s="188">
        <f t="shared" si="143"/>
        <v>1.470473970473972</v>
      </c>
      <c r="FQ24" s="186"/>
      <c r="FR24" s="215">
        <f t="shared" ref="FR24:HQ24" si="144">FR18-FR31</f>
        <v>1.5199999999999996</v>
      </c>
      <c r="FS24" s="188">
        <f t="shared" si="144"/>
        <v>0</v>
      </c>
      <c r="FT24" s="215">
        <f t="shared" si="144"/>
        <v>1.5199999999999996</v>
      </c>
      <c r="FU24" s="188">
        <f t="shared" si="144"/>
        <v>0</v>
      </c>
      <c r="FV24" s="215">
        <f t="shared" si="144"/>
        <v>1.6000000000000014</v>
      </c>
      <c r="FW24" s="188">
        <f t="shared" si="144"/>
        <v>0</v>
      </c>
      <c r="FX24" s="215">
        <f t="shared" si="144"/>
        <v>1.6000000000000014</v>
      </c>
      <c r="FY24" s="188">
        <f t="shared" si="144"/>
        <v>0</v>
      </c>
      <c r="FZ24" s="215">
        <f t="shared" si="144"/>
        <v>1.6000000000000014</v>
      </c>
      <c r="GA24" s="188">
        <f t="shared" si="144"/>
        <v>0</v>
      </c>
      <c r="GB24" s="215">
        <f t="shared" si="144"/>
        <v>1.5999999999999996</v>
      </c>
      <c r="GC24" s="188">
        <f t="shared" si="144"/>
        <v>0</v>
      </c>
      <c r="GD24" s="215">
        <f t="shared" si="144"/>
        <v>1.6499999999999986</v>
      </c>
      <c r="GE24" s="188">
        <f t="shared" si="144"/>
        <v>0</v>
      </c>
      <c r="GF24" s="215">
        <f t="shared" si="144"/>
        <v>1.6499999999999986</v>
      </c>
      <c r="GG24" s="188">
        <f t="shared" si="144"/>
        <v>0</v>
      </c>
      <c r="GH24" s="215">
        <f t="shared" si="144"/>
        <v>1.6499999999999986</v>
      </c>
      <c r="GI24" s="188">
        <f t="shared" si="144"/>
        <v>0</v>
      </c>
      <c r="GJ24" s="215">
        <f t="shared" si="144"/>
        <v>1.7999999999999989</v>
      </c>
      <c r="GK24" s="188">
        <f t="shared" si="144"/>
        <v>1.3636363636363633</v>
      </c>
      <c r="GL24" s="215">
        <f t="shared" si="144"/>
        <v>1.7999999999999989</v>
      </c>
      <c r="GM24" s="188">
        <f t="shared" si="144"/>
        <v>0</v>
      </c>
      <c r="GN24" s="215">
        <f t="shared" si="144"/>
        <v>1.7999999999999989</v>
      </c>
      <c r="GO24" s="188">
        <f t="shared" si="144"/>
        <v>0</v>
      </c>
      <c r="GP24" s="215">
        <f t="shared" si="144"/>
        <v>1.7999999999999989</v>
      </c>
      <c r="GQ24" s="188">
        <f t="shared" si="144"/>
        <v>0</v>
      </c>
      <c r="GR24" s="215">
        <f t="shared" si="144"/>
        <v>1.7999999999999989</v>
      </c>
      <c r="GS24" s="188">
        <f t="shared" si="144"/>
        <v>0</v>
      </c>
      <c r="GT24" s="215">
        <f t="shared" si="144"/>
        <v>1.7999999999999989</v>
      </c>
      <c r="GU24" s="188">
        <f t="shared" si="144"/>
        <v>0</v>
      </c>
      <c r="GV24" s="215">
        <f t="shared" si="144"/>
        <v>1.7999999999999989</v>
      </c>
      <c r="GW24" s="188">
        <f t="shared" si="144"/>
        <v>0</v>
      </c>
      <c r="GX24" s="215">
        <f t="shared" si="144"/>
        <v>1.7999999999999989</v>
      </c>
      <c r="GY24" s="188">
        <f t="shared" si="144"/>
        <v>1.3636363636363633</v>
      </c>
      <c r="GZ24" s="215">
        <f t="shared" si="144"/>
        <v>1.7999999999999989</v>
      </c>
      <c r="HA24" s="188">
        <f t="shared" si="144"/>
        <v>1.3636363636363633</v>
      </c>
      <c r="HB24" s="215">
        <f t="shared" si="144"/>
        <v>1.7999999999999989</v>
      </c>
      <c r="HC24" s="188">
        <f t="shared" si="144"/>
        <v>1.3636363636363633</v>
      </c>
      <c r="HD24" s="215">
        <f t="shared" si="144"/>
        <v>1.7999999999999989</v>
      </c>
      <c r="HE24" s="188">
        <f t="shared" si="144"/>
        <v>1.3636363636363633</v>
      </c>
      <c r="HF24" s="215">
        <f t="shared" si="144"/>
        <v>1.7999999999999989</v>
      </c>
      <c r="HG24" s="188">
        <f t="shared" si="144"/>
        <v>1.3636363636363633</v>
      </c>
      <c r="HH24" s="215">
        <f t="shared" si="144"/>
        <v>1.7999999999999989</v>
      </c>
      <c r="HI24" s="188">
        <f t="shared" si="144"/>
        <v>1.3636363636363633</v>
      </c>
      <c r="HJ24" s="215">
        <f t="shared" si="144"/>
        <v>1.7999999999999989</v>
      </c>
      <c r="HK24" s="188">
        <f t="shared" si="144"/>
        <v>1.3636363636363633</v>
      </c>
      <c r="HL24" s="215">
        <f t="shared" si="144"/>
        <v>1.7999999999999989</v>
      </c>
      <c r="HM24" s="188">
        <f t="shared" si="144"/>
        <v>1.3636363636363633</v>
      </c>
      <c r="HN24" s="215">
        <f t="shared" si="144"/>
        <v>1.7999999999999989</v>
      </c>
      <c r="HO24" s="188">
        <f t="shared" si="144"/>
        <v>1.3636363636363633</v>
      </c>
      <c r="HP24" s="215">
        <f t="shared" si="144"/>
        <v>1.7999999999999989</v>
      </c>
      <c r="HQ24" s="188">
        <f t="shared" si="144"/>
        <v>1.3636363636363633</v>
      </c>
      <c r="HR24" s="215">
        <f t="shared" ref="HR24:IY24" si="145">HR18-HR31+HR30</f>
        <v>1.7999999999999989</v>
      </c>
      <c r="HS24" s="188">
        <f t="shared" si="145"/>
        <v>1.3636363636363633</v>
      </c>
      <c r="HT24" s="215">
        <f t="shared" si="145"/>
        <v>1.7999999999999989</v>
      </c>
      <c r="HU24" s="188">
        <f t="shared" si="145"/>
        <v>1.3636363636363633</v>
      </c>
      <c r="HV24" s="215">
        <f t="shared" si="145"/>
        <v>1.7999999999999989</v>
      </c>
      <c r="HW24" s="188">
        <f t="shared" si="145"/>
        <v>1.3636363636363633</v>
      </c>
      <c r="HX24" s="215">
        <f t="shared" si="145"/>
        <v>1.7999999999999989</v>
      </c>
      <c r="HY24" s="188">
        <f t="shared" si="145"/>
        <v>1.3636363636363633</v>
      </c>
      <c r="HZ24" s="215">
        <f t="shared" si="145"/>
        <v>1.7999999999999989</v>
      </c>
      <c r="IA24" s="188">
        <f t="shared" si="145"/>
        <v>1.3636363636363633</v>
      </c>
      <c r="IB24" s="215">
        <f t="shared" si="145"/>
        <v>1.7999999999999989</v>
      </c>
      <c r="IC24" s="188">
        <f t="shared" si="145"/>
        <v>1.3636363636363633</v>
      </c>
      <c r="ID24" s="215">
        <f t="shared" si="145"/>
        <v>1.7999999999999989</v>
      </c>
      <c r="IE24" s="188">
        <f t="shared" si="145"/>
        <v>1.3636363636363633</v>
      </c>
      <c r="IF24" s="215">
        <f t="shared" si="145"/>
        <v>1.7999999999999989</v>
      </c>
      <c r="IG24" s="188">
        <f t="shared" si="145"/>
        <v>1.3636363636363633</v>
      </c>
      <c r="IH24" s="215">
        <f t="shared" si="145"/>
        <v>1.7999999999999989</v>
      </c>
      <c r="II24" s="188">
        <f t="shared" si="145"/>
        <v>1.3636363636363633</v>
      </c>
      <c r="IJ24" s="215">
        <f t="shared" si="145"/>
        <v>1.7999999999999989</v>
      </c>
      <c r="IK24" s="188">
        <f t="shared" si="145"/>
        <v>1.3636363636363633</v>
      </c>
      <c r="IL24" s="215">
        <f t="shared" si="145"/>
        <v>1.7999999999999989</v>
      </c>
      <c r="IM24" s="188">
        <f t="shared" si="145"/>
        <v>1.3636363636363633</v>
      </c>
      <c r="IN24" s="215">
        <f t="shared" si="145"/>
        <v>1.7999999999999989</v>
      </c>
      <c r="IO24" s="188">
        <f t="shared" si="145"/>
        <v>1.3636363636363633</v>
      </c>
      <c r="IP24" s="215">
        <f t="shared" si="145"/>
        <v>1.7999999999999989</v>
      </c>
      <c r="IQ24" s="188">
        <f t="shared" si="145"/>
        <v>1.3636363636363633</v>
      </c>
      <c r="IR24" s="215">
        <f t="shared" si="145"/>
        <v>1.7999999999999989</v>
      </c>
      <c r="IS24" s="188">
        <f t="shared" si="145"/>
        <v>1.3636363636363633</v>
      </c>
      <c r="IT24" s="215">
        <f t="shared" si="145"/>
        <v>1.7999999999999989</v>
      </c>
      <c r="IU24" s="188">
        <f t="shared" si="145"/>
        <v>1.3636363636363633</v>
      </c>
      <c r="IV24" s="215">
        <f t="shared" si="145"/>
        <v>1.4181818181818162</v>
      </c>
      <c r="IW24" s="188">
        <f t="shared" si="145"/>
        <v>1.0743801652892555</v>
      </c>
      <c r="IX24" s="215">
        <f t="shared" si="145"/>
        <v>1.4181818181818162</v>
      </c>
      <c r="IY24" s="188">
        <f t="shared" si="145"/>
        <v>1.0743801652892555</v>
      </c>
      <c r="IZ24" s="186"/>
      <c r="JA24" s="215">
        <f>JA18-JA31</f>
        <v>0.59999999999999787</v>
      </c>
      <c r="JB24" s="188">
        <f>JB18-JB31</f>
        <v>0.44776119402984982</v>
      </c>
      <c r="JC24" s="215">
        <f>JC18-JC31</f>
        <v>1.3999999999999986</v>
      </c>
      <c r="JD24" s="188">
        <f>JD18-JD31</f>
        <v>1.0447761194029841</v>
      </c>
      <c r="JE24" s="186"/>
      <c r="JF24" s="215">
        <f t="shared" ref="JF24:LA24" si="146">JF18-JF31</f>
        <v>1.3599999999999994</v>
      </c>
      <c r="JG24" s="188">
        <f t="shared" si="146"/>
        <v>1.0303030303030303</v>
      </c>
      <c r="JH24" s="215">
        <f t="shared" si="146"/>
        <v>1.3599999999999994</v>
      </c>
      <c r="JI24" s="188">
        <f t="shared" si="146"/>
        <v>1.0303030303030303</v>
      </c>
      <c r="JJ24" s="215">
        <f t="shared" si="146"/>
        <v>1.5199999999999996</v>
      </c>
      <c r="JK24" s="188">
        <f t="shared" si="146"/>
        <v>1.1515151515151505</v>
      </c>
      <c r="JL24" s="215">
        <f t="shared" si="146"/>
        <v>1.5199999999999996</v>
      </c>
      <c r="JM24" s="188">
        <f t="shared" si="146"/>
        <v>1.1515151515151505</v>
      </c>
      <c r="JN24" s="215">
        <f t="shared" si="146"/>
        <v>1.5199999999999996</v>
      </c>
      <c r="JO24" s="188">
        <f t="shared" si="146"/>
        <v>1.1515151515151505</v>
      </c>
      <c r="JP24" s="215">
        <f t="shared" si="146"/>
        <v>1.5</v>
      </c>
      <c r="JQ24" s="188">
        <f t="shared" si="146"/>
        <v>1.1363636363636349</v>
      </c>
      <c r="JR24" s="215">
        <f t="shared" si="146"/>
        <v>1.5</v>
      </c>
      <c r="JS24" s="188">
        <f t="shared" si="146"/>
        <v>1.1363636363636349</v>
      </c>
      <c r="JT24" s="215">
        <f t="shared" si="146"/>
        <v>1.5</v>
      </c>
      <c r="JU24" s="188">
        <f t="shared" si="146"/>
        <v>1.1363636363636349</v>
      </c>
      <c r="JV24" s="215">
        <f t="shared" si="146"/>
        <v>1.5</v>
      </c>
      <c r="JW24" s="188">
        <f t="shared" si="146"/>
        <v>1.0714285714285712</v>
      </c>
      <c r="JX24" s="215">
        <f t="shared" si="146"/>
        <v>1.5</v>
      </c>
      <c r="JY24" s="188">
        <f t="shared" si="146"/>
        <v>1.1363636363636349</v>
      </c>
      <c r="JZ24" s="215">
        <f t="shared" si="146"/>
        <v>1.5</v>
      </c>
      <c r="KA24" s="188">
        <f t="shared" si="146"/>
        <v>1.1363636363636349</v>
      </c>
      <c r="KB24" s="215">
        <f t="shared" si="146"/>
        <v>1.5</v>
      </c>
      <c r="KC24" s="188">
        <f t="shared" si="146"/>
        <v>1.1363636363636349</v>
      </c>
      <c r="KD24" s="215">
        <f t="shared" si="146"/>
        <v>1.5</v>
      </c>
      <c r="KE24" s="188">
        <f t="shared" si="146"/>
        <v>1.1363636363636349</v>
      </c>
      <c r="KF24" s="215">
        <f t="shared" si="146"/>
        <v>1.5</v>
      </c>
      <c r="KG24" s="188">
        <f t="shared" si="146"/>
        <v>1.1363636363636349</v>
      </c>
      <c r="KH24" s="215">
        <f t="shared" si="146"/>
        <v>1.5</v>
      </c>
      <c r="KI24" s="188">
        <f t="shared" si="146"/>
        <v>1.1363636363636349</v>
      </c>
      <c r="KJ24" s="215">
        <f t="shared" si="146"/>
        <v>1.5</v>
      </c>
      <c r="KK24" s="188">
        <f t="shared" si="146"/>
        <v>1.1363636363636349</v>
      </c>
      <c r="KL24" s="215">
        <f t="shared" si="146"/>
        <v>1.5</v>
      </c>
      <c r="KM24" s="188">
        <f t="shared" si="146"/>
        <v>1.1363636363636349</v>
      </c>
      <c r="KN24" s="215">
        <f t="shared" si="146"/>
        <v>1.5</v>
      </c>
      <c r="KO24" s="188">
        <f t="shared" si="146"/>
        <v>1.1363636363636349</v>
      </c>
      <c r="KP24" s="215">
        <f t="shared" si="146"/>
        <v>1.5</v>
      </c>
      <c r="KQ24" s="188">
        <f t="shared" si="146"/>
        <v>1.1363636363636349</v>
      </c>
      <c r="KR24" s="215">
        <f t="shared" si="146"/>
        <v>1.5</v>
      </c>
      <c r="KS24" s="188">
        <f t="shared" si="146"/>
        <v>1.1363636363636349</v>
      </c>
      <c r="KT24" s="215">
        <f t="shared" si="146"/>
        <v>1.5</v>
      </c>
      <c r="KU24" s="188">
        <f t="shared" si="146"/>
        <v>1.1363636363636349</v>
      </c>
      <c r="KV24" s="215">
        <f t="shared" si="146"/>
        <v>1.5</v>
      </c>
      <c r="KW24" s="188">
        <f t="shared" si="146"/>
        <v>1.1363636363636349</v>
      </c>
      <c r="KX24" s="215">
        <f t="shared" si="146"/>
        <v>1.5</v>
      </c>
      <c r="KY24" s="188">
        <f t="shared" si="146"/>
        <v>1.1363636363636349</v>
      </c>
      <c r="KZ24" s="215">
        <f t="shared" si="146"/>
        <v>1.5</v>
      </c>
      <c r="LA24" s="188">
        <f t="shared" si="146"/>
        <v>1.1363636363636349</v>
      </c>
      <c r="LB24" s="215">
        <f t="shared" ref="LB24:ME24" si="147">LB18-LB31+LB30</f>
        <v>1.5192307692307701</v>
      </c>
      <c r="LC24" s="188">
        <f t="shared" si="147"/>
        <v>1.1509324009324007</v>
      </c>
      <c r="LD24" s="215">
        <f t="shared" si="147"/>
        <v>1.9192307692307704</v>
      </c>
      <c r="LE24" s="188">
        <f t="shared" si="147"/>
        <v>1.4539627039627034</v>
      </c>
      <c r="LF24" s="215">
        <f t="shared" si="147"/>
        <v>1.9192307692307704</v>
      </c>
      <c r="LG24" s="188">
        <f t="shared" si="147"/>
        <v>1.4539627039627034</v>
      </c>
      <c r="LH24" s="215">
        <f t="shared" si="147"/>
        <v>1.9192307692307704</v>
      </c>
      <c r="LI24" s="188">
        <f t="shared" si="147"/>
        <v>1.4539627039627034</v>
      </c>
      <c r="LJ24" s="215">
        <f t="shared" si="147"/>
        <v>1.9192307692307704</v>
      </c>
      <c r="LK24" s="188">
        <f t="shared" si="147"/>
        <v>1.4539627039627034</v>
      </c>
      <c r="LL24" s="215">
        <f t="shared" si="147"/>
        <v>1.9192307692307704</v>
      </c>
      <c r="LM24" s="188">
        <f t="shared" si="147"/>
        <v>1.4539627039627034</v>
      </c>
      <c r="LN24" s="215">
        <f t="shared" si="147"/>
        <v>1.9192307692307704</v>
      </c>
      <c r="LO24" s="188">
        <f t="shared" si="147"/>
        <v>1.4539627039627034</v>
      </c>
      <c r="LP24" s="215">
        <f t="shared" si="147"/>
        <v>1.9192307692307704</v>
      </c>
      <c r="LQ24" s="188">
        <f t="shared" si="147"/>
        <v>1.4539627039627034</v>
      </c>
      <c r="LR24" s="215">
        <f t="shared" si="147"/>
        <v>1.9192307692307704</v>
      </c>
      <c r="LS24" s="188">
        <f t="shared" si="147"/>
        <v>1.4539627039627034</v>
      </c>
      <c r="LT24" s="215">
        <f t="shared" si="147"/>
        <v>1.5192307692307701</v>
      </c>
      <c r="LU24" s="188">
        <f t="shared" si="147"/>
        <v>1.1509324009324007</v>
      </c>
      <c r="LV24" s="215">
        <f t="shared" si="147"/>
        <v>1.5192307692307701</v>
      </c>
      <c r="LW24" s="188">
        <f t="shared" si="147"/>
        <v>1.1509324009324007</v>
      </c>
      <c r="LX24" s="215">
        <f t="shared" si="147"/>
        <v>1.5192307692307701</v>
      </c>
      <c r="LY24" s="188">
        <f t="shared" si="147"/>
        <v>1.1509324009324007</v>
      </c>
      <c r="LZ24" s="215">
        <f t="shared" si="147"/>
        <v>1.5192307692307701</v>
      </c>
      <c r="MA24" s="188">
        <f t="shared" si="147"/>
        <v>1.1509324009324007</v>
      </c>
      <c r="MB24" s="215">
        <f t="shared" si="147"/>
        <v>1.5192307692307701</v>
      </c>
      <c r="MC24" s="188">
        <f t="shared" si="147"/>
        <v>1.1509324009324007</v>
      </c>
      <c r="MD24" s="215">
        <f t="shared" si="147"/>
        <v>1.5192307692307701</v>
      </c>
      <c r="ME24" s="188">
        <f t="shared" si="147"/>
        <v>1.1509324009324007</v>
      </c>
      <c r="MF24" s="215">
        <f>(MF18-MF31)+MF30</f>
        <v>1.0057692307692303</v>
      </c>
      <c r="MG24" s="188">
        <f t="shared" ref="MG24" si="148">MG18-MG31+MG30</f>
        <v>0.76194638694638561</v>
      </c>
      <c r="MH24" s="186"/>
      <c r="MI24" s="215">
        <f t="shared" ref="MI24:OT24" si="149">MI18-MI31</f>
        <v>1.5999999999999996</v>
      </c>
      <c r="MJ24" s="188">
        <f t="shared" si="149"/>
        <v>0.21818181818181781</v>
      </c>
      <c r="MK24" s="215">
        <f t="shared" si="149"/>
        <v>1.1999999999999993</v>
      </c>
      <c r="ML24" s="188">
        <f t="shared" si="149"/>
        <v>0.21818181818181781</v>
      </c>
      <c r="MM24" s="215">
        <f t="shared" si="149"/>
        <v>1.1999999999999993</v>
      </c>
      <c r="MN24" s="188">
        <f t="shared" si="149"/>
        <v>0.21818181818181781</v>
      </c>
      <c r="MO24" s="215">
        <f t="shared" si="149"/>
        <v>1.1999999999999993</v>
      </c>
      <c r="MP24" s="188">
        <f t="shared" si="149"/>
        <v>0.21818181818181781</v>
      </c>
      <c r="MQ24" s="215">
        <f t="shared" si="149"/>
        <v>1.1999999999999993</v>
      </c>
      <c r="MR24" s="188">
        <f t="shared" si="149"/>
        <v>0.21818181818181781</v>
      </c>
      <c r="MS24" s="215">
        <f t="shared" si="149"/>
        <v>1.1999999999999993</v>
      </c>
      <c r="MT24" s="188">
        <f t="shared" si="149"/>
        <v>0.22727272727272751</v>
      </c>
      <c r="MU24" s="215">
        <f t="shared" si="149"/>
        <v>1.4000000000000004</v>
      </c>
      <c r="MV24" s="188">
        <f t="shared" si="149"/>
        <v>0.23636363636363633</v>
      </c>
      <c r="MW24" s="215">
        <f t="shared" si="149"/>
        <v>1.5</v>
      </c>
      <c r="MX24" s="188">
        <f t="shared" si="149"/>
        <v>0.27272727272727337</v>
      </c>
      <c r="MY24" s="215">
        <f t="shared" si="149"/>
        <v>1.5</v>
      </c>
      <c r="MZ24" s="188">
        <f t="shared" si="149"/>
        <v>0.25714285714285801</v>
      </c>
      <c r="NA24" s="215">
        <f t="shared" si="149"/>
        <v>1.5</v>
      </c>
      <c r="NB24" s="188">
        <f t="shared" si="149"/>
        <v>0.27272727272727337</v>
      </c>
      <c r="NC24" s="215">
        <f t="shared" si="149"/>
        <v>1.5</v>
      </c>
      <c r="ND24" s="188">
        <f t="shared" si="149"/>
        <v>0.27272727272727337</v>
      </c>
      <c r="NE24" s="215">
        <f t="shared" si="149"/>
        <v>1.5</v>
      </c>
      <c r="NF24" s="188">
        <f t="shared" si="149"/>
        <v>0.27272727272727337</v>
      </c>
      <c r="NG24" s="215">
        <f t="shared" si="149"/>
        <v>1.5</v>
      </c>
      <c r="NH24" s="188">
        <f t="shared" si="149"/>
        <v>0.27272727272727337</v>
      </c>
      <c r="NI24" s="215">
        <f t="shared" si="149"/>
        <v>1.5</v>
      </c>
      <c r="NJ24" s="188">
        <f t="shared" si="149"/>
        <v>0.27272727272727337</v>
      </c>
      <c r="NK24" s="215">
        <f t="shared" si="149"/>
        <v>1.5</v>
      </c>
      <c r="NL24" s="188">
        <f t="shared" si="149"/>
        <v>0.27272727272727337</v>
      </c>
      <c r="NM24" s="215">
        <f t="shared" si="149"/>
        <v>1.5</v>
      </c>
      <c r="NN24" s="188">
        <f t="shared" si="149"/>
        <v>1.1363636363636358</v>
      </c>
      <c r="NO24" s="215">
        <f t="shared" si="149"/>
        <v>1.5</v>
      </c>
      <c r="NP24" s="188">
        <f t="shared" si="149"/>
        <v>1.1363636363636358</v>
      </c>
      <c r="NQ24" s="215">
        <f t="shared" si="149"/>
        <v>1.5</v>
      </c>
      <c r="NR24" s="188">
        <f t="shared" si="149"/>
        <v>1.1363636363636358</v>
      </c>
      <c r="NS24" s="215">
        <f t="shared" si="149"/>
        <v>1.5</v>
      </c>
      <c r="NT24" s="188">
        <f t="shared" si="149"/>
        <v>1.1363636363636358</v>
      </c>
      <c r="NU24" s="215">
        <f t="shared" si="149"/>
        <v>1.5</v>
      </c>
      <c r="NV24" s="188">
        <f t="shared" si="149"/>
        <v>1.1363636363636358</v>
      </c>
      <c r="NW24" s="215">
        <f t="shared" si="149"/>
        <v>1.5</v>
      </c>
      <c r="NX24" s="188">
        <f t="shared" si="149"/>
        <v>1.1363636363636358</v>
      </c>
      <c r="NY24" s="215">
        <f t="shared" si="149"/>
        <v>1.5</v>
      </c>
      <c r="NZ24" s="188">
        <f t="shared" si="149"/>
        <v>1.1363636363636358</v>
      </c>
      <c r="OA24" s="215">
        <f t="shared" si="149"/>
        <v>1.5</v>
      </c>
      <c r="OB24" s="188">
        <f t="shared" si="149"/>
        <v>1.1363636363636358</v>
      </c>
      <c r="OC24" s="215">
        <f t="shared" si="149"/>
        <v>1.5</v>
      </c>
      <c r="OD24" s="188">
        <f t="shared" si="149"/>
        <v>1.1363636363636358</v>
      </c>
      <c r="OE24" s="215">
        <f t="shared" si="149"/>
        <v>1.5</v>
      </c>
      <c r="OF24" s="188">
        <f t="shared" si="149"/>
        <v>1.1363636363636358</v>
      </c>
      <c r="OG24" s="215">
        <f t="shared" si="149"/>
        <v>1.5</v>
      </c>
      <c r="OH24" s="188">
        <f t="shared" si="149"/>
        <v>1.1363636363636358</v>
      </c>
      <c r="OI24" s="215">
        <f t="shared" si="149"/>
        <v>1.5</v>
      </c>
      <c r="OJ24" s="188">
        <f t="shared" si="149"/>
        <v>1.1363636363636358</v>
      </c>
      <c r="OK24" s="215">
        <f t="shared" si="149"/>
        <v>1.5</v>
      </c>
      <c r="OL24" s="188">
        <f t="shared" si="149"/>
        <v>1.1363636363636358</v>
      </c>
      <c r="OM24" s="215">
        <f t="shared" si="149"/>
        <v>1.5</v>
      </c>
      <c r="ON24" s="188">
        <f t="shared" si="149"/>
        <v>1.1363636363636358</v>
      </c>
      <c r="OO24" s="215">
        <f t="shared" si="149"/>
        <v>1.5</v>
      </c>
      <c r="OP24" s="188">
        <f t="shared" si="149"/>
        <v>1.1363636363636358</v>
      </c>
      <c r="OQ24" s="215">
        <f t="shared" si="149"/>
        <v>1.5</v>
      </c>
      <c r="OR24" s="188">
        <f t="shared" si="149"/>
        <v>1.1363636363636358</v>
      </c>
      <c r="OS24" s="215">
        <f t="shared" si="149"/>
        <v>1.5</v>
      </c>
      <c r="OT24" s="188">
        <f t="shared" si="149"/>
        <v>1.1363636363636358</v>
      </c>
      <c r="OU24" s="215">
        <f t="shared" ref="OU24:PL24" si="150">OU18-OU31</f>
        <v>1.5</v>
      </c>
      <c r="OV24" s="188">
        <f t="shared" si="150"/>
        <v>1.1363636363636358</v>
      </c>
      <c r="OW24" s="215">
        <f t="shared" si="150"/>
        <v>1.5</v>
      </c>
      <c r="OX24" s="188">
        <f t="shared" si="150"/>
        <v>1.1363636363636358</v>
      </c>
      <c r="OY24" s="215">
        <f t="shared" si="150"/>
        <v>1.5</v>
      </c>
      <c r="OZ24" s="188">
        <f t="shared" si="150"/>
        <v>1.1363636363636358</v>
      </c>
      <c r="PA24" s="215">
        <f t="shared" si="150"/>
        <v>1.5</v>
      </c>
      <c r="PB24" s="188">
        <f t="shared" si="150"/>
        <v>1.1363636363636358</v>
      </c>
      <c r="PC24" s="215">
        <f t="shared" si="150"/>
        <v>1.5</v>
      </c>
      <c r="PD24" s="188">
        <f t="shared" si="150"/>
        <v>1.1363636363636358</v>
      </c>
      <c r="PE24" s="215">
        <f t="shared" si="150"/>
        <v>1.5</v>
      </c>
      <c r="PF24" s="188">
        <f t="shared" si="150"/>
        <v>1.1363636363636358</v>
      </c>
      <c r="PG24" s="215">
        <f t="shared" si="150"/>
        <v>1.5</v>
      </c>
      <c r="PH24" s="188">
        <f t="shared" si="150"/>
        <v>1.1363636363636358</v>
      </c>
      <c r="PI24" s="215">
        <f t="shared" si="150"/>
        <v>1</v>
      </c>
      <c r="PJ24" s="188">
        <f t="shared" si="150"/>
        <v>0.75757575757575868</v>
      </c>
      <c r="PK24" s="215">
        <f t="shared" si="150"/>
        <v>0.59999999999999964</v>
      </c>
      <c r="PL24" s="188">
        <f t="shared" si="150"/>
        <v>0.45454545454545414</v>
      </c>
      <c r="PM24" s="215">
        <f t="shared" ref="PM24:PP24" si="151">PM18-PM31+PM30</f>
        <v>1.0687499999999996</v>
      </c>
      <c r="PN24" s="188">
        <f t="shared" si="151"/>
        <v>0.80965909090909016</v>
      </c>
      <c r="PO24" s="215">
        <f t="shared" si="151"/>
        <v>1.0293749999999999</v>
      </c>
      <c r="PP24" s="188">
        <f t="shared" si="151"/>
        <v>0.77982954545454586</v>
      </c>
      <c r="PR24" s="215">
        <f t="shared" ref="PR24:QC24" si="152">PR18-PR31</f>
        <v>2</v>
      </c>
      <c r="PS24" s="188">
        <f t="shared" si="152"/>
        <v>1.5151515151515156</v>
      </c>
      <c r="PT24" s="215">
        <f t="shared" si="152"/>
        <v>2</v>
      </c>
      <c r="PU24" s="188">
        <f t="shared" si="152"/>
        <v>1.5151515151515156</v>
      </c>
      <c r="PV24" s="215">
        <f t="shared" si="152"/>
        <v>1.1999999999999993</v>
      </c>
      <c r="PW24" s="188">
        <f t="shared" si="152"/>
        <v>0.90909090909090828</v>
      </c>
      <c r="PX24" s="215">
        <f t="shared" si="152"/>
        <v>1.1999999999999993</v>
      </c>
      <c r="PY24" s="188">
        <f t="shared" si="152"/>
        <v>0.90909090909090828</v>
      </c>
      <c r="PZ24" s="215">
        <f t="shared" si="152"/>
        <v>1.1999999999999993</v>
      </c>
      <c r="QA24" s="188">
        <f t="shared" si="152"/>
        <v>0.90909090909090917</v>
      </c>
      <c r="QB24" s="215">
        <f t="shared" si="152"/>
        <v>1.1999999999999993</v>
      </c>
      <c r="QC24" s="188">
        <f t="shared" si="152"/>
        <v>0.90909090909090917</v>
      </c>
      <c r="QF24" s="215">
        <f t="shared" ref="QF24:QQ24" si="153">QF18-QF31</f>
        <v>2</v>
      </c>
      <c r="QG24" s="188">
        <f t="shared" si="153"/>
        <v>1.5151515151515156</v>
      </c>
      <c r="QH24" s="215">
        <f t="shared" si="153"/>
        <v>2</v>
      </c>
      <c r="QI24" s="188">
        <f t="shared" si="153"/>
        <v>1.5151515151515156</v>
      </c>
      <c r="QJ24" s="215">
        <f t="shared" si="153"/>
        <v>1.1999999999999993</v>
      </c>
      <c r="QK24" s="188">
        <f t="shared" si="153"/>
        <v>0.90909090909090828</v>
      </c>
      <c r="QL24" s="215">
        <f t="shared" si="153"/>
        <v>1.1999999999999993</v>
      </c>
      <c r="QM24" s="188">
        <f t="shared" si="153"/>
        <v>0.90909090909090828</v>
      </c>
      <c r="QN24" s="215">
        <f t="shared" si="153"/>
        <v>1.1999999999999993</v>
      </c>
      <c r="QO24" s="188">
        <f t="shared" si="153"/>
        <v>0.90909090909090828</v>
      </c>
      <c r="QP24" s="215">
        <f t="shared" si="153"/>
        <v>1.1999999999999993</v>
      </c>
      <c r="QQ24" s="188">
        <f t="shared" si="153"/>
        <v>0.90909090909090828</v>
      </c>
    </row>
    <row r="25" spans="1:459" x14ac:dyDescent="0.45">
      <c r="A25" s="876"/>
      <c r="B25" s="250" t="s">
        <v>333</v>
      </c>
      <c r="C25" s="245"/>
      <c r="D25" s="246"/>
      <c r="E25" s="231"/>
      <c r="F25" s="247">
        <v>0</v>
      </c>
      <c r="G25" s="248">
        <f>+F25</f>
        <v>0</v>
      </c>
      <c r="H25" s="247">
        <v>0</v>
      </c>
      <c r="I25" s="248">
        <f>+H25</f>
        <v>0</v>
      </c>
      <c r="J25" s="247">
        <v>0</v>
      </c>
      <c r="K25" s="248">
        <f>+J25</f>
        <v>0</v>
      </c>
      <c r="L25" s="247">
        <v>0</v>
      </c>
      <c r="M25" s="248">
        <f>+L25</f>
        <v>0</v>
      </c>
      <c r="N25" s="247">
        <v>0</v>
      </c>
      <c r="O25" s="248">
        <f>+N25</f>
        <v>0</v>
      </c>
      <c r="P25" s="247">
        <v>0</v>
      </c>
      <c r="Q25" s="248">
        <f>+P25</f>
        <v>0</v>
      </c>
      <c r="R25" s="247">
        <v>0</v>
      </c>
      <c r="S25" s="248">
        <f>+R25</f>
        <v>0</v>
      </c>
      <c r="T25" s="247">
        <v>0</v>
      </c>
      <c r="U25" s="248">
        <f>+T25</f>
        <v>0</v>
      </c>
      <c r="V25" s="247">
        <v>0</v>
      </c>
      <c r="W25" s="248">
        <f>+V25</f>
        <v>0</v>
      </c>
      <c r="X25" s="247">
        <v>0</v>
      </c>
      <c r="Y25" s="248">
        <f>+X25</f>
        <v>0</v>
      </c>
      <c r="Z25" s="247">
        <v>0</v>
      </c>
      <c r="AA25" s="248">
        <f>+Z25</f>
        <v>0</v>
      </c>
      <c r="AB25" s="247">
        <v>0</v>
      </c>
      <c r="AC25" s="248">
        <f>+AB25</f>
        <v>0</v>
      </c>
      <c r="AD25" s="247">
        <v>0</v>
      </c>
      <c r="AE25" s="248">
        <f>+AD25</f>
        <v>0</v>
      </c>
      <c r="AF25" s="247">
        <v>0</v>
      </c>
      <c r="AG25" s="248">
        <f>+AF25</f>
        <v>0</v>
      </c>
      <c r="AH25" s="247">
        <v>0</v>
      </c>
      <c r="AI25" s="248">
        <f>+AH25</f>
        <v>0</v>
      </c>
      <c r="AJ25" s="247">
        <v>0</v>
      </c>
      <c r="AK25" s="248">
        <f>+AJ25</f>
        <v>0</v>
      </c>
      <c r="AL25" s="247">
        <v>0</v>
      </c>
      <c r="AM25" s="248">
        <f>+AL25</f>
        <v>0</v>
      </c>
      <c r="AN25" s="247">
        <v>0</v>
      </c>
      <c r="AO25" s="248">
        <f>+AN25</f>
        <v>0</v>
      </c>
      <c r="AP25" s="247">
        <v>0</v>
      </c>
      <c r="AQ25" s="248">
        <f>+AP25</f>
        <v>0</v>
      </c>
      <c r="AR25" s="247">
        <v>0</v>
      </c>
      <c r="AS25" s="248">
        <f>+AR25</f>
        <v>0</v>
      </c>
      <c r="AT25" s="247">
        <v>0</v>
      </c>
      <c r="AU25" s="248">
        <f>+AT25</f>
        <v>0</v>
      </c>
      <c r="AV25" s="247">
        <v>0</v>
      </c>
      <c r="AW25" s="248">
        <f>+AV25</f>
        <v>0</v>
      </c>
      <c r="AX25" s="247">
        <v>0</v>
      </c>
      <c r="AY25" s="248">
        <f>+AX25</f>
        <v>0</v>
      </c>
      <c r="AZ25" s="247">
        <v>0</v>
      </c>
      <c r="BA25" s="248">
        <f>+AZ25</f>
        <v>0</v>
      </c>
      <c r="BB25" s="247">
        <v>0</v>
      </c>
      <c r="BC25" s="248">
        <f>+BB25</f>
        <v>0</v>
      </c>
      <c r="BD25" s="247">
        <v>0</v>
      </c>
      <c r="BE25" s="248">
        <f>+BD25</f>
        <v>0</v>
      </c>
      <c r="BF25" s="247">
        <v>0</v>
      </c>
      <c r="BG25" s="248">
        <f>+BF25</f>
        <v>0</v>
      </c>
      <c r="BH25" s="247">
        <v>0</v>
      </c>
      <c r="BI25" s="248">
        <f>+BH25</f>
        <v>0</v>
      </c>
      <c r="BJ25" s="247">
        <v>0</v>
      </c>
      <c r="BK25" s="248">
        <f>+BJ25</f>
        <v>0</v>
      </c>
      <c r="BL25" s="247">
        <v>0</v>
      </c>
      <c r="BM25" s="248">
        <f>+BL25</f>
        <v>0</v>
      </c>
      <c r="BN25" s="247">
        <v>0</v>
      </c>
      <c r="BO25" s="248">
        <f>+BN25</f>
        <v>0</v>
      </c>
      <c r="BP25" s="247">
        <v>0</v>
      </c>
      <c r="BQ25" s="248">
        <f>+BP25</f>
        <v>0</v>
      </c>
      <c r="BR25" s="247">
        <v>0</v>
      </c>
      <c r="BS25" s="248">
        <f>+BR25</f>
        <v>0</v>
      </c>
      <c r="BT25" s="247">
        <v>0</v>
      </c>
      <c r="BU25" s="248">
        <f>+BT25</f>
        <v>0</v>
      </c>
      <c r="BV25" s="247">
        <v>0</v>
      </c>
      <c r="BW25" s="248">
        <f>+BV25</f>
        <v>0</v>
      </c>
      <c r="BX25" s="247">
        <v>0</v>
      </c>
      <c r="BY25" s="248">
        <f>+BX25</f>
        <v>0</v>
      </c>
      <c r="BZ25" s="247">
        <v>0</v>
      </c>
      <c r="CA25" s="248">
        <f>+BZ25</f>
        <v>0</v>
      </c>
      <c r="CB25" s="247">
        <v>0</v>
      </c>
      <c r="CC25" s="248">
        <f>+CB25</f>
        <v>0</v>
      </c>
      <c r="CD25" s="247">
        <v>0</v>
      </c>
      <c r="CE25" s="248">
        <f>+CD25</f>
        <v>0</v>
      </c>
      <c r="CF25" s="247">
        <v>0</v>
      </c>
      <c r="CG25" s="248">
        <f>+CF25</f>
        <v>0</v>
      </c>
      <c r="CH25" s="247">
        <v>0</v>
      </c>
      <c r="CI25" s="248">
        <f>+CH25</f>
        <v>0</v>
      </c>
      <c r="CJ25" s="247">
        <v>0</v>
      </c>
      <c r="CK25" s="248">
        <f>+CJ25</f>
        <v>0</v>
      </c>
      <c r="CL25" s="247">
        <v>0</v>
      </c>
      <c r="CM25" s="248">
        <f>+CL25</f>
        <v>0</v>
      </c>
      <c r="CN25" s="247">
        <v>0</v>
      </c>
      <c r="CO25" s="248">
        <f>+CN25</f>
        <v>0</v>
      </c>
      <c r="CP25" s="247">
        <v>0</v>
      </c>
      <c r="CQ25" s="248">
        <f>+CP25</f>
        <v>0</v>
      </c>
      <c r="CR25" s="247">
        <v>0</v>
      </c>
      <c r="CS25" s="248">
        <f>+CR25</f>
        <v>0</v>
      </c>
      <c r="CT25" s="249"/>
      <c r="CU25" s="247">
        <v>0</v>
      </c>
      <c r="CV25" s="248">
        <f>+CU25</f>
        <v>0</v>
      </c>
      <c r="CW25" s="247">
        <v>0</v>
      </c>
      <c r="CX25" s="248">
        <f>+CW25</f>
        <v>0</v>
      </c>
      <c r="CY25" s="247">
        <v>0</v>
      </c>
      <c r="CZ25" s="248">
        <f>+CY25</f>
        <v>0</v>
      </c>
      <c r="DA25" s="247">
        <v>0</v>
      </c>
      <c r="DB25" s="248">
        <f>+DA25</f>
        <v>0</v>
      </c>
      <c r="DC25" s="247">
        <v>0</v>
      </c>
      <c r="DD25" s="248">
        <f>+DC25</f>
        <v>0</v>
      </c>
      <c r="DE25" s="247">
        <v>0</v>
      </c>
      <c r="DF25" s="248">
        <f>+DE25</f>
        <v>0</v>
      </c>
      <c r="DG25" s="247">
        <v>0</v>
      </c>
      <c r="DH25" s="248">
        <f>+DG25</f>
        <v>0</v>
      </c>
      <c r="DI25" s="247">
        <v>0</v>
      </c>
      <c r="DJ25" s="248">
        <f>+DI25</f>
        <v>0</v>
      </c>
      <c r="DK25" s="247">
        <v>0</v>
      </c>
      <c r="DL25" s="248">
        <f>+DK25</f>
        <v>0</v>
      </c>
      <c r="DM25" s="247">
        <v>0</v>
      </c>
      <c r="DN25" s="248">
        <f>+DM25</f>
        <v>0</v>
      </c>
      <c r="DO25" s="247">
        <v>0</v>
      </c>
      <c r="DP25" s="248">
        <f>+DO25</f>
        <v>0</v>
      </c>
      <c r="DQ25" s="247">
        <v>0</v>
      </c>
      <c r="DR25" s="248">
        <f>+DQ25</f>
        <v>0</v>
      </c>
      <c r="DS25" s="247">
        <v>0</v>
      </c>
      <c r="DT25" s="248">
        <f>+DS25</f>
        <v>0</v>
      </c>
      <c r="DU25" s="247">
        <v>0</v>
      </c>
      <c r="DV25" s="248">
        <f>+DU25</f>
        <v>0</v>
      </c>
      <c r="DW25" s="247">
        <v>0</v>
      </c>
      <c r="DX25" s="248">
        <f>+DW25</f>
        <v>0</v>
      </c>
      <c r="DY25" s="247">
        <v>0</v>
      </c>
      <c r="DZ25" s="248">
        <f>+DY25</f>
        <v>0</v>
      </c>
      <c r="EA25" s="247">
        <v>0</v>
      </c>
      <c r="EB25" s="248">
        <f>+EA25</f>
        <v>0</v>
      </c>
      <c r="EC25" s="247">
        <v>0</v>
      </c>
      <c r="ED25" s="248">
        <f>+EC25</f>
        <v>0</v>
      </c>
      <c r="EE25" s="247">
        <v>0</v>
      </c>
      <c r="EF25" s="248">
        <f>+EE25</f>
        <v>0</v>
      </c>
      <c r="EG25" s="247">
        <v>0</v>
      </c>
      <c r="EH25" s="248">
        <f>+EG25</f>
        <v>0</v>
      </c>
      <c r="EI25" s="247">
        <v>0</v>
      </c>
      <c r="EJ25" s="248">
        <f>+EI25</f>
        <v>0</v>
      </c>
      <c r="EK25" s="247">
        <v>0</v>
      </c>
      <c r="EL25" s="248">
        <f>+EK25</f>
        <v>0</v>
      </c>
      <c r="EM25" s="247">
        <v>0</v>
      </c>
      <c r="EN25" s="248">
        <f>+EM25</f>
        <v>0</v>
      </c>
      <c r="EO25" s="247">
        <v>0</v>
      </c>
      <c r="EP25" s="248">
        <f>+EO25</f>
        <v>0</v>
      </c>
      <c r="EQ25" s="247">
        <v>0</v>
      </c>
      <c r="ER25" s="248">
        <f>+EQ25</f>
        <v>0</v>
      </c>
      <c r="ES25" s="247">
        <v>0</v>
      </c>
      <c r="ET25" s="248">
        <f>+ES25</f>
        <v>0</v>
      </c>
      <c r="EU25" s="247">
        <v>0</v>
      </c>
      <c r="EV25" s="248">
        <f>+EU25</f>
        <v>0</v>
      </c>
      <c r="EW25" s="247">
        <v>0</v>
      </c>
      <c r="EX25" s="248">
        <f>+EW25</f>
        <v>0</v>
      </c>
      <c r="EY25" s="247">
        <v>0</v>
      </c>
      <c r="EZ25" s="248">
        <f>+EY25</f>
        <v>0</v>
      </c>
      <c r="FA25" s="247">
        <v>0</v>
      </c>
      <c r="FB25" s="248">
        <f>+FA25</f>
        <v>0</v>
      </c>
      <c r="FC25" s="247">
        <v>0</v>
      </c>
      <c r="FD25" s="248">
        <f>+FC25</f>
        <v>0</v>
      </c>
      <c r="FE25" s="247">
        <v>0</v>
      </c>
      <c r="FF25" s="248">
        <f>+FE25</f>
        <v>0</v>
      </c>
      <c r="FG25" s="247">
        <v>0</v>
      </c>
      <c r="FH25" s="248">
        <f>+FG25</f>
        <v>0</v>
      </c>
      <c r="FI25" s="247">
        <v>0</v>
      </c>
      <c r="FJ25" s="248">
        <f>+FI25</f>
        <v>0</v>
      </c>
      <c r="FK25" s="247">
        <v>0</v>
      </c>
      <c r="FL25" s="248">
        <f>+FK25</f>
        <v>0</v>
      </c>
      <c r="FM25" s="247">
        <v>0</v>
      </c>
      <c r="FN25" s="248">
        <f>+FM25</f>
        <v>0</v>
      </c>
      <c r="FO25" s="247">
        <v>0</v>
      </c>
      <c r="FP25" s="248">
        <f>+FO25</f>
        <v>0</v>
      </c>
      <c r="FQ25" s="231"/>
      <c r="FR25" s="247">
        <v>0</v>
      </c>
      <c r="FS25" s="248">
        <f t="shared" ref="FS25:HK25" si="154">+FR25</f>
        <v>0</v>
      </c>
      <c r="FT25" s="247">
        <v>0</v>
      </c>
      <c r="FU25" s="248">
        <f t="shared" si="154"/>
        <v>0</v>
      </c>
      <c r="FV25" s="247">
        <v>0</v>
      </c>
      <c r="FW25" s="248">
        <f t="shared" si="154"/>
        <v>0</v>
      </c>
      <c r="FX25" s="247">
        <v>0</v>
      </c>
      <c r="FY25" s="248">
        <f t="shared" si="154"/>
        <v>0</v>
      </c>
      <c r="FZ25" s="247">
        <v>0</v>
      </c>
      <c r="GA25" s="248">
        <f t="shared" si="154"/>
        <v>0</v>
      </c>
      <c r="GB25" s="247">
        <v>0</v>
      </c>
      <c r="GC25" s="248">
        <f t="shared" si="154"/>
        <v>0</v>
      </c>
      <c r="GD25" s="247">
        <v>0</v>
      </c>
      <c r="GE25" s="248">
        <f t="shared" si="154"/>
        <v>0</v>
      </c>
      <c r="GF25" s="247">
        <v>0</v>
      </c>
      <c r="GG25" s="248">
        <f t="shared" si="154"/>
        <v>0</v>
      </c>
      <c r="GH25" s="247">
        <v>0</v>
      </c>
      <c r="GI25" s="248">
        <f t="shared" si="154"/>
        <v>0</v>
      </c>
      <c r="GJ25" s="247">
        <v>0</v>
      </c>
      <c r="GK25" s="248">
        <f t="shared" si="154"/>
        <v>0</v>
      </c>
      <c r="GL25" s="247">
        <v>0</v>
      </c>
      <c r="GM25" s="248">
        <f t="shared" si="154"/>
        <v>0</v>
      </c>
      <c r="GN25" s="247">
        <v>0</v>
      </c>
      <c r="GO25" s="248">
        <f t="shared" si="154"/>
        <v>0</v>
      </c>
      <c r="GP25" s="247">
        <v>0</v>
      </c>
      <c r="GQ25" s="248">
        <f t="shared" si="154"/>
        <v>0</v>
      </c>
      <c r="GR25" s="247">
        <v>0</v>
      </c>
      <c r="GS25" s="248">
        <f t="shared" si="154"/>
        <v>0</v>
      </c>
      <c r="GT25" s="247">
        <v>0</v>
      </c>
      <c r="GU25" s="248">
        <f t="shared" si="154"/>
        <v>0</v>
      </c>
      <c r="GV25" s="247">
        <v>0</v>
      </c>
      <c r="GW25" s="248">
        <f t="shared" si="154"/>
        <v>0</v>
      </c>
      <c r="GX25" s="247">
        <v>0</v>
      </c>
      <c r="GY25" s="248">
        <f t="shared" si="154"/>
        <v>0</v>
      </c>
      <c r="GZ25" s="247">
        <v>0</v>
      </c>
      <c r="HA25" s="248">
        <f t="shared" si="154"/>
        <v>0</v>
      </c>
      <c r="HB25" s="247">
        <v>0</v>
      </c>
      <c r="HC25" s="248">
        <f t="shared" si="154"/>
        <v>0</v>
      </c>
      <c r="HD25" s="247">
        <v>0</v>
      </c>
      <c r="HE25" s="248">
        <f t="shared" si="154"/>
        <v>0</v>
      </c>
      <c r="HF25" s="247">
        <v>0</v>
      </c>
      <c r="HG25" s="248">
        <f t="shared" si="154"/>
        <v>0</v>
      </c>
      <c r="HH25" s="247">
        <v>0</v>
      </c>
      <c r="HI25" s="248">
        <f t="shared" si="154"/>
        <v>0</v>
      </c>
      <c r="HJ25" s="247">
        <v>0</v>
      </c>
      <c r="HK25" s="248">
        <f t="shared" si="154"/>
        <v>0</v>
      </c>
      <c r="HL25" s="247">
        <v>0</v>
      </c>
      <c r="HM25" s="248">
        <f>+HL25</f>
        <v>0</v>
      </c>
      <c r="HN25" s="247">
        <v>0</v>
      </c>
      <c r="HO25" s="248">
        <f>+HN25</f>
        <v>0</v>
      </c>
      <c r="HP25" s="247">
        <v>0</v>
      </c>
      <c r="HQ25" s="248">
        <f>+HP25</f>
        <v>0</v>
      </c>
      <c r="HR25" s="247">
        <v>0</v>
      </c>
      <c r="HS25" s="248">
        <f>+HR25</f>
        <v>0</v>
      </c>
      <c r="HT25" s="247">
        <v>0</v>
      </c>
      <c r="HU25" s="248">
        <f>+HT25</f>
        <v>0</v>
      </c>
      <c r="HV25" s="247">
        <v>0</v>
      </c>
      <c r="HW25" s="248">
        <f>+HV25</f>
        <v>0</v>
      </c>
      <c r="HX25" s="247">
        <v>0</v>
      </c>
      <c r="HY25" s="248">
        <f>+HX25</f>
        <v>0</v>
      </c>
      <c r="HZ25" s="247">
        <v>0</v>
      </c>
      <c r="IA25" s="248">
        <f>+HZ25</f>
        <v>0</v>
      </c>
      <c r="IB25" s="247">
        <v>0</v>
      </c>
      <c r="IC25" s="248">
        <f>+IB25</f>
        <v>0</v>
      </c>
      <c r="ID25" s="247">
        <v>0</v>
      </c>
      <c r="IE25" s="248">
        <f>+ID25</f>
        <v>0</v>
      </c>
      <c r="IF25" s="247">
        <v>0</v>
      </c>
      <c r="IG25" s="248">
        <f>+IF25</f>
        <v>0</v>
      </c>
      <c r="IH25" s="247">
        <v>0</v>
      </c>
      <c r="II25" s="248">
        <f>+IH25</f>
        <v>0</v>
      </c>
      <c r="IJ25" s="247">
        <v>0</v>
      </c>
      <c r="IK25" s="248">
        <f>+IJ25</f>
        <v>0</v>
      </c>
      <c r="IL25" s="247">
        <v>0</v>
      </c>
      <c r="IM25" s="248">
        <f>+IL25</f>
        <v>0</v>
      </c>
      <c r="IN25" s="247">
        <v>0</v>
      </c>
      <c r="IO25" s="248">
        <f>+IN25</f>
        <v>0</v>
      </c>
      <c r="IP25" s="247">
        <v>0</v>
      </c>
      <c r="IQ25" s="248">
        <f>+IP25</f>
        <v>0</v>
      </c>
      <c r="IR25" s="247">
        <v>0</v>
      </c>
      <c r="IS25" s="248">
        <f>+IR25</f>
        <v>0</v>
      </c>
      <c r="IT25" s="247">
        <v>0</v>
      </c>
      <c r="IU25" s="248">
        <f>+IT25</f>
        <v>0</v>
      </c>
      <c r="IV25" s="247">
        <v>0</v>
      </c>
      <c r="IW25" s="248">
        <f>+IV25</f>
        <v>0</v>
      </c>
      <c r="IX25" s="247">
        <v>0</v>
      </c>
      <c r="IY25" s="248">
        <f>+IX25</f>
        <v>0</v>
      </c>
      <c r="IZ25" s="231"/>
      <c r="JA25" s="247">
        <v>0</v>
      </c>
      <c r="JB25" s="248">
        <f>+JA25</f>
        <v>0</v>
      </c>
      <c r="JC25" s="247">
        <v>0</v>
      </c>
      <c r="JD25" s="248">
        <f>+JC25</f>
        <v>0</v>
      </c>
      <c r="JE25" s="231"/>
      <c r="JF25" s="247">
        <v>0</v>
      </c>
      <c r="JG25" s="248">
        <f t="shared" ref="JG25:KU25" si="155">+JF25</f>
        <v>0</v>
      </c>
      <c r="JH25" s="247">
        <v>0</v>
      </c>
      <c r="JI25" s="248">
        <f t="shared" si="155"/>
        <v>0</v>
      </c>
      <c r="JJ25" s="247">
        <v>0</v>
      </c>
      <c r="JK25" s="248">
        <f t="shared" si="155"/>
        <v>0</v>
      </c>
      <c r="JL25" s="247">
        <v>0</v>
      </c>
      <c r="JM25" s="248">
        <f t="shared" si="155"/>
        <v>0</v>
      </c>
      <c r="JN25" s="247">
        <v>0</v>
      </c>
      <c r="JO25" s="248">
        <f t="shared" si="155"/>
        <v>0</v>
      </c>
      <c r="JP25" s="247">
        <v>0</v>
      </c>
      <c r="JQ25" s="248">
        <f t="shared" si="155"/>
        <v>0</v>
      </c>
      <c r="JR25" s="247">
        <v>0</v>
      </c>
      <c r="JS25" s="248">
        <f t="shared" si="155"/>
        <v>0</v>
      </c>
      <c r="JT25" s="247">
        <v>0</v>
      </c>
      <c r="JU25" s="248">
        <f t="shared" si="155"/>
        <v>0</v>
      </c>
      <c r="JV25" s="247">
        <v>0</v>
      </c>
      <c r="JW25" s="248">
        <f t="shared" si="155"/>
        <v>0</v>
      </c>
      <c r="JX25" s="247">
        <v>0</v>
      </c>
      <c r="JY25" s="248">
        <f t="shared" si="155"/>
        <v>0</v>
      </c>
      <c r="JZ25" s="247">
        <v>0</v>
      </c>
      <c r="KA25" s="248">
        <f t="shared" si="155"/>
        <v>0</v>
      </c>
      <c r="KB25" s="247">
        <v>0</v>
      </c>
      <c r="KC25" s="248">
        <f t="shared" si="155"/>
        <v>0</v>
      </c>
      <c r="KD25" s="247">
        <v>0</v>
      </c>
      <c r="KE25" s="248">
        <f t="shared" si="155"/>
        <v>0</v>
      </c>
      <c r="KF25" s="247">
        <v>0</v>
      </c>
      <c r="KG25" s="248">
        <f t="shared" si="155"/>
        <v>0</v>
      </c>
      <c r="KH25" s="247">
        <v>0</v>
      </c>
      <c r="KI25" s="248">
        <f t="shared" si="155"/>
        <v>0</v>
      </c>
      <c r="KJ25" s="247">
        <v>0</v>
      </c>
      <c r="KK25" s="248">
        <f t="shared" si="155"/>
        <v>0</v>
      </c>
      <c r="KL25" s="247">
        <v>0</v>
      </c>
      <c r="KM25" s="248">
        <f t="shared" si="155"/>
        <v>0</v>
      </c>
      <c r="KN25" s="247">
        <v>0</v>
      </c>
      <c r="KO25" s="248">
        <f t="shared" si="155"/>
        <v>0</v>
      </c>
      <c r="KP25" s="247">
        <v>0</v>
      </c>
      <c r="KQ25" s="248">
        <f t="shared" si="155"/>
        <v>0</v>
      </c>
      <c r="KR25" s="247">
        <v>0</v>
      </c>
      <c r="KS25" s="248">
        <f t="shared" si="155"/>
        <v>0</v>
      </c>
      <c r="KT25" s="247">
        <v>0</v>
      </c>
      <c r="KU25" s="248">
        <f t="shared" si="155"/>
        <v>0</v>
      </c>
      <c r="KV25" s="247">
        <v>0</v>
      </c>
      <c r="KW25" s="248">
        <f>+KV25</f>
        <v>0</v>
      </c>
      <c r="KX25" s="247">
        <v>0</v>
      </c>
      <c r="KY25" s="248">
        <f>+KX25</f>
        <v>0</v>
      </c>
      <c r="KZ25" s="247">
        <v>0</v>
      </c>
      <c r="LA25" s="248">
        <f>+KZ25</f>
        <v>0</v>
      </c>
      <c r="LB25" s="247">
        <v>0</v>
      </c>
      <c r="LC25" s="248">
        <f>+LB25</f>
        <v>0</v>
      </c>
      <c r="LD25" s="247">
        <v>0</v>
      </c>
      <c r="LE25" s="248">
        <f>+LD25</f>
        <v>0</v>
      </c>
      <c r="LF25" s="247">
        <v>0</v>
      </c>
      <c r="LG25" s="248">
        <f>+LF25</f>
        <v>0</v>
      </c>
      <c r="LH25" s="247">
        <v>0</v>
      </c>
      <c r="LI25" s="248">
        <f>+LH25</f>
        <v>0</v>
      </c>
      <c r="LJ25" s="247">
        <v>0</v>
      </c>
      <c r="LK25" s="248">
        <f>+LJ25</f>
        <v>0</v>
      </c>
      <c r="LL25" s="247">
        <v>0</v>
      </c>
      <c r="LM25" s="248">
        <f>+LL25</f>
        <v>0</v>
      </c>
      <c r="LN25" s="247">
        <v>0</v>
      </c>
      <c r="LO25" s="248">
        <f>+LN25</f>
        <v>0</v>
      </c>
      <c r="LP25" s="247">
        <v>0</v>
      </c>
      <c r="LQ25" s="248">
        <f>+LP25</f>
        <v>0</v>
      </c>
      <c r="LR25" s="247">
        <v>0</v>
      </c>
      <c r="LS25" s="248">
        <f>+LR25</f>
        <v>0</v>
      </c>
      <c r="LT25" s="247">
        <v>0</v>
      </c>
      <c r="LU25" s="248">
        <f>+LT25</f>
        <v>0</v>
      </c>
      <c r="LV25" s="247">
        <v>0</v>
      </c>
      <c r="LW25" s="248">
        <f>+LV25</f>
        <v>0</v>
      </c>
      <c r="LX25" s="247">
        <v>0</v>
      </c>
      <c r="LY25" s="248">
        <f>+LX25</f>
        <v>0</v>
      </c>
      <c r="LZ25" s="247">
        <v>0</v>
      </c>
      <c r="MA25" s="248">
        <f>+LZ25</f>
        <v>0</v>
      </c>
      <c r="MB25" s="247">
        <v>0</v>
      </c>
      <c r="MC25" s="248">
        <f>+MB25</f>
        <v>0</v>
      </c>
      <c r="MD25" s="247">
        <v>0</v>
      </c>
      <c r="ME25" s="248">
        <f>+MD25</f>
        <v>0</v>
      </c>
      <c r="MF25" s="247">
        <v>0</v>
      </c>
      <c r="MG25" s="248">
        <f>+MF25</f>
        <v>0</v>
      </c>
      <c r="MH25" s="231"/>
      <c r="MI25" s="247">
        <v>0.03</v>
      </c>
      <c r="MJ25" s="248">
        <f>+MI25</f>
        <v>0.03</v>
      </c>
      <c r="MK25" s="247">
        <v>0.03</v>
      </c>
      <c r="ML25" s="248">
        <f>+MK25</f>
        <v>0.03</v>
      </c>
      <c r="MM25" s="247">
        <v>0.03</v>
      </c>
      <c r="MN25" s="248">
        <f>+MM25</f>
        <v>0.03</v>
      </c>
      <c r="MO25" s="247">
        <v>0.03</v>
      </c>
      <c r="MP25" s="248">
        <f>+MO25</f>
        <v>0.03</v>
      </c>
      <c r="MQ25" s="247">
        <v>0.03</v>
      </c>
      <c r="MR25" s="248">
        <f>+MQ25</f>
        <v>0.03</v>
      </c>
      <c r="MS25" s="247">
        <v>0.03</v>
      </c>
      <c r="MT25" s="248">
        <f>+MS25</f>
        <v>0.03</v>
      </c>
      <c r="MU25" s="247">
        <v>0.03</v>
      </c>
      <c r="MV25" s="248">
        <f>+MU25</f>
        <v>0.03</v>
      </c>
      <c r="MW25" s="247">
        <v>0.03</v>
      </c>
      <c r="MX25" s="248">
        <f>+MW25</f>
        <v>0.03</v>
      </c>
      <c r="MY25" s="247">
        <v>0.03</v>
      </c>
      <c r="MZ25" s="248">
        <f>+MY25</f>
        <v>0.03</v>
      </c>
      <c r="NA25" s="247">
        <v>0.03</v>
      </c>
      <c r="NB25" s="248">
        <f>+NA25</f>
        <v>0.03</v>
      </c>
      <c r="NC25" s="247">
        <v>0.03</v>
      </c>
      <c r="ND25" s="248">
        <f>+NC25</f>
        <v>0.03</v>
      </c>
      <c r="NE25" s="247">
        <v>0.03</v>
      </c>
      <c r="NF25" s="248">
        <f>+NE25</f>
        <v>0.03</v>
      </c>
      <c r="NG25" s="247">
        <v>0.03</v>
      </c>
      <c r="NH25" s="248">
        <f>+NG25</f>
        <v>0.03</v>
      </c>
      <c r="NI25" s="247">
        <v>0.03</v>
      </c>
      <c r="NJ25" s="248">
        <f>+NI25</f>
        <v>0.03</v>
      </c>
      <c r="NK25" s="247">
        <v>0.03</v>
      </c>
      <c r="NL25" s="248">
        <f>+NK25</f>
        <v>0.03</v>
      </c>
      <c r="NM25" s="247">
        <v>0.03</v>
      </c>
      <c r="NN25" s="248">
        <f>+NM25</f>
        <v>0.03</v>
      </c>
      <c r="NO25" s="247">
        <v>0.03</v>
      </c>
      <c r="NP25" s="248">
        <f>+NO25</f>
        <v>0.03</v>
      </c>
      <c r="NQ25" s="247">
        <v>0.03</v>
      </c>
      <c r="NR25" s="248">
        <f>+NQ25</f>
        <v>0.03</v>
      </c>
      <c r="NS25" s="247">
        <v>0.03</v>
      </c>
      <c r="NT25" s="248">
        <f>+NS25</f>
        <v>0.03</v>
      </c>
      <c r="NU25" s="247">
        <v>0.03</v>
      </c>
      <c r="NV25" s="248">
        <f>+NU25</f>
        <v>0.03</v>
      </c>
      <c r="NW25" s="247">
        <v>0.03</v>
      </c>
      <c r="NX25" s="248">
        <f>+NW25</f>
        <v>0.03</v>
      </c>
      <c r="NY25" s="247">
        <v>0.03</v>
      </c>
      <c r="NZ25" s="248">
        <f>+NY25</f>
        <v>0.03</v>
      </c>
      <c r="OA25" s="247">
        <v>0.03</v>
      </c>
      <c r="OB25" s="248">
        <f>+OA25</f>
        <v>0.03</v>
      </c>
      <c r="OC25" s="247">
        <v>0.03</v>
      </c>
      <c r="OD25" s="248">
        <f>+OC25</f>
        <v>0.03</v>
      </c>
      <c r="OE25" s="247">
        <v>0.03</v>
      </c>
      <c r="OF25" s="248">
        <f>+OE25</f>
        <v>0.03</v>
      </c>
      <c r="OG25" s="247">
        <v>0.03</v>
      </c>
      <c r="OH25" s="248">
        <f>+OG25</f>
        <v>0.03</v>
      </c>
      <c r="OI25" s="247">
        <v>0.03</v>
      </c>
      <c r="OJ25" s="248">
        <f>+OI25</f>
        <v>0.03</v>
      </c>
      <c r="OK25" s="247">
        <v>0.03</v>
      </c>
      <c r="OL25" s="248">
        <f>+OK25</f>
        <v>0.03</v>
      </c>
      <c r="OM25" s="247">
        <v>0.03</v>
      </c>
      <c r="ON25" s="248">
        <f>+OM25</f>
        <v>0.03</v>
      </c>
      <c r="OO25" s="247">
        <v>0.03</v>
      </c>
      <c r="OP25" s="248">
        <f>+OO25</f>
        <v>0.03</v>
      </c>
      <c r="OQ25" s="247">
        <v>0.03</v>
      </c>
      <c r="OR25" s="248">
        <f>+OQ25</f>
        <v>0.03</v>
      </c>
      <c r="OS25" s="247">
        <v>0.03</v>
      </c>
      <c r="OT25" s="248">
        <f>+OS25</f>
        <v>0.03</v>
      </c>
      <c r="OU25" s="247">
        <v>0</v>
      </c>
      <c r="OV25" s="248">
        <v>0</v>
      </c>
      <c r="OW25" s="247">
        <v>0</v>
      </c>
      <c r="OX25" s="248">
        <v>0</v>
      </c>
      <c r="OY25" s="247">
        <v>0</v>
      </c>
      <c r="OZ25" s="248">
        <v>0</v>
      </c>
      <c r="PA25" s="247">
        <v>0</v>
      </c>
      <c r="PB25" s="248">
        <v>0</v>
      </c>
      <c r="PC25" s="247">
        <v>0</v>
      </c>
      <c r="PD25" s="248">
        <v>0</v>
      </c>
      <c r="PE25" s="247">
        <v>0</v>
      </c>
      <c r="PF25" s="248">
        <v>0</v>
      </c>
      <c r="PG25" s="247">
        <v>0</v>
      </c>
      <c r="PH25" s="248">
        <v>0</v>
      </c>
      <c r="PI25" s="247">
        <v>0.03</v>
      </c>
      <c r="PJ25" s="248">
        <f>+PI25</f>
        <v>0.03</v>
      </c>
      <c r="PK25" s="247">
        <v>0.03</v>
      </c>
      <c r="PL25" s="248">
        <f>+PK25</f>
        <v>0.03</v>
      </c>
      <c r="PM25" s="247">
        <v>0</v>
      </c>
      <c r="PN25" s="248">
        <f t="shared" ref="PN25" si="156">+PM25</f>
        <v>0</v>
      </c>
      <c r="PO25" s="247">
        <v>0</v>
      </c>
      <c r="PP25" s="248">
        <f t="shared" ref="PP25" si="157">+PO25</f>
        <v>0</v>
      </c>
      <c r="PQ25" s="236"/>
      <c r="PR25" s="247"/>
      <c r="PS25" s="248"/>
      <c r="PT25" s="247"/>
      <c r="PU25" s="248"/>
      <c r="PV25" s="247"/>
      <c r="PW25" s="248"/>
      <c r="PX25" s="247"/>
      <c r="PY25" s="248"/>
      <c r="PZ25" s="247"/>
      <c r="QA25" s="248"/>
      <c r="QB25" s="247"/>
      <c r="QC25" s="248"/>
      <c r="QD25" s="236"/>
      <c r="QE25" s="236"/>
      <c r="QF25" s="247"/>
      <c r="QG25" s="248"/>
      <c r="QH25" s="247"/>
      <c r="QI25" s="248"/>
      <c r="QJ25" s="247"/>
      <c r="QK25" s="248"/>
      <c r="QL25" s="247"/>
      <c r="QM25" s="248"/>
      <c r="QN25" s="247"/>
      <c r="QO25" s="248"/>
      <c r="QP25" s="247"/>
      <c r="QQ25" s="248"/>
    </row>
    <row r="26" spans="1:459" x14ac:dyDescent="0.45">
      <c r="A26" s="876"/>
      <c r="B26" s="180" t="s">
        <v>334</v>
      </c>
      <c r="C26" s="181"/>
      <c r="D26" s="199"/>
      <c r="E26" s="186"/>
      <c r="F26" s="215">
        <f t="shared" ref="F26:BQ26" si="158">F25*F18</f>
        <v>0</v>
      </c>
      <c r="G26" s="188">
        <f t="shared" si="158"/>
        <v>0</v>
      </c>
      <c r="H26" s="215">
        <f t="shared" si="158"/>
        <v>0</v>
      </c>
      <c r="I26" s="188">
        <f t="shared" si="158"/>
        <v>0</v>
      </c>
      <c r="J26" s="215">
        <f t="shared" si="158"/>
        <v>0</v>
      </c>
      <c r="K26" s="188">
        <f t="shared" si="158"/>
        <v>0</v>
      </c>
      <c r="L26" s="215">
        <f t="shared" si="158"/>
        <v>0</v>
      </c>
      <c r="M26" s="188">
        <f t="shared" si="158"/>
        <v>0</v>
      </c>
      <c r="N26" s="215">
        <f t="shared" si="158"/>
        <v>0</v>
      </c>
      <c r="O26" s="188">
        <f t="shared" si="158"/>
        <v>0</v>
      </c>
      <c r="P26" s="215">
        <f t="shared" si="158"/>
        <v>0</v>
      </c>
      <c r="Q26" s="188">
        <f t="shared" si="158"/>
        <v>0</v>
      </c>
      <c r="R26" s="215">
        <f t="shared" si="158"/>
        <v>0</v>
      </c>
      <c r="S26" s="188">
        <f t="shared" si="158"/>
        <v>0</v>
      </c>
      <c r="T26" s="215">
        <f t="shared" si="158"/>
        <v>0</v>
      </c>
      <c r="U26" s="188">
        <f t="shared" si="158"/>
        <v>0</v>
      </c>
      <c r="V26" s="215">
        <f t="shared" si="158"/>
        <v>0</v>
      </c>
      <c r="W26" s="188">
        <f t="shared" si="158"/>
        <v>0</v>
      </c>
      <c r="X26" s="215">
        <f t="shared" si="158"/>
        <v>0</v>
      </c>
      <c r="Y26" s="188">
        <f t="shared" si="158"/>
        <v>0</v>
      </c>
      <c r="Z26" s="215">
        <f t="shared" si="158"/>
        <v>0</v>
      </c>
      <c r="AA26" s="188">
        <f t="shared" si="158"/>
        <v>0</v>
      </c>
      <c r="AB26" s="215">
        <f t="shared" si="158"/>
        <v>0</v>
      </c>
      <c r="AC26" s="188">
        <f t="shared" si="158"/>
        <v>0</v>
      </c>
      <c r="AD26" s="215">
        <f t="shared" si="158"/>
        <v>0</v>
      </c>
      <c r="AE26" s="188">
        <f t="shared" si="158"/>
        <v>0</v>
      </c>
      <c r="AF26" s="215">
        <f t="shared" si="158"/>
        <v>0</v>
      </c>
      <c r="AG26" s="188">
        <f t="shared" si="158"/>
        <v>0</v>
      </c>
      <c r="AH26" s="215">
        <f t="shared" si="158"/>
        <v>0</v>
      </c>
      <c r="AI26" s="188">
        <f t="shared" si="158"/>
        <v>0</v>
      </c>
      <c r="AJ26" s="215">
        <f t="shared" si="158"/>
        <v>0</v>
      </c>
      <c r="AK26" s="188">
        <f t="shared" si="158"/>
        <v>0</v>
      </c>
      <c r="AL26" s="215">
        <f t="shared" si="158"/>
        <v>0</v>
      </c>
      <c r="AM26" s="188">
        <f t="shared" si="158"/>
        <v>0</v>
      </c>
      <c r="AN26" s="215">
        <f t="shared" si="158"/>
        <v>0</v>
      </c>
      <c r="AO26" s="188">
        <f t="shared" si="158"/>
        <v>0</v>
      </c>
      <c r="AP26" s="215">
        <f t="shared" si="158"/>
        <v>0</v>
      </c>
      <c r="AQ26" s="188">
        <f t="shared" si="158"/>
        <v>0</v>
      </c>
      <c r="AR26" s="215">
        <f t="shared" si="158"/>
        <v>0</v>
      </c>
      <c r="AS26" s="188">
        <f t="shared" si="158"/>
        <v>0</v>
      </c>
      <c r="AT26" s="215">
        <f t="shared" si="158"/>
        <v>0</v>
      </c>
      <c r="AU26" s="188">
        <f t="shared" si="158"/>
        <v>0</v>
      </c>
      <c r="AV26" s="215">
        <f t="shared" si="158"/>
        <v>0</v>
      </c>
      <c r="AW26" s="188">
        <f t="shared" si="158"/>
        <v>0</v>
      </c>
      <c r="AX26" s="215">
        <f t="shared" si="158"/>
        <v>0</v>
      </c>
      <c r="AY26" s="188">
        <f t="shared" si="158"/>
        <v>0</v>
      </c>
      <c r="AZ26" s="215">
        <f t="shared" si="158"/>
        <v>0</v>
      </c>
      <c r="BA26" s="188">
        <f t="shared" si="158"/>
        <v>0</v>
      </c>
      <c r="BB26" s="215">
        <f t="shared" si="158"/>
        <v>0</v>
      </c>
      <c r="BC26" s="188">
        <f t="shared" si="158"/>
        <v>0</v>
      </c>
      <c r="BD26" s="215">
        <f t="shared" si="158"/>
        <v>0</v>
      </c>
      <c r="BE26" s="188">
        <f t="shared" si="158"/>
        <v>0</v>
      </c>
      <c r="BF26" s="215">
        <f t="shared" si="158"/>
        <v>0</v>
      </c>
      <c r="BG26" s="188">
        <f t="shared" si="158"/>
        <v>0</v>
      </c>
      <c r="BH26" s="215">
        <f t="shared" si="158"/>
        <v>0</v>
      </c>
      <c r="BI26" s="188">
        <f t="shared" si="158"/>
        <v>0</v>
      </c>
      <c r="BJ26" s="215">
        <f t="shared" si="158"/>
        <v>0</v>
      </c>
      <c r="BK26" s="188">
        <f t="shared" si="158"/>
        <v>0</v>
      </c>
      <c r="BL26" s="215">
        <f t="shared" si="158"/>
        <v>0</v>
      </c>
      <c r="BM26" s="188">
        <f t="shared" si="158"/>
        <v>0</v>
      </c>
      <c r="BN26" s="215">
        <f t="shared" si="158"/>
        <v>0</v>
      </c>
      <c r="BO26" s="188">
        <f t="shared" si="158"/>
        <v>0</v>
      </c>
      <c r="BP26" s="215">
        <f t="shared" si="158"/>
        <v>0</v>
      </c>
      <c r="BQ26" s="188">
        <f t="shared" si="158"/>
        <v>0</v>
      </c>
      <c r="BR26" s="215">
        <f t="shared" ref="BR26:CS26" si="159">BR25*BR18</f>
        <v>0</v>
      </c>
      <c r="BS26" s="188">
        <f t="shared" si="159"/>
        <v>0</v>
      </c>
      <c r="BT26" s="215">
        <f t="shared" si="159"/>
        <v>0</v>
      </c>
      <c r="BU26" s="188">
        <f t="shared" si="159"/>
        <v>0</v>
      </c>
      <c r="BV26" s="215">
        <f t="shared" si="159"/>
        <v>0</v>
      </c>
      <c r="BW26" s="188">
        <f t="shared" si="159"/>
        <v>0</v>
      </c>
      <c r="BX26" s="215">
        <f t="shared" si="159"/>
        <v>0</v>
      </c>
      <c r="BY26" s="188">
        <f t="shared" si="159"/>
        <v>0</v>
      </c>
      <c r="BZ26" s="215">
        <f t="shared" si="159"/>
        <v>0</v>
      </c>
      <c r="CA26" s="188">
        <f t="shared" si="159"/>
        <v>0</v>
      </c>
      <c r="CB26" s="215">
        <f t="shared" si="159"/>
        <v>0</v>
      </c>
      <c r="CC26" s="188">
        <f t="shared" si="159"/>
        <v>0</v>
      </c>
      <c r="CD26" s="215">
        <f t="shared" si="159"/>
        <v>0</v>
      </c>
      <c r="CE26" s="188">
        <f t="shared" si="159"/>
        <v>0</v>
      </c>
      <c r="CF26" s="215">
        <f t="shared" si="159"/>
        <v>0</v>
      </c>
      <c r="CG26" s="188">
        <f t="shared" si="159"/>
        <v>0</v>
      </c>
      <c r="CH26" s="215">
        <f t="shared" si="159"/>
        <v>0</v>
      </c>
      <c r="CI26" s="188">
        <f t="shared" si="159"/>
        <v>0</v>
      </c>
      <c r="CJ26" s="215">
        <f t="shared" si="159"/>
        <v>0</v>
      </c>
      <c r="CK26" s="188">
        <f t="shared" si="159"/>
        <v>0</v>
      </c>
      <c r="CL26" s="215">
        <f t="shared" si="159"/>
        <v>0</v>
      </c>
      <c r="CM26" s="188">
        <f t="shared" si="159"/>
        <v>0</v>
      </c>
      <c r="CN26" s="215">
        <f t="shared" si="159"/>
        <v>0</v>
      </c>
      <c r="CO26" s="188">
        <f t="shared" si="159"/>
        <v>0</v>
      </c>
      <c r="CP26" s="215">
        <f t="shared" si="159"/>
        <v>0</v>
      </c>
      <c r="CQ26" s="188">
        <f t="shared" si="159"/>
        <v>0</v>
      </c>
      <c r="CR26" s="215">
        <f t="shared" si="159"/>
        <v>0</v>
      </c>
      <c r="CS26" s="188">
        <f t="shared" si="159"/>
        <v>0</v>
      </c>
      <c r="CT26" s="201"/>
      <c r="CU26" s="215">
        <f t="shared" ref="CU26:FF26" si="160">CU25*CU18</f>
        <v>0</v>
      </c>
      <c r="CV26" s="188">
        <f t="shared" si="160"/>
        <v>0</v>
      </c>
      <c r="CW26" s="215">
        <f t="shared" si="160"/>
        <v>0</v>
      </c>
      <c r="CX26" s="188">
        <f t="shared" si="160"/>
        <v>0</v>
      </c>
      <c r="CY26" s="215">
        <f t="shared" si="160"/>
        <v>0</v>
      </c>
      <c r="CZ26" s="188">
        <f t="shared" si="160"/>
        <v>0</v>
      </c>
      <c r="DA26" s="215">
        <f t="shared" si="160"/>
        <v>0</v>
      </c>
      <c r="DB26" s="188">
        <f t="shared" si="160"/>
        <v>0</v>
      </c>
      <c r="DC26" s="215">
        <f t="shared" si="160"/>
        <v>0</v>
      </c>
      <c r="DD26" s="188">
        <f t="shared" si="160"/>
        <v>0</v>
      </c>
      <c r="DE26" s="215">
        <f t="shared" si="160"/>
        <v>0</v>
      </c>
      <c r="DF26" s="188">
        <f t="shared" si="160"/>
        <v>0</v>
      </c>
      <c r="DG26" s="215">
        <f t="shared" si="160"/>
        <v>0</v>
      </c>
      <c r="DH26" s="188">
        <f t="shared" si="160"/>
        <v>0</v>
      </c>
      <c r="DI26" s="215">
        <f t="shared" si="160"/>
        <v>0</v>
      </c>
      <c r="DJ26" s="188">
        <f t="shared" si="160"/>
        <v>0</v>
      </c>
      <c r="DK26" s="215">
        <f t="shared" si="160"/>
        <v>0</v>
      </c>
      <c r="DL26" s="188">
        <f t="shared" si="160"/>
        <v>0</v>
      </c>
      <c r="DM26" s="215">
        <f t="shared" si="160"/>
        <v>0</v>
      </c>
      <c r="DN26" s="188">
        <f t="shared" si="160"/>
        <v>0</v>
      </c>
      <c r="DO26" s="215">
        <f t="shared" si="160"/>
        <v>0</v>
      </c>
      <c r="DP26" s="188">
        <f t="shared" si="160"/>
        <v>0</v>
      </c>
      <c r="DQ26" s="215">
        <f t="shared" si="160"/>
        <v>0</v>
      </c>
      <c r="DR26" s="188">
        <f t="shared" si="160"/>
        <v>0</v>
      </c>
      <c r="DS26" s="215">
        <f t="shared" si="160"/>
        <v>0</v>
      </c>
      <c r="DT26" s="188">
        <f t="shared" si="160"/>
        <v>0</v>
      </c>
      <c r="DU26" s="215">
        <f t="shared" si="160"/>
        <v>0</v>
      </c>
      <c r="DV26" s="188">
        <f t="shared" si="160"/>
        <v>0</v>
      </c>
      <c r="DW26" s="215">
        <f t="shared" si="160"/>
        <v>0</v>
      </c>
      <c r="DX26" s="188">
        <f t="shared" si="160"/>
        <v>0</v>
      </c>
      <c r="DY26" s="215">
        <f t="shared" si="160"/>
        <v>0</v>
      </c>
      <c r="DZ26" s="188">
        <f t="shared" si="160"/>
        <v>0</v>
      </c>
      <c r="EA26" s="215">
        <f t="shared" si="160"/>
        <v>0</v>
      </c>
      <c r="EB26" s="188">
        <f t="shared" si="160"/>
        <v>0</v>
      </c>
      <c r="EC26" s="215">
        <f t="shared" si="160"/>
        <v>0</v>
      </c>
      <c r="ED26" s="188">
        <f t="shared" si="160"/>
        <v>0</v>
      </c>
      <c r="EE26" s="215">
        <f t="shared" si="160"/>
        <v>0</v>
      </c>
      <c r="EF26" s="188">
        <f t="shared" si="160"/>
        <v>0</v>
      </c>
      <c r="EG26" s="215">
        <f t="shared" si="160"/>
        <v>0</v>
      </c>
      <c r="EH26" s="188">
        <f t="shared" si="160"/>
        <v>0</v>
      </c>
      <c r="EI26" s="215">
        <f t="shared" si="160"/>
        <v>0</v>
      </c>
      <c r="EJ26" s="188">
        <f t="shared" si="160"/>
        <v>0</v>
      </c>
      <c r="EK26" s="215">
        <f t="shared" si="160"/>
        <v>0</v>
      </c>
      <c r="EL26" s="188">
        <f t="shared" si="160"/>
        <v>0</v>
      </c>
      <c r="EM26" s="215">
        <f t="shared" si="160"/>
        <v>0</v>
      </c>
      <c r="EN26" s="188">
        <f t="shared" si="160"/>
        <v>0</v>
      </c>
      <c r="EO26" s="215">
        <f t="shared" si="160"/>
        <v>0</v>
      </c>
      <c r="EP26" s="188">
        <f t="shared" si="160"/>
        <v>0</v>
      </c>
      <c r="EQ26" s="215">
        <f t="shared" si="160"/>
        <v>0</v>
      </c>
      <c r="ER26" s="188">
        <f t="shared" si="160"/>
        <v>0</v>
      </c>
      <c r="ES26" s="215">
        <f t="shared" si="160"/>
        <v>0</v>
      </c>
      <c r="ET26" s="188">
        <f t="shared" si="160"/>
        <v>0</v>
      </c>
      <c r="EU26" s="215">
        <f t="shared" si="160"/>
        <v>0</v>
      </c>
      <c r="EV26" s="188">
        <f t="shared" si="160"/>
        <v>0</v>
      </c>
      <c r="EW26" s="215">
        <f t="shared" si="160"/>
        <v>0</v>
      </c>
      <c r="EX26" s="188">
        <f t="shared" si="160"/>
        <v>0</v>
      </c>
      <c r="EY26" s="215">
        <f t="shared" si="160"/>
        <v>0</v>
      </c>
      <c r="EZ26" s="188">
        <f t="shared" si="160"/>
        <v>0</v>
      </c>
      <c r="FA26" s="215">
        <f t="shared" si="160"/>
        <v>0</v>
      </c>
      <c r="FB26" s="188">
        <f t="shared" si="160"/>
        <v>0</v>
      </c>
      <c r="FC26" s="215">
        <f t="shared" si="160"/>
        <v>0</v>
      </c>
      <c r="FD26" s="188">
        <f t="shared" si="160"/>
        <v>0</v>
      </c>
      <c r="FE26" s="215">
        <f t="shared" si="160"/>
        <v>0</v>
      </c>
      <c r="FF26" s="188">
        <f t="shared" si="160"/>
        <v>0</v>
      </c>
      <c r="FG26" s="215">
        <f t="shared" ref="FG26:FP26" si="161">FG25*FG18</f>
        <v>0</v>
      </c>
      <c r="FH26" s="188">
        <f t="shared" si="161"/>
        <v>0</v>
      </c>
      <c r="FI26" s="215">
        <f t="shared" si="161"/>
        <v>0</v>
      </c>
      <c r="FJ26" s="188">
        <f t="shared" si="161"/>
        <v>0</v>
      </c>
      <c r="FK26" s="215">
        <f t="shared" si="161"/>
        <v>0</v>
      </c>
      <c r="FL26" s="188">
        <f t="shared" si="161"/>
        <v>0</v>
      </c>
      <c r="FM26" s="215">
        <f t="shared" si="161"/>
        <v>0</v>
      </c>
      <c r="FN26" s="188">
        <f t="shared" si="161"/>
        <v>0</v>
      </c>
      <c r="FO26" s="215">
        <f t="shared" si="161"/>
        <v>0</v>
      </c>
      <c r="FP26" s="188">
        <f t="shared" si="161"/>
        <v>0</v>
      </c>
      <c r="FQ26" s="186"/>
      <c r="FR26" s="215">
        <f t="shared" ref="FR26:IC26" si="162">FR25*FR18</f>
        <v>0</v>
      </c>
      <c r="FS26" s="188">
        <f t="shared" si="162"/>
        <v>0</v>
      </c>
      <c r="FT26" s="215">
        <f t="shared" si="162"/>
        <v>0</v>
      </c>
      <c r="FU26" s="188">
        <f t="shared" si="162"/>
        <v>0</v>
      </c>
      <c r="FV26" s="215">
        <f t="shared" si="162"/>
        <v>0</v>
      </c>
      <c r="FW26" s="188">
        <f t="shared" si="162"/>
        <v>0</v>
      </c>
      <c r="FX26" s="215">
        <f t="shared" si="162"/>
        <v>0</v>
      </c>
      <c r="FY26" s="188">
        <f t="shared" si="162"/>
        <v>0</v>
      </c>
      <c r="FZ26" s="215">
        <f t="shared" si="162"/>
        <v>0</v>
      </c>
      <c r="GA26" s="188">
        <f t="shared" si="162"/>
        <v>0</v>
      </c>
      <c r="GB26" s="215">
        <f t="shared" si="162"/>
        <v>0</v>
      </c>
      <c r="GC26" s="188">
        <f t="shared" si="162"/>
        <v>0</v>
      </c>
      <c r="GD26" s="215">
        <f t="shared" si="162"/>
        <v>0</v>
      </c>
      <c r="GE26" s="188">
        <f t="shared" si="162"/>
        <v>0</v>
      </c>
      <c r="GF26" s="215">
        <f t="shared" si="162"/>
        <v>0</v>
      </c>
      <c r="GG26" s="188">
        <f t="shared" si="162"/>
        <v>0</v>
      </c>
      <c r="GH26" s="215">
        <f t="shared" si="162"/>
        <v>0</v>
      </c>
      <c r="GI26" s="188">
        <f t="shared" si="162"/>
        <v>0</v>
      </c>
      <c r="GJ26" s="215">
        <f t="shared" si="162"/>
        <v>0</v>
      </c>
      <c r="GK26" s="188">
        <f t="shared" si="162"/>
        <v>0</v>
      </c>
      <c r="GL26" s="215">
        <f t="shared" si="162"/>
        <v>0</v>
      </c>
      <c r="GM26" s="188">
        <f t="shared" si="162"/>
        <v>0</v>
      </c>
      <c r="GN26" s="215">
        <f t="shared" si="162"/>
        <v>0</v>
      </c>
      <c r="GO26" s="188">
        <f t="shared" si="162"/>
        <v>0</v>
      </c>
      <c r="GP26" s="215">
        <f t="shared" si="162"/>
        <v>0</v>
      </c>
      <c r="GQ26" s="188">
        <f t="shared" si="162"/>
        <v>0</v>
      </c>
      <c r="GR26" s="215">
        <f t="shared" si="162"/>
        <v>0</v>
      </c>
      <c r="GS26" s="188">
        <f t="shared" si="162"/>
        <v>0</v>
      </c>
      <c r="GT26" s="215">
        <f t="shared" si="162"/>
        <v>0</v>
      </c>
      <c r="GU26" s="188">
        <f t="shared" si="162"/>
        <v>0</v>
      </c>
      <c r="GV26" s="215">
        <f t="shared" si="162"/>
        <v>0</v>
      </c>
      <c r="GW26" s="188">
        <f t="shared" si="162"/>
        <v>0</v>
      </c>
      <c r="GX26" s="215">
        <f t="shared" si="162"/>
        <v>0</v>
      </c>
      <c r="GY26" s="188">
        <f t="shared" si="162"/>
        <v>0</v>
      </c>
      <c r="GZ26" s="215">
        <f t="shared" si="162"/>
        <v>0</v>
      </c>
      <c r="HA26" s="188">
        <f t="shared" si="162"/>
        <v>0</v>
      </c>
      <c r="HB26" s="215">
        <f t="shared" si="162"/>
        <v>0</v>
      </c>
      <c r="HC26" s="188">
        <f t="shared" si="162"/>
        <v>0</v>
      </c>
      <c r="HD26" s="215">
        <f t="shared" si="162"/>
        <v>0</v>
      </c>
      <c r="HE26" s="188">
        <f t="shared" si="162"/>
        <v>0</v>
      </c>
      <c r="HF26" s="215">
        <f t="shared" si="162"/>
        <v>0</v>
      </c>
      <c r="HG26" s="188">
        <f t="shared" si="162"/>
        <v>0</v>
      </c>
      <c r="HH26" s="215">
        <f t="shared" si="162"/>
        <v>0</v>
      </c>
      <c r="HI26" s="188">
        <f t="shared" si="162"/>
        <v>0</v>
      </c>
      <c r="HJ26" s="215">
        <f t="shared" si="162"/>
        <v>0</v>
      </c>
      <c r="HK26" s="188">
        <f t="shared" si="162"/>
        <v>0</v>
      </c>
      <c r="HL26" s="215">
        <f t="shared" si="162"/>
        <v>0</v>
      </c>
      <c r="HM26" s="188">
        <f t="shared" si="162"/>
        <v>0</v>
      </c>
      <c r="HN26" s="215">
        <f t="shared" si="162"/>
        <v>0</v>
      </c>
      <c r="HO26" s="188">
        <f t="shared" si="162"/>
        <v>0</v>
      </c>
      <c r="HP26" s="215">
        <f t="shared" si="162"/>
        <v>0</v>
      </c>
      <c r="HQ26" s="188">
        <f t="shared" si="162"/>
        <v>0</v>
      </c>
      <c r="HR26" s="215">
        <f t="shared" si="162"/>
        <v>0</v>
      </c>
      <c r="HS26" s="188">
        <f t="shared" si="162"/>
        <v>0</v>
      </c>
      <c r="HT26" s="215">
        <f t="shared" si="162"/>
        <v>0</v>
      </c>
      <c r="HU26" s="188">
        <f t="shared" si="162"/>
        <v>0</v>
      </c>
      <c r="HV26" s="215">
        <f t="shared" si="162"/>
        <v>0</v>
      </c>
      <c r="HW26" s="188">
        <f t="shared" si="162"/>
        <v>0</v>
      </c>
      <c r="HX26" s="215">
        <f t="shared" si="162"/>
        <v>0</v>
      </c>
      <c r="HY26" s="188">
        <f t="shared" si="162"/>
        <v>0</v>
      </c>
      <c r="HZ26" s="215">
        <f t="shared" si="162"/>
        <v>0</v>
      </c>
      <c r="IA26" s="188">
        <f t="shared" si="162"/>
        <v>0</v>
      </c>
      <c r="IB26" s="215">
        <f t="shared" si="162"/>
        <v>0</v>
      </c>
      <c r="IC26" s="188">
        <f t="shared" si="162"/>
        <v>0</v>
      </c>
      <c r="ID26" s="215">
        <f t="shared" ref="ID26:IY26" si="163">ID25*ID18</f>
        <v>0</v>
      </c>
      <c r="IE26" s="188">
        <f t="shared" si="163"/>
        <v>0</v>
      </c>
      <c r="IF26" s="215">
        <f t="shared" si="163"/>
        <v>0</v>
      </c>
      <c r="IG26" s="188">
        <f t="shared" si="163"/>
        <v>0</v>
      </c>
      <c r="IH26" s="215">
        <f t="shared" si="163"/>
        <v>0</v>
      </c>
      <c r="II26" s="188">
        <f t="shared" si="163"/>
        <v>0</v>
      </c>
      <c r="IJ26" s="215">
        <f t="shared" si="163"/>
        <v>0</v>
      </c>
      <c r="IK26" s="188">
        <f t="shared" si="163"/>
        <v>0</v>
      </c>
      <c r="IL26" s="215">
        <f t="shared" si="163"/>
        <v>0</v>
      </c>
      <c r="IM26" s="188">
        <f t="shared" si="163"/>
        <v>0</v>
      </c>
      <c r="IN26" s="215">
        <f t="shared" si="163"/>
        <v>0</v>
      </c>
      <c r="IO26" s="188">
        <f t="shared" si="163"/>
        <v>0</v>
      </c>
      <c r="IP26" s="215">
        <f t="shared" si="163"/>
        <v>0</v>
      </c>
      <c r="IQ26" s="188">
        <f t="shared" si="163"/>
        <v>0</v>
      </c>
      <c r="IR26" s="215">
        <f t="shared" si="163"/>
        <v>0</v>
      </c>
      <c r="IS26" s="188">
        <f t="shared" si="163"/>
        <v>0</v>
      </c>
      <c r="IT26" s="215">
        <f t="shared" si="163"/>
        <v>0</v>
      </c>
      <c r="IU26" s="188">
        <f t="shared" si="163"/>
        <v>0</v>
      </c>
      <c r="IV26" s="215">
        <f t="shared" si="163"/>
        <v>0</v>
      </c>
      <c r="IW26" s="188">
        <f t="shared" si="163"/>
        <v>0</v>
      </c>
      <c r="IX26" s="215">
        <f t="shared" si="163"/>
        <v>0</v>
      </c>
      <c r="IY26" s="188">
        <f t="shared" si="163"/>
        <v>0</v>
      </c>
      <c r="IZ26" s="186"/>
      <c r="JA26" s="215">
        <f>JA25*JA18</f>
        <v>0</v>
      </c>
      <c r="JB26" s="188">
        <f>JB25*JB18</f>
        <v>0</v>
      </c>
      <c r="JC26" s="215">
        <f>JC25*JC18</f>
        <v>0</v>
      </c>
      <c r="JD26" s="188">
        <f>JD25*JD18</f>
        <v>0</v>
      </c>
      <c r="JE26" s="186"/>
      <c r="JF26" s="215">
        <f t="shared" ref="JF26:LQ26" si="164">JF25*JF18</f>
        <v>0</v>
      </c>
      <c r="JG26" s="188">
        <f t="shared" si="164"/>
        <v>0</v>
      </c>
      <c r="JH26" s="215">
        <f t="shared" si="164"/>
        <v>0</v>
      </c>
      <c r="JI26" s="188">
        <f t="shared" si="164"/>
        <v>0</v>
      </c>
      <c r="JJ26" s="215">
        <f t="shared" si="164"/>
        <v>0</v>
      </c>
      <c r="JK26" s="188">
        <f t="shared" si="164"/>
        <v>0</v>
      </c>
      <c r="JL26" s="215">
        <f t="shared" si="164"/>
        <v>0</v>
      </c>
      <c r="JM26" s="188">
        <f t="shared" si="164"/>
        <v>0</v>
      </c>
      <c r="JN26" s="215">
        <f t="shared" si="164"/>
        <v>0</v>
      </c>
      <c r="JO26" s="188">
        <f t="shared" si="164"/>
        <v>0</v>
      </c>
      <c r="JP26" s="215">
        <f t="shared" si="164"/>
        <v>0</v>
      </c>
      <c r="JQ26" s="188">
        <f t="shared" si="164"/>
        <v>0</v>
      </c>
      <c r="JR26" s="215">
        <f t="shared" si="164"/>
        <v>0</v>
      </c>
      <c r="JS26" s="188">
        <f t="shared" si="164"/>
        <v>0</v>
      </c>
      <c r="JT26" s="215">
        <f t="shared" si="164"/>
        <v>0</v>
      </c>
      <c r="JU26" s="188">
        <f t="shared" si="164"/>
        <v>0</v>
      </c>
      <c r="JV26" s="215">
        <f t="shared" si="164"/>
        <v>0</v>
      </c>
      <c r="JW26" s="188">
        <f t="shared" si="164"/>
        <v>0</v>
      </c>
      <c r="JX26" s="215">
        <f t="shared" si="164"/>
        <v>0</v>
      </c>
      <c r="JY26" s="188">
        <f t="shared" si="164"/>
        <v>0</v>
      </c>
      <c r="JZ26" s="215">
        <f t="shared" si="164"/>
        <v>0</v>
      </c>
      <c r="KA26" s="188">
        <f t="shared" si="164"/>
        <v>0</v>
      </c>
      <c r="KB26" s="215">
        <f t="shared" si="164"/>
        <v>0</v>
      </c>
      <c r="KC26" s="188">
        <f t="shared" si="164"/>
        <v>0</v>
      </c>
      <c r="KD26" s="215">
        <f t="shared" si="164"/>
        <v>0</v>
      </c>
      <c r="KE26" s="188">
        <f t="shared" si="164"/>
        <v>0</v>
      </c>
      <c r="KF26" s="215">
        <f t="shared" si="164"/>
        <v>0</v>
      </c>
      <c r="KG26" s="188">
        <f t="shared" si="164"/>
        <v>0</v>
      </c>
      <c r="KH26" s="215">
        <f t="shared" si="164"/>
        <v>0</v>
      </c>
      <c r="KI26" s="188">
        <f t="shared" si="164"/>
        <v>0</v>
      </c>
      <c r="KJ26" s="215">
        <f t="shared" si="164"/>
        <v>0</v>
      </c>
      <c r="KK26" s="188">
        <f t="shared" si="164"/>
        <v>0</v>
      </c>
      <c r="KL26" s="215">
        <f t="shared" si="164"/>
        <v>0</v>
      </c>
      <c r="KM26" s="188">
        <f t="shared" si="164"/>
        <v>0</v>
      </c>
      <c r="KN26" s="215">
        <f t="shared" si="164"/>
        <v>0</v>
      </c>
      <c r="KO26" s="188">
        <f t="shared" si="164"/>
        <v>0</v>
      </c>
      <c r="KP26" s="215">
        <f t="shared" si="164"/>
        <v>0</v>
      </c>
      <c r="KQ26" s="188">
        <f t="shared" si="164"/>
        <v>0</v>
      </c>
      <c r="KR26" s="215">
        <f t="shared" si="164"/>
        <v>0</v>
      </c>
      <c r="KS26" s="188">
        <f t="shared" si="164"/>
        <v>0</v>
      </c>
      <c r="KT26" s="215">
        <f t="shared" si="164"/>
        <v>0</v>
      </c>
      <c r="KU26" s="188">
        <f t="shared" si="164"/>
        <v>0</v>
      </c>
      <c r="KV26" s="215">
        <f t="shared" si="164"/>
        <v>0</v>
      </c>
      <c r="KW26" s="188">
        <f t="shared" si="164"/>
        <v>0</v>
      </c>
      <c r="KX26" s="215">
        <f t="shared" si="164"/>
        <v>0</v>
      </c>
      <c r="KY26" s="188">
        <f t="shared" si="164"/>
        <v>0</v>
      </c>
      <c r="KZ26" s="215">
        <f t="shared" si="164"/>
        <v>0</v>
      </c>
      <c r="LA26" s="188">
        <f t="shared" si="164"/>
        <v>0</v>
      </c>
      <c r="LB26" s="215">
        <f t="shared" si="164"/>
        <v>0</v>
      </c>
      <c r="LC26" s="188">
        <f t="shared" si="164"/>
        <v>0</v>
      </c>
      <c r="LD26" s="215">
        <f t="shared" si="164"/>
        <v>0</v>
      </c>
      <c r="LE26" s="188">
        <f t="shared" si="164"/>
        <v>0</v>
      </c>
      <c r="LF26" s="215">
        <f t="shared" si="164"/>
        <v>0</v>
      </c>
      <c r="LG26" s="188">
        <f t="shared" si="164"/>
        <v>0</v>
      </c>
      <c r="LH26" s="215">
        <f t="shared" si="164"/>
        <v>0</v>
      </c>
      <c r="LI26" s="188">
        <f t="shared" si="164"/>
        <v>0</v>
      </c>
      <c r="LJ26" s="215">
        <f t="shared" si="164"/>
        <v>0</v>
      </c>
      <c r="LK26" s="188">
        <f t="shared" si="164"/>
        <v>0</v>
      </c>
      <c r="LL26" s="215">
        <f t="shared" si="164"/>
        <v>0</v>
      </c>
      <c r="LM26" s="188">
        <f t="shared" si="164"/>
        <v>0</v>
      </c>
      <c r="LN26" s="215">
        <f t="shared" si="164"/>
        <v>0</v>
      </c>
      <c r="LO26" s="188">
        <f t="shared" si="164"/>
        <v>0</v>
      </c>
      <c r="LP26" s="215">
        <f t="shared" si="164"/>
        <v>0</v>
      </c>
      <c r="LQ26" s="188">
        <f t="shared" si="164"/>
        <v>0</v>
      </c>
      <c r="LR26" s="215">
        <f t="shared" ref="LR26:MG26" si="165">LR25*LR18</f>
        <v>0</v>
      </c>
      <c r="LS26" s="188">
        <f t="shared" si="165"/>
        <v>0</v>
      </c>
      <c r="LT26" s="215">
        <f t="shared" si="165"/>
        <v>0</v>
      </c>
      <c r="LU26" s="188">
        <f t="shared" si="165"/>
        <v>0</v>
      </c>
      <c r="LV26" s="215">
        <f t="shared" si="165"/>
        <v>0</v>
      </c>
      <c r="LW26" s="188">
        <f t="shared" si="165"/>
        <v>0</v>
      </c>
      <c r="LX26" s="215">
        <f t="shared" si="165"/>
        <v>0</v>
      </c>
      <c r="LY26" s="188">
        <f t="shared" si="165"/>
        <v>0</v>
      </c>
      <c r="LZ26" s="215">
        <f t="shared" si="165"/>
        <v>0</v>
      </c>
      <c r="MA26" s="188">
        <f t="shared" si="165"/>
        <v>0</v>
      </c>
      <c r="MB26" s="215">
        <f t="shared" si="165"/>
        <v>0</v>
      </c>
      <c r="MC26" s="188">
        <f t="shared" si="165"/>
        <v>0</v>
      </c>
      <c r="MD26" s="215">
        <f t="shared" si="165"/>
        <v>0</v>
      </c>
      <c r="ME26" s="188">
        <f t="shared" si="165"/>
        <v>0</v>
      </c>
      <c r="MF26" s="215">
        <f t="shared" si="165"/>
        <v>0</v>
      </c>
      <c r="MG26" s="188">
        <f t="shared" si="165"/>
        <v>0</v>
      </c>
      <c r="MH26" s="186"/>
      <c r="MI26" s="215">
        <f t="shared" ref="MI26:PL26" si="166">MI25*MI18</f>
        <v>0.28799999999999998</v>
      </c>
      <c r="MJ26" s="188">
        <f t="shared" si="166"/>
        <v>0.21818181818181814</v>
      </c>
      <c r="MK26" s="215">
        <f t="shared" si="166"/>
        <v>0.28799999999999998</v>
      </c>
      <c r="ML26" s="188">
        <f t="shared" si="166"/>
        <v>0.21818181818181814</v>
      </c>
      <c r="MM26" s="215">
        <f t="shared" si="166"/>
        <v>0.28799999999999998</v>
      </c>
      <c r="MN26" s="188">
        <f t="shared" si="166"/>
        <v>0.21818181818181814</v>
      </c>
      <c r="MO26" s="215">
        <f t="shared" si="166"/>
        <v>0.28799999999999998</v>
      </c>
      <c r="MP26" s="188">
        <f t="shared" si="166"/>
        <v>0.21818181818181814</v>
      </c>
      <c r="MQ26" s="215">
        <f t="shared" si="166"/>
        <v>0.28799999999999998</v>
      </c>
      <c r="MR26" s="188">
        <f t="shared" si="166"/>
        <v>0.21818181818181814</v>
      </c>
      <c r="MS26" s="215">
        <f t="shared" si="166"/>
        <v>0.3</v>
      </c>
      <c r="MT26" s="188">
        <f t="shared" si="166"/>
        <v>0.22727272727272727</v>
      </c>
      <c r="MU26" s="215">
        <f t="shared" si="166"/>
        <v>0.312</v>
      </c>
      <c r="MV26" s="188">
        <f t="shared" si="166"/>
        <v>0.23636363636363636</v>
      </c>
      <c r="MW26" s="215">
        <f t="shared" si="166"/>
        <v>0.36</v>
      </c>
      <c r="MX26" s="188">
        <f t="shared" si="166"/>
        <v>0.27272727272727271</v>
      </c>
      <c r="MY26" s="215">
        <f t="shared" si="166"/>
        <v>0.36</v>
      </c>
      <c r="MZ26" s="188">
        <f t="shared" si="166"/>
        <v>0.25714285714285717</v>
      </c>
      <c r="NA26" s="215">
        <f t="shared" si="166"/>
        <v>0.36</v>
      </c>
      <c r="NB26" s="188">
        <f t="shared" si="166"/>
        <v>0.27272727272727271</v>
      </c>
      <c r="NC26" s="215">
        <f t="shared" si="166"/>
        <v>0.36</v>
      </c>
      <c r="ND26" s="188">
        <f t="shared" si="166"/>
        <v>0.27272727272727271</v>
      </c>
      <c r="NE26" s="215">
        <f t="shared" si="166"/>
        <v>0.36</v>
      </c>
      <c r="NF26" s="188">
        <f t="shared" si="166"/>
        <v>0.27272727272727271</v>
      </c>
      <c r="NG26" s="215">
        <f t="shared" si="166"/>
        <v>0.36</v>
      </c>
      <c r="NH26" s="188">
        <f t="shared" si="166"/>
        <v>0.27272727272727271</v>
      </c>
      <c r="NI26" s="215">
        <f t="shared" si="166"/>
        <v>0.36</v>
      </c>
      <c r="NJ26" s="188">
        <f t="shared" si="166"/>
        <v>0.27272727272727271</v>
      </c>
      <c r="NK26" s="215">
        <f t="shared" si="166"/>
        <v>0.36</v>
      </c>
      <c r="NL26" s="188">
        <f t="shared" si="166"/>
        <v>0.27272727272727271</v>
      </c>
      <c r="NM26" s="215">
        <f t="shared" si="166"/>
        <v>0.36</v>
      </c>
      <c r="NN26" s="188">
        <f t="shared" si="166"/>
        <v>0.27272727272727271</v>
      </c>
      <c r="NO26" s="215">
        <f t="shared" si="166"/>
        <v>0.36</v>
      </c>
      <c r="NP26" s="188">
        <f t="shared" si="166"/>
        <v>0.27272727272727271</v>
      </c>
      <c r="NQ26" s="215">
        <f t="shared" si="166"/>
        <v>0.36</v>
      </c>
      <c r="NR26" s="188">
        <f t="shared" si="166"/>
        <v>0.27272727272727271</v>
      </c>
      <c r="NS26" s="215">
        <f t="shared" si="166"/>
        <v>0.36</v>
      </c>
      <c r="NT26" s="188">
        <f t="shared" si="166"/>
        <v>0.27272727272727271</v>
      </c>
      <c r="NU26" s="215">
        <f t="shared" si="166"/>
        <v>0.36</v>
      </c>
      <c r="NV26" s="188">
        <f t="shared" si="166"/>
        <v>0.27272727272727271</v>
      </c>
      <c r="NW26" s="215">
        <f t="shared" si="166"/>
        <v>0.36</v>
      </c>
      <c r="NX26" s="188">
        <f t="shared" si="166"/>
        <v>0.27272727272727271</v>
      </c>
      <c r="NY26" s="215">
        <f t="shared" si="166"/>
        <v>0.36</v>
      </c>
      <c r="NZ26" s="188">
        <f t="shared" si="166"/>
        <v>0.27272727272727271</v>
      </c>
      <c r="OA26" s="215">
        <f t="shared" si="166"/>
        <v>0.36</v>
      </c>
      <c r="OB26" s="188">
        <f t="shared" si="166"/>
        <v>0.27272727272727271</v>
      </c>
      <c r="OC26" s="215">
        <f t="shared" si="166"/>
        <v>0.36</v>
      </c>
      <c r="OD26" s="188">
        <f t="shared" si="166"/>
        <v>0.27272727272727271</v>
      </c>
      <c r="OE26" s="215">
        <f t="shared" si="166"/>
        <v>0.36</v>
      </c>
      <c r="OF26" s="188">
        <f t="shared" si="166"/>
        <v>0.27272727272727271</v>
      </c>
      <c r="OG26" s="215">
        <f t="shared" si="166"/>
        <v>0.36</v>
      </c>
      <c r="OH26" s="188">
        <f t="shared" si="166"/>
        <v>0.27272727272727271</v>
      </c>
      <c r="OI26" s="215">
        <f t="shared" si="166"/>
        <v>0.36</v>
      </c>
      <c r="OJ26" s="188">
        <f t="shared" si="166"/>
        <v>0.27272727272727271</v>
      </c>
      <c r="OK26" s="215">
        <f t="shared" si="166"/>
        <v>0.36</v>
      </c>
      <c r="OL26" s="188">
        <f t="shared" si="166"/>
        <v>0.27272727272727271</v>
      </c>
      <c r="OM26" s="215">
        <f t="shared" si="166"/>
        <v>0.36</v>
      </c>
      <c r="ON26" s="188">
        <f t="shared" si="166"/>
        <v>0.27272727272727271</v>
      </c>
      <c r="OO26" s="215">
        <f t="shared" si="166"/>
        <v>0.36</v>
      </c>
      <c r="OP26" s="188">
        <f t="shared" si="166"/>
        <v>0.27272727272727271</v>
      </c>
      <c r="OQ26" s="215">
        <f>OQ25*OQ18</f>
        <v>0.36</v>
      </c>
      <c r="OR26" s="188">
        <f>OR25*OR18</f>
        <v>0.27272727272727271</v>
      </c>
      <c r="OS26" s="215">
        <f>OS25*OS18</f>
        <v>0.36</v>
      </c>
      <c r="OT26" s="188">
        <f>OT25*OT18</f>
        <v>0.27272727272727271</v>
      </c>
      <c r="OU26" s="215">
        <v>0</v>
      </c>
      <c r="OV26" s="188">
        <v>0</v>
      </c>
      <c r="OW26" s="215">
        <v>0</v>
      </c>
      <c r="OX26" s="188">
        <v>0</v>
      </c>
      <c r="OY26" s="215">
        <v>0</v>
      </c>
      <c r="OZ26" s="188">
        <v>0</v>
      </c>
      <c r="PA26" s="215">
        <v>0</v>
      </c>
      <c r="PB26" s="188">
        <v>0</v>
      </c>
      <c r="PC26" s="215">
        <v>0</v>
      </c>
      <c r="PD26" s="188">
        <v>0</v>
      </c>
      <c r="PE26" s="215">
        <v>0</v>
      </c>
      <c r="PF26" s="188">
        <v>0</v>
      </c>
      <c r="PG26" s="215">
        <v>0</v>
      </c>
      <c r="PH26" s="188">
        <v>0</v>
      </c>
      <c r="PI26" s="215">
        <f t="shared" si="166"/>
        <v>0.3</v>
      </c>
      <c r="PJ26" s="188">
        <f t="shared" si="166"/>
        <v>0.22727272727272727</v>
      </c>
      <c r="PK26" s="215">
        <f t="shared" si="166"/>
        <v>0.27599999999999997</v>
      </c>
      <c r="PL26" s="188">
        <f t="shared" si="166"/>
        <v>0.20909090909090905</v>
      </c>
      <c r="PM26" s="215">
        <f t="shared" ref="PM26:PP26" si="167">PM25*PM18</f>
        <v>0</v>
      </c>
      <c r="PN26" s="188">
        <f t="shared" si="167"/>
        <v>0</v>
      </c>
      <c r="PO26" s="215">
        <f t="shared" si="167"/>
        <v>0</v>
      </c>
      <c r="PP26" s="188">
        <f t="shared" si="167"/>
        <v>0</v>
      </c>
      <c r="PR26" s="215">
        <f t="shared" ref="PR26:QC26" si="168">PR25*PR18</f>
        <v>0</v>
      </c>
      <c r="PS26" s="188">
        <f t="shared" si="168"/>
        <v>0</v>
      </c>
      <c r="PT26" s="215">
        <f t="shared" si="168"/>
        <v>0</v>
      </c>
      <c r="PU26" s="188">
        <f t="shared" si="168"/>
        <v>0</v>
      </c>
      <c r="PV26" s="215">
        <f t="shared" si="168"/>
        <v>0</v>
      </c>
      <c r="PW26" s="188">
        <f t="shared" si="168"/>
        <v>0</v>
      </c>
      <c r="PX26" s="215">
        <f t="shared" si="168"/>
        <v>0</v>
      </c>
      <c r="PY26" s="188">
        <f t="shared" si="168"/>
        <v>0</v>
      </c>
      <c r="PZ26" s="215">
        <f t="shared" si="168"/>
        <v>0</v>
      </c>
      <c r="QA26" s="188">
        <f t="shared" si="168"/>
        <v>0</v>
      </c>
      <c r="QB26" s="215">
        <f t="shared" si="168"/>
        <v>0</v>
      </c>
      <c r="QC26" s="188">
        <f t="shared" si="168"/>
        <v>0</v>
      </c>
      <c r="QF26" s="215">
        <f t="shared" ref="QF26:QQ26" si="169">QF25*QF18</f>
        <v>0</v>
      </c>
      <c r="QG26" s="188">
        <f t="shared" si="169"/>
        <v>0</v>
      </c>
      <c r="QH26" s="215">
        <f t="shared" si="169"/>
        <v>0</v>
      </c>
      <c r="QI26" s="188">
        <f t="shared" si="169"/>
        <v>0</v>
      </c>
      <c r="QJ26" s="215">
        <f t="shared" si="169"/>
        <v>0</v>
      </c>
      <c r="QK26" s="188">
        <f t="shared" si="169"/>
        <v>0</v>
      </c>
      <c r="QL26" s="215">
        <f t="shared" si="169"/>
        <v>0</v>
      </c>
      <c r="QM26" s="188">
        <f t="shared" si="169"/>
        <v>0</v>
      </c>
      <c r="QN26" s="215">
        <f t="shared" si="169"/>
        <v>0</v>
      </c>
      <c r="QO26" s="188">
        <f t="shared" si="169"/>
        <v>0</v>
      </c>
      <c r="QP26" s="215">
        <f t="shared" si="169"/>
        <v>0</v>
      </c>
      <c r="QQ26" s="188">
        <f t="shared" si="169"/>
        <v>0</v>
      </c>
    </row>
    <row r="27" spans="1:459" x14ac:dyDescent="0.45">
      <c r="A27" s="876"/>
      <c r="B27" s="251" t="s">
        <v>335</v>
      </c>
      <c r="C27" s="252"/>
      <c r="D27" s="253"/>
      <c r="E27" s="254"/>
      <c r="F27" s="255">
        <f t="shared" ref="F27:BQ27" si="170">F28/F18</f>
        <v>0</v>
      </c>
      <c r="G27" s="256">
        <f t="shared" si="170"/>
        <v>0</v>
      </c>
      <c r="H27" s="255">
        <f t="shared" si="170"/>
        <v>0</v>
      </c>
      <c r="I27" s="256">
        <f t="shared" si="170"/>
        <v>0</v>
      </c>
      <c r="J27" s="255">
        <f t="shared" si="170"/>
        <v>0</v>
      </c>
      <c r="K27" s="256">
        <f t="shared" si="170"/>
        <v>0</v>
      </c>
      <c r="L27" s="255">
        <f t="shared" si="170"/>
        <v>0</v>
      </c>
      <c r="M27" s="256">
        <f t="shared" si="170"/>
        <v>0</v>
      </c>
      <c r="N27" s="255">
        <f t="shared" si="170"/>
        <v>0</v>
      </c>
      <c r="O27" s="256">
        <f t="shared" si="170"/>
        <v>0</v>
      </c>
      <c r="P27" s="255">
        <f t="shared" si="170"/>
        <v>0</v>
      </c>
      <c r="Q27" s="256">
        <f t="shared" si="170"/>
        <v>0</v>
      </c>
      <c r="R27" s="255">
        <f t="shared" si="170"/>
        <v>0</v>
      </c>
      <c r="S27" s="256">
        <f t="shared" si="170"/>
        <v>0</v>
      </c>
      <c r="T27" s="255">
        <f t="shared" si="170"/>
        <v>0</v>
      </c>
      <c r="U27" s="256">
        <f t="shared" si="170"/>
        <v>0</v>
      </c>
      <c r="V27" s="255">
        <f t="shared" si="170"/>
        <v>0</v>
      </c>
      <c r="W27" s="256">
        <f t="shared" si="170"/>
        <v>0</v>
      </c>
      <c r="X27" s="255">
        <f t="shared" si="170"/>
        <v>0</v>
      </c>
      <c r="Y27" s="256">
        <f t="shared" si="170"/>
        <v>0</v>
      </c>
      <c r="Z27" s="255">
        <f t="shared" si="170"/>
        <v>0</v>
      </c>
      <c r="AA27" s="256">
        <f t="shared" si="170"/>
        <v>0</v>
      </c>
      <c r="AB27" s="255">
        <f t="shared" si="170"/>
        <v>0</v>
      </c>
      <c r="AC27" s="256">
        <f t="shared" si="170"/>
        <v>0</v>
      </c>
      <c r="AD27" s="255">
        <f t="shared" si="170"/>
        <v>0</v>
      </c>
      <c r="AE27" s="256">
        <f t="shared" si="170"/>
        <v>0</v>
      </c>
      <c r="AF27" s="255">
        <f t="shared" si="170"/>
        <v>0</v>
      </c>
      <c r="AG27" s="256">
        <f t="shared" si="170"/>
        <v>0</v>
      </c>
      <c r="AH27" s="255">
        <f t="shared" si="170"/>
        <v>0</v>
      </c>
      <c r="AI27" s="256">
        <f t="shared" si="170"/>
        <v>0</v>
      </c>
      <c r="AJ27" s="255">
        <f t="shared" si="170"/>
        <v>0</v>
      </c>
      <c r="AK27" s="256">
        <f t="shared" si="170"/>
        <v>0</v>
      </c>
      <c r="AL27" s="255">
        <f t="shared" si="170"/>
        <v>0</v>
      </c>
      <c r="AM27" s="256">
        <f t="shared" si="170"/>
        <v>0</v>
      </c>
      <c r="AN27" s="255">
        <f t="shared" si="170"/>
        <v>0</v>
      </c>
      <c r="AO27" s="256">
        <f t="shared" si="170"/>
        <v>0</v>
      </c>
      <c r="AP27" s="255">
        <f t="shared" si="170"/>
        <v>0</v>
      </c>
      <c r="AQ27" s="256">
        <f t="shared" si="170"/>
        <v>0</v>
      </c>
      <c r="AR27" s="255">
        <f t="shared" si="170"/>
        <v>0</v>
      </c>
      <c r="AS27" s="256">
        <f t="shared" si="170"/>
        <v>0</v>
      </c>
      <c r="AT27" s="255">
        <f t="shared" si="170"/>
        <v>0</v>
      </c>
      <c r="AU27" s="256">
        <f t="shared" si="170"/>
        <v>0</v>
      </c>
      <c r="AV27" s="255">
        <f t="shared" si="170"/>
        <v>0</v>
      </c>
      <c r="AW27" s="256">
        <f t="shared" si="170"/>
        <v>0</v>
      </c>
      <c r="AX27" s="255">
        <f t="shared" si="170"/>
        <v>0</v>
      </c>
      <c r="AY27" s="256">
        <f t="shared" si="170"/>
        <v>0</v>
      </c>
      <c r="AZ27" s="255">
        <f t="shared" si="170"/>
        <v>0</v>
      </c>
      <c r="BA27" s="256">
        <f t="shared" si="170"/>
        <v>0</v>
      </c>
      <c r="BB27" s="255">
        <f t="shared" si="170"/>
        <v>0</v>
      </c>
      <c r="BC27" s="256">
        <f t="shared" si="170"/>
        <v>0</v>
      </c>
      <c r="BD27" s="255">
        <f t="shared" si="170"/>
        <v>0</v>
      </c>
      <c r="BE27" s="256">
        <f t="shared" si="170"/>
        <v>0</v>
      </c>
      <c r="BF27" s="255">
        <f t="shared" si="170"/>
        <v>0</v>
      </c>
      <c r="BG27" s="256">
        <f t="shared" si="170"/>
        <v>0</v>
      </c>
      <c r="BH27" s="255">
        <f t="shared" si="170"/>
        <v>0</v>
      </c>
      <c r="BI27" s="256">
        <f t="shared" si="170"/>
        <v>0</v>
      </c>
      <c r="BJ27" s="255">
        <f t="shared" si="170"/>
        <v>0</v>
      </c>
      <c r="BK27" s="256">
        <f t="shared" si="170"/>
        <v>0</v>
      </c>
      <c r="BL27" s="255">
        <f t="shared" si="170"/>
        <v>0</v>
      </c>
      <c r="BM27" s="256">
        <f t="shared" si="170"/>
        <v>0</v>
      </c>
      <c r="BN27" s="255">
        <f t="shared" si="170"/>
        <v>0</v>
      </c>
      <c r="BO27" s="256">
        <f t="shared" si="170"/>
        <v>0</v>
      </c>
      <c r="BP27" s="255">
        <f t="shared" si="170"/>
        <v>0</v>
      </c>
      <c r="BQ27" s="256">
        <f t="shared" si="170"/>
        <v>0</v>
      </c>
      <c r="BR27" s="255">
        <f t="shared" ref="BR27:CS27" si="171">BR28/BR18</f>
        <v>0</v>
      </c>
      <c r="BS27" s="256">
        <f t="shared" si="171"/>
        <v>0</v>
      </c>
      <c r="BT27" s="255">
        <f t="shared" si="171"/>
        <v>0</v>
      </c>
      <c r="BU27" s="256">
        <f t="shared" si="171"/>
        <v>0</v>
      </c>
      <c r="BV27" s="255">
        <f t="shared" si="171"/>
        <v>0</v>
      </c>
      <c r="BW27" s="256">
        <f t="shared" si="171"/>
        <v>0</v>
      </c>
      <c r="BX27" s="255">
        <f t="shared" si="171"/>
        <v>0</v>
      </c>
      <c r="BY27" s="256">
        <f t="shared" si="171"/>
        <v>0</v>
      </c>
      <c r="BZ27" s="255">
        <f t="shared" si="171"/>
        <v>0</v>
      </c>
      <c r="CA27" s="256">
        <f t="shared" si="171"/>
        <v>0</v>
      </c>
      <c r="CB27" s="255">
        <f t="shared" si="171"/>
        <v>0</v>
      </c>
      <c r="CC27" s="256">
        <f t="shared" si="171"/>
        <v>0</v>
      </c>
      <c r="CD27" s="255">
        <f t="shared" si="171"/>
        <v>0</v>
      </c>
      <c r="CE27" s="256">
        <f t="shared" si="171"/>
        <v>0</v>
      </c>
      <c r="CF27" s="255">
        <f t="shared" si="171"/>
        <v>0</v>
      </c>
      <c r="CG27" s="256">
        <f t="shared" si="171"/>
        <v>0</v>
      </c>
      <c r="CH27" s="255">
        <f t="shared" si="171"/>
        <v>0</v>
      </c>
      <c r="CI27" s="256">
        <f t="shared" si="171"/>
        <v>0</v>
      </c>
      <c r="CJ27" s="255">
        <f t="shared" si="171"/>
        <v>0</v>
      </c>
      <c r="CK27" s="256">
        <f t="shared" si="171"/>
        <v>0</v>
      </c>
      <c r="CL27" s="255">
        <f t="shared" si="171"/>
        <v>0</v>
      </c>
      <c r="CM27" s="256">
        <f t="shared" si="171"/>
        <v>0</v>
      </c>
      <c r="CN27" s="255">
        <f t="shared" si="171"/>
        <v>0</v>
      </c>
      <c r="CO27" s="256">
        <f t="shared" si="171"/>
        <v>0</v>
      </c>
      <c r="CP27" s="255">
        <f t="shared" si="171"/>
        <v>3.0707196029776673E-2</v>
      </c>
      <c r="CQ27" s="256">
        <f t="shared" si="171"/>
        <v>3.0707196029776677E-2</v>
      </c>
      <c r="CR27" s="255">
        <f t="shared" si="171"/>
        <v>2.8846153846153848E-2</v>
      </c>
      <c r="CS27" s="256">
        <f t="shared" si="171"/>
        <v>2.8846153846153848E-2</v>
      </c>
      <c r="CT27" s="257"/>
      <c r="CU27" s="255">
        <f t="shared" ref="CU27:DB27" si="172">CU28/CU18</f>
        <v>0</v>
      </c>
      <c r="CV27" s="256">
        <f t="shared" si="172"/>
        <v>0</v>
      </c>
      <c r="CW27" s="255">
        <f t="shared" si="172"/>
        <v>0</v>
      </c>
      <c r="CX27" s="256">
        <f t="shared" si="172"/>
        <v>0</v>
      </c>
      <c r="CY27" s="255">
        <f t="shared" si="172"/>
        <v>0</v>
      </c>
      <c r="CZ27" s="256">
        <f t="shared" si="172"/>
        <v>0</v>
      </c>
      <c r="DA27" s="255">
        <f t="shared" si="172"/>
        <v>0</v>
      </c>
      <c r="DB27" s="256">
        <f t="shared" si="172"/>
        <v>0</v>
      </c>
      <c r="DC27" s="255">
        <f>DC28/DC18</f>
        <v>0</v>
      </c>
      <c r="DD27" s="256">
        <f>DD28/DD18</f>
        <v>0</v>
      </c>
      <c r="DE27" s="255">
        <f t="shared" ref="DE27:FP27" si="173">DE28/DE18</f>
        <v>0</v>
      </c>
      <c r="DF27" s="256">
        <f t="shared" si="173"/>
        <v>0</v>
      </c>
      <c r="DG27" s="255">
        <f t="shared" si="173"/>
        <v>0</v>
      </c>
      <c r="DH27" s="256">
        <f t="shared" si="173"/>
        <v>0</v>
      </c>
      <c r="DI27" s="255">
        <f t="shared" si="173"/>
        <v>0</v>
      </c>
      <c r="DJ27" s="256">
        <f t="shared" si="173"/>
        <v>0</v>
      </c>
      <c r="DK27" s="255">
        <f t="shared" si="173"/>
        <v>0</v>
      </c>
      <c r="DL27" s="256">
        <f t="shared" si="173"/>
        <v>0</v>
      </c>
      <c r="DM27" s="255">
        <f t="shared" si="173"/>
        <v>0</v>
      </c>
      <c r="DN27" s="256">
        <f t="shared" si="173"/>
        <v>0</v>
      </c>
      <c r="DO27" s="255">
        <f t="shared" si="173"/>
        <v>0</v>
      </c>
      <c r="DP27" s="256">
        <f t="shared" si="173"/>
        <v>0</v>
      </c>
      <c r="DQ27" s="255">
        <f t="shared" si="173"/>
        <v>0</v>
      </c>
      <c r="DR27" s="256">
        <f t="shared" si="173"/>
        <v>0</v>
      </c>
      <c r="DS27" s="255">
        <f t="shared" si="173"/>
        <v>0</v>
      </c>
      <c r="DT27" s="256">
        <f t="shared" si="173"/>
        <v>0</v>
      </c>
      <c r="DU27" s="255">
        <f t="shared" si="173"/>
        <v>0</v>
      </c>
      <c r="DV27" s="256">
        <f t="shared" si="173"/>
        <v>0</v>
      </c>
      <c r="DW27" s="255">
        <f t="shared" si="173"/>
        <v>0</v>
      </c>
      <c r="DX27" s="256">
        <f t="shared" si="173"/>
        <v>0</v>
      </c>
      <c r="DY27" s="255">
        <f t="shared" si="173"/>
        <v>0</v>
      </c>
      <c r="DZ27" s="256">
        <f t="shared" si="173"/>
        <v>0</v>
      </c>
      <c r="EA27" s="255">
        <f t="shared" si="173"/>
        <v>0</v>
      </c>
      <c r="EB27" s="256">
        <f t="shared" si="173"/>
        <v>0</v>
      </c>
      <c r="EC27" s="255">
        <f t="shared" si="173"/>
        <v>0</v>
      </c>
      <c r="ED27" s="256">
        <f t="shared" si="173"/>
        <v>0</v>
      </c>
      <c r="EE27" s="255">
        <f t="shared" si="173"/>
        <v>0</v>
      </c>
      <c r="EF27" s="256">
        <f t="shared" si="173"/>
        <v>0</v>
      </c>
      <c r="EG27" s="255">
        <f t="shared" si="173"/>
        <v>0</v>
      </c>
      <c r="EH27" s="256">
        <f t="shared" si="173"/>
        <v>0</v>
      </c>
      <c r="EI27" s="255">
        <f t="shared" si="173"/>
        <v>0</v>
      </c>
      <c r="EJ27" s="256">
        <f t="shared" si="173"/>
        <v>0</v>
      </c>
      <c r="EK27" s="255">
        <f t="shared" si="173"/>
        <v>0</v>
      </c>
      <c r="EL27" s="256">
        <f t="shared" si="173"/>
        <v>0</v>
      </c>
      <c r="EM27" s="255">
        <f t="shared" si="173"/>
        <v>0</v>
      </c>
      <c r="EN27" s="256">
        <f t="shared" si="173"/>
        <v>0</v>
      </c>
      <c r="EO27" s="255">
        <f t="shared" si="173"/>
        <v>0</v>
      </c>
      <c r="EP27" s="256">
        <f t="shared" si="173"/>
        <v>0</v>
      </c>
      <c r="EQ27" s="255">
        <f t="shared" si="173"/>
        <v>0</v>
      </c>
      <c r="ER27" s="256">
        <f t="shared" si="173"/>
        <v>0</v>
      </c>
      <c r="ES27" s="255">
        <f t="shared" si="173"/>
        <v>0</v>
      </c>
      <c r="ET27" s="256">
        <f t="shared" si="173"/>
        <v>0</v>
      </c>
      <c r="EU27" s="255">
        <f t="shared" si="173"/>
        <v>0</v>
      </c>
      <c r="EV27" s="256">
        <f t="shared" si="173"/>
        <v>0</v>
      </c>
      <c r="EW27" s="255">
        <f t="shared" si="173"/>
        <v>0</v>
      </c>
      <c r="EX27" s="256">
        <f t="shared" si="173"/>
        <v>0</v>
      </c>
      <c r="EY27" s="255">
        <f t="shared" si="173"/>
        <v>0</v>
      </c>
      <c r="EZ27" s="256">
        <f t="shared" si="173"/>
        <v>0</v>
      </c>
      <c r="FA27" s="255">
        <f t="shared" si="173"/>
        <v>0</v>
      </c>
      <c r="FB27" s="256">
        <f t="shared" si="173"/>
        <v>0</v>
      </c>
      <c r="FC27" s="255">
        <f t="shared" si="173"/>
        <v>0</v>
      </c>
      <c r="FD27" s="256">
        <f t="shared" si="173"/>
        <v>0</v>
      </c>
      <c r="FE27" s="255">
        <f t="shared" si="173"/>
        <v>0</v>
      </c>
      <c r="FF27" s="256">
        <f t="shared" si="173"/>
        <v>0</v>
      </c>
      <c r="FG27" s="255">
        <f t="shared" si="173"/>
        <v>0</v>
      </c>
      <c r="FH27" s="256">
        <f t="shared" si="173"/>
        <v>0</v>
      </c>
      <c r="FI27" s="255">
        <f t="shared" si="173"/>
        <v>0</v>
      </c>
      <c r="FJ27" s="256">
        <f t="shared" si="173"/>
        <v>0</v>
      </c>
      <c r="FK27" s="255">
        <f t="shared" si="173"/>
        <v>0</v>
      </c>
      <c r="FL27" s="256">
        <f t="shared" si="173"/>
        <v>0</v>
      </c>
      <c r="FM27" s="255">
        <f t="shared" si="173"/>
        <v>0</v>
      </c>
      <c r="FN27" s="256">
        <f t="shared" si="173"/>
        <v>0</v>
      </c>
      <c r="FO27" s="255">
        <f t="shared" si="173"/>
        <v>0</v>
      </c>
      <c r="FP27" s="256">
        <f t="shared" si="173"/>
        <v>0</v>
      </c>
      <c r="FQ27" s="254"/>
      <c r="FR27" s="255">
        <f t="shared" ref="FR27:IC27" si="174">FR28/FR18</f>
        <v>0</v>
      </c>
      <c r="FS27" s="256">
        <f t="shared" si="174"/>
        <v>0</v>
      </c>
      <c r="FT27" s="255">
        <f t="shared" si="174"/>
        <v>0</v>
      </c>
      <c r="FU27" s="256">
        <f t="shared" si="174"/>
        <v>0</v>
      </c>
      <c r="FV27" s="255">
        <f t="shared" si="174"/>
        <v>0</v>
      </c>
      <c r="FW27" s="256">
        <f t="shared" si="174"/>
        <v>0</v>
      </c>
      <c r="FX27" s="255">
        <f t="shared" si="174"/>
        <v>0</v>
      </c>
      <c r="FY27" s="256">
        <f t="shared" si="174"/>
        <v>0</v>
      </c>
      <c r="FZ27" s="255">
        <f t="shared" si="174"/>
        <v>0</v>
      </c>
      <c r="GA27" s="256">
        <f t="shared" si="174"/>
        <v>0</v>
      </c>
      <c r="GB27" s="255">
        <f t="shared" si="174"/>
        <v>0</v>
      </c>
      <c r="GC27" s="256">
        <f t="shared" si="174"/>
        <v>0</v>
      </c>
      <c r="GD27" s="255">
        <f t="shared" si="174"/>
        <v>0</v>
      </c>
      <c r="GE27" s="256">
        <f t="shared" si="174"/>
        <v>0</v>
      </c>
      <c r="GF27" s="255">
        <f t="shared" si="174"/>
        <v>0</v>
      </c>
      <c r="GG27" s="256">
        <f t="shared" si="174"/>
        <v>0</v>
      </c>
      <c r="GH27" s="255">
        <f t="shared" si="174"/>
        <v>0</v>
      </c>
      <c r="GI27" s="256">
        <f t="shared" si="174"/>
        <v>0</v>
      </c>
      <c r="GJ27" s="255">
        <f t="shared" si="174"/>
        <v>0</v>
      </c>
      <c r="GK27" s="256">
        <f t="shared" si="174"/>
        <v>0</v>
      </c>
      <c r="GL27" s="255">
        <f t="shared" si="174"/>
        <v>0</v>
      </c>
      <c r="GM27" s="256">
        <f t="shared" si="174"/>
        <v>0</v>
      </c>
      <c r="GN27" s="255">
        <f t="shared" si="174"/>
        <v>0</v>
      </c>
      <c r="GO27" s="256">
        <f t="shared" si="174"/>
        <v>0</v>
      </c>
      <c r="GP27" s="255">
        <f t="shared" si="174"/>
        <v>0</v>
      </c>
      <c r="GQ27" s="256">
        <f t="shared" si="174"/>
        <v>0</v>
      </c>
      <c r="GR27" s="255">
        <f t="shared" si="174"/>
        <v>0</v>
      </c>
      <c r="GS27" s="256">
        <f t="shared" si="174"/>
        <v>0</v>
      </c>
      <c r="GT27" s="255">
        <f t="shared" si="174"/>
        <v>0</v>
      </c>
      <c r="GU27" s="256">
        <f t="shared" si="174"/>
        <v>0</v>
      </c>
      <c r="GV27" s="255">
        <f t="shared" si="174"/>
        <v>0</v>
      </c>
      <c r="GW27" s="256">
        <f t="shared" si="174"/>
        <v>0</v>
      </c>
      <c r="GX27" s="255">
        <f t="shared" si="174"/>
        <v>0</v>
      </c>
      <c r="GY27" s="256">
        <f t="shared" si="174"/>
        <v>0</v>
      </c>
      <c r="GZ27" s="255">
        <f t="shared" si="174"/>
        <v>0</v>
      </c>
      <c r="HA27" s="256">
        <f t="shared" si="174"/>
        <v>0</v>
      </c>
      <c r="HB27" s="255">
        <f t="shared" si="174"/>
        <v>0</v>
      </c>
      <c r="HC27" s="256">
        <f t="shared" si="174"/>
        <v>0</v>
      </c>
      <c r="HD27" s="255">
        <f t="shared" si="174"/>
        <v>0</v>
      </c>
      <c r="HE27" s="256">
        <f t="shared" si="174"/>
        <v>0</v>
      </c>
      <c r="HF27" s="255">
        <f t="shared" si="174"/>
        <v>0</v>
      </c>
      <c r="HG27" s="256">
        <f t="shared" si="174"/>
        <v>0</v>
      </c>
      <c r="HH27" s="255">
        <f t="shared" si="174"/>
        <v>0</v>
      </c>
      <c r="HI27" s="256">
        <f t="shared" si="174"/>
        <v>0</v>
      </c>
      <c r="HJ27" s="255">
        <f t="shared" si="174"/>
        <v>0</v>
      </c>
      <c r="HK27" s="256">
        <f t="shared" si="174"/>
        <v>0</v>
      </c>
      <c r="HL27" s="255">
        <f t="shared" si="174"/>
        <v>0</v>
      </c>
      <c r="HM27" s="256">
        <f t="shared" si="174"/>
        <v>0</v>
      </c>
      <c r="HN27" s="255">
        <f t="shared" si="174"/>
        <v>0</v>
      </c>
      <c r="HO27" s="256">
        <f t="shared" si="174"/>
        <v>0</v>
      </c>
      <c r="HP27" s="255">
        <f t="shared" si="174"/>
        <v>0</v>
      </c>
      <c r="HQ27" s="256">
        <f t="shared" si="174"/>
        <v>0</v>
      </c>
      <c r="HR27" s="255">
        <f t="shared" si="174"/>
        <v>0</v>
      </c>
      <c r="HS27" s="256">
        <f t="shared" si="174"/>
        <v>0</v>
      </c>
      <c r="HT27" s="255">
        <f t="shared" si="174"/>
        <v>0</v>
      </c>
      <c r="HU27" s="256">
        <f t="shared" si="174"/>
        <v>0</v>
      </c>
      <c r="HV27" s="255">
        <f t="shared" si="174"/>
        <v>0</v>
      </c>
      <c r="HW27" s="256">
        <f t="shared" si="174"/>
        <v>0</v>
      </c>
      <c r="HX27" s="255">
        <f t="shared" si="174"/>
        <v>0</v>
      </c>
      <c r="HY27" s="256">
        <f t="shared" si="174"/>
        <v>0</v>
      </c>
      <c r="HZ27" s="255">
        <f t="shared" si="174"/>
        <v>0</v>
      </c>
      <c r="IA27" s="256">
        <f t="shared" si="174"/>
        <v>0</v>
      </c>
      <c r="IB27" s="255">
        <f t="shared" si="174"/>
        <v>0</v>
      </c>
      <c r="IC27" s="256">
        <f t="shared" si="174"/>
        <v>0</v>
      </c>
      <c r="ID27" s="255">
        <f t="shared" ref="ID27:IY27" si="175">ID28/ID18</f>
        <v>0</v>
      </c>
      <c r="IE27" s="256">
        <f t="shared" si="175"/>
        <v>0</v>
      </c>
      <c r="IF27" s="255">
        <f t="shared" si="175"/>
        <v>0</v>
      </c>
      <c r="IG27" s="256">
        <f t="shared" si="175"/>
        <v>0</v>
      </c>
      <c r="IH27" s="255">
        <f t="shared" si="175"/>
        <v>0</v>
      </c>
      <c r="II27" s="256">
        <f t="shared" si="175"/>
        <v>0</v>
      </c>
      <c r="IJ27" s="255">
        <f t="shared" si="175"/>
        <v>0</v>
      </c>
      <c r="IK27" s="256">
        <f t="shared" si="175"/>
        <v>0</v>
      </c>
      <c r="IL27" s="255">
        <f t="shared" si="175"/>
        <v>0</v>
      </c>
      <c r="IM27" s="256">
        <f t="shared" si="175"/>
        <v>0</v>
      </c>
      <c r="IN27" s="255">
        <f t="shared" si="175"/>
        <v>0</v>
      </c>
      <c r="IO27" s="256">
        <f t="shared" si="175"/>
        <v>0</v>
      </c>
      <c r="IP27" s="255">
        <f t="shared" si="175"/>
        <v>0</v>
      </c>
      <c r="IQ27" s="256">
        <f t="shared" si="175"/>
        <v>0</v>
      </c>
      <c r="IR27" s="255">
        <f t="shared" si="175"/>
        <v>0</v>
      </c>
      <c r="IS27" s="256">
        <f t="shared" si="175"/>
        <v>0</v>
      </c>
      <c r="IT27" s="255">
        <f t="shared" si="175"/>
        <v>0</v>
      </c>
      <c r="IU27" s="256">
        <f t="shared" si="175"/>
        <v>0</v>
      </c>
      <c r="IV27" s="255">
        <f t="shared" si="175"/>
        <v>0</v>
      </c>
      <c r="IW27" s="256">
        <f t="shared" si="175"/>
        <v>0</v>
      </c>
      <c r="IX27" s="255">
        <f t="shared" si="175"/>
        <v>0</v>
      </c>
      <c r="IY27" s="256">
        <f t="shared" si="175"/>
        <v>0</v>
      </c>
      <c r="IZ27" s="254"/>
      <c r="JA27" s="258">
        <f>JA28/JA18</f>
        <v>9.0909090909090925E-2</v>
      </c>
      <c r="JB27" s="259">
        <f>JB28/JB18</f>
        <v>9.0909090909090912E-2</v>
      </c>
      <c r="JC27" s="255">
        <f>JC28/JC18</f>
        <v>0</v>
      </c>
      <c r="JD27" s="256">
        <f>JD28/JD18</f>
        <v>0</v>
      </c>
      <c r="JE27" s="254"/>
      <c r="JF27" s="255">
        <f t="shared" ref="JF27:LQ27" si="176">JF28/JF18</f>
        <v>0</v>
      </c>
      <c r="JG27" s="256">
        <f t="shared" si="176"/>
        <v>0</v>
      </c>
      <c r="JH27" s="255">
        <f t="shared" si="176"/>
        <v>0</v>
      </c>
      <c r="JI27" s="256">
        <f t="shared" si="176"/>
        <v>0</v>
      </c>
      <c r="JJ27" s="255">
        <f t="shared" si="176"/>
        <v>0</v>
      </c>
      <c r="JK27" s="256">
        <f t="shared" si="176"/>
        <v>0</v>
      </c>
      <c r="JL27" s="255">
        <f t="shared" si="176"/>
        <v>0</v>
      </c>
      <c r="JM27" s="256">
        <f t="shared" si="176"/>
        <v>0</v>
      </c>
      <c r="JN27" s="255">
        <f t="shared" si="176"/>
        <v>0</v>
      </c>
      <c r="JO27" s="256">
        <f t="shared" si="176"/>
        <v>0</v>
      </c>
      <c r="JP27" s="255">
        <f t="shared" si="176"/>
        <v>0</v>
      </c>
      <c r="JQ27" s="256">
        <f t="shared" si="176"/>
        <v>0</v>
      </c>
      <c r="JR27" s="255">
        <f t="shared" si="176"/>
        <v>0</v>
      </c>
      <c r="JS27" s="256">
        <f t="shared" si="176"/>
        <v>0</v>
      </c>
      <c r="JT27" s="255">
        <f t="shared" si="176"/>
        <v>0</v>
      </c>
      <c r="JU27" s="256">
        <f t="shared" si="176"/>
        <v>0</v>
      </c>
      <c r="JV27" s="255">
        <f t="shared" si="176"/>
        <v>0</v>
      </c>
      <c r="JW27" s="256">
        <f t="shared" si="176"/>
        <v>0</v>
      </c>
      <c r="JX27" s="255">
        <f t="shared" si="176"/>
        <v>0</v>
      </c>
      <c r="JY27" s="256">
        <f t="shared" si="176"/>
        <v>0</v>
      </c>
      <c r="JZ27" s="255">
        <f t="shared" si="176"/>
        <v>0</v>
      </c>
      <c r="KA27" s="256">
        <f t="shared" si="176"/>
        <v>0</v>
      </c>
      <c r="KB27" s="255">
        <f t="shared" si="176"/>
        <v>0</v>
      </c>
      <c r="KC27" s="256">
        <f t="shared" si="176"/>
        <v>0</v>
      </c>
      <c r="KD27" s="255">
        <f t="shared" si="176"/>
        <v>0</v>
      </c>
      <c r="KE27" s="256">
        <f t="shared" si="176"/>
        <v>0</v>
      </c>
      <c r="KF27" s="255">
        <f t="shared" si="176"/>
        <v>0</v>
      </c>
      <c r="KG27" s="256">
        <f t="shared" si="176"/>
        <v>0</v>
      </c>
      <c r="KH27" s="255">
        <f t="shared" si="176"/>
        <v>0</v>
      </c>
      <c r="KI27" s="256">
        <f t="shared" si="176"/>
        <v>0</v>
      </c>
      <c r="KJ27" s="255">
        <f t="shared" si="176"/>
        <v>0</v>
      </c>
      <c r="KK27" s="256">
        <f t="shared" si="176"/>
        <v>0</v>
      </c>
      <c r="KL27" s="255">
        <f t="shared" si="176"/>
        <v>0</v>
      </c>
      <c r="KM27" s="256">
        <f t="shared" si="176"/>
        <v>0</v>
      </c>
      <c r="KN27" s="255">
        <f t="shared" si="176"/>
        <v>0</v>
      </c>
      <c r="KO27" s="256">
        <f t="shared" si="176"/>
        <v>0</v>
      </c>
      <c r="KP27" s="255">
        <f t="shared" si="176"/>
        <v>0</v>
      </c>
      <c r="KQ27" s="256">
        <f t="shared" si="176"/>
        <v>0</v>
      </c>
      <c r="KR27" s="255">
        <f t="shared" si="176"/>
        <v>0</v>
      </c>
      <c r="KS27" s="256">
        <f t="shared" si="176"/>
        <v>0</v>
      </c>
      <c r="KT27" s="255">
        <f t="shared" si="176"/>
        <v>0</v>
      </c>
      <c r="KU27" s="256">
        <f t="shared" si="176"/>
        <v>0</v>
      </c>
      <c r="KV27" s="255">
        <f t="shared" si="176"/>
        <v>0</v>
      </c>
      <c r="KW27" s="256">
        <f t="shared" si="176"/>
        <v>0</v>
      </c>
      <c r="KX27" s="255">
        <f t="shared" si="176"/>
        <v>0</v>
      </c>
      <c r="KY27" s="256">
        <f t="shared" si="176"/>
        <v>0</v>
      </c>
      <c r="KZ27" s="255">
        <f t="shared" si="176"/>
        <v>0</v>
      </c>
      <c r="LA27" s="256">
        <f t="shared" si="176"/>
        <v>0</v>
      </c>
      <c r="LB27" s="255">
        <f t="shared" si="176"/>
        <v>0</v>
      </c>
      <c r="LC27" s="256">
        <f t="shared" si="176"/>
        <v>0</v>
      </c>
      <c r="LD27" s="255">
        <f t="shared" si="176"/>
        <v>0</v>
      </c>
      <c r="LE27" s="256">
        <f t="shared" si="176"/>
        <v>0</v>
      </c>
      <c r="LF27" s="255">
        <f t="shared" si="176"/>
        <v>0</v>
      </c>
      <c r="LG27" s="256">
        <f t="shared" si="176"/>
        <v>0</v>
      </c>
      <c r="LH27" s="255">
        <f t="shared" si="176"/>
        <v>0</v>
      </c>
      <c r="LI27" s="256">
        <f t="shared" si="176"/>
        <v>0</v>
      </c>
      <c r="LJ27" s="255">
        <f t="shared" si="176"/>
        <v>0</v>
      </c>
      <c r="LK27" s="256">
        <f t="shared" si="176"/>
        <v>0</v>
      </c>
      <c r="LL27" s="255">
        <f t="shared" si="176"/>
        <v>0</v>
      </c>
      <c r="LM27" s="256">
        <f t="shared" si="176"/>
        <v>0</v>
      </c>
      <c r="LN27" s="255">
        <f t="shared" si="176"/>
        <v>0</v>
      </c>
      <c r="LO27" s="256">
        <f t="shared" si="176"/>
        <v>0</v>
      </c>
      <c r="LP27" s="255">
        <f t="shared" si="176"/>
        <v>0</v>
      </c>
      <c r="LQ27" s="256">
        <f t="shared" si="176"/>
        <v>0</v>
      </c>
      <c r="LR27" s="255">
        <f t="shared" ref="LR27:MG27" si="177">LR28/LR18</f>
        <v>0</v>
      </c>
      <c r="LS27" s="256">
        <f t="shared" si="177"/>
        <v>0</v>
      </c>
      <c r="LT27" s="255">
        <f t="shared" si="177"/>
        <v>0</v>
      </c>
      <c r="LU27" s="256">
        <f t="shared" si="177"/>
        <v>0</v>
      </c>
      <c r="LV27" s="255">
        <f t="shared" si="177"/>
        <v>0</v>
      </c>
      <c r="LW27" s="256">
        <f t="shared" si="177"/>
        <v>0</v>
      </c>
      <c r="LX27" s="255">
        <f t="shared" si="177"/>
        <v>0</v>
      </c>
      <c r="LY27" s="256">
        <f t="shared" si="177"/>
        <v>0</v>
      </c>
      <c r="LZ27" s="255">
        <f t="shared" si="177"/>
        <v>0</v>
      </c>
      <c r="MA27" s="256">
        <f t="shared" si="177"/>
        <v>0</v>
      </c>
      <c r="MB27" s="255">
        <f t="shared" si="177"/>
        <v>0</v>
      </c>
      <c r="MC27" s="256">
        <f t="shared" si="177"/>
        <v>0</v>
      </c>
      <c r="MD27" s="255">
        <f t="shared" si="177"/>
        <v>0</v>
      </c>
      <c r="ME27" s="256">
        <f t="shared" si="177"/>
        <v>0</v>
      </c>
      <c r="MF27" s="255">
        <f t="shared" si="177"/>
        <v>0</v>
      </c>
      <c r="MG27" s="256">
        <f t="shared" si="177"/>
        <v>0</v>
      </c>
      <c r="MH27" s="254"/>
      <c r="MI27" s="255">
        <f t="shared" ref="MI27:PL27" si="178">MI28/MI18</f>
        <v>0</v>
      </c>
      <c r="MJ27" s="256">
        <f t="shared" si="178"/>
        <v>0</v>
      </c>
      <c r="MK27" s="255">
        <f t="shared" si="178"/>
        <v>0</v>
      </c>
      <c r="ML27" s="256">
        <f t="shared" si="178"/>
        <v>0</v>
      </c>
      <c r="MM27" s="255">
        <f t="shared" si="178"/>
        <v>0</v>
      </c>
      <c r="MN27" s="256">
        <f t="shared" si="178"/>
        <v>0</v>
      </c>
      <c r="MO27" s="255">
        <f t="shared" si="178"/>
        <v>0</v>
      </c>
      <c r="MP27" s="256">
        <f t="shared" si="178"/>
        <v>0</v>
      </c>
      <c r="MQ27" s="255">
        <f t="shared" si="178"/>
        <v>0</v>
      </c>
      <c r="MR27" s="256">
        <f t="shared" si="178"/>
        <v>0</v>
      </c>
      <c r="MS27" s="255">
        <f t="shared" si="178"/>
        <v>0</v>
      </c>
      <c r="MT27" s="256">
        <f t="shared" si="178"/>
        <v>0</v>
      </c>
      <c r="MU27" s="255">
        <f t="shared" si="178"/>
        <v>0</v>
      </c>
      <c r="MV27" s="256">
        <f t="shared" si="178"/>
        <v>0</v>
      </c>
      <c r="MW27" s="255">
        <f t="shared" si="178"/>
        <v>0</v>
      </c>
      <c r="MX27" s="256">
        <f t="shared" si="178"/>
        <v>0</v>
      </c>
      <c r="MY27" s="255">
        <f t="shared" si="178"/>
        <v>0</v>
      </c>
      <c r="MZ27" s="256">
        <f t="shared" si="178"/>
        <v>0</v>
      </c>
      <c r="NA27" s="255">
        <f t="shared" si="178"/>
        <v>0</v>
      </c>
      <c r="NB27" s="256">
        <f t="shared" si="178"/>
        <v>0</v>
      </c>
      <c r="NC27" s="255">
        <f t="shared" si="178"/>
        <v>0</v>
      </c>
      <c r="ND27" s="256">
        <f t="shared" si="178"/>
        <v>0</v>
      </c>
      <c r="NE27" s="255">
        <f t="shared" si="178"/>
        <v>0</v>
      </c>
      <c r="NF27" s="256">
        <f t="shared" si="178"/>
        <v>0</v>
      </c>
      <c r="NG27" s="255">
        <f t="shared" si="178"/>
        <v>0</v>
      </c>
      <c r="NH27" s="256">
        <f t="shared" si="178"/>
        <v>0</v>
      </c>
      <c r="NI27" s="255">
        <f t="shared" si="178"/>
        <v>0</v>
      </c>
      <c r="NJ27" s="256">
        <f t="shared" si="178"/>
        <v>0</v>
      </c>
      <c r="NK27" s="255">
        <f t="shared" si="178"/>
        <v>0</v>
      </c>
      <c r="NL27" s="256">
        <f t="shared" si="178"/>
        <v>0</v>
      </c>
      <c r="NM27" s="255">
        <f t="shared" si="178"/>
        <v>0</v>
      </c>
      <c r="NN27" s="256">
        <f t="shared" si="178"/>
        <v>0</v>
      </c>
      <c r="NO27" s="255">
        <f t="shared" si="178"/>
        <v>0</v>
      </c>
      <c r="NP27" s="256">
        <f t="shared" si="178"/>
        <v>0</v>
      </c>
      <c r="NQ27" s="255">
        <f t="shared" si="178"/>
        <v>0</v>
      </c>
      <c r="NR27" s="256">
        <f t="shared" si="178"/>
        <v>0</v>
      </c>
      <c r="NS27" s="255">
        <f t="shared" si="178"/>
        <v>0</v>
      </c>
      <c r="NT27" s="256">
        <f t="shared" si="178"/>
        <v>0</v>
      </c>
      <c r="NU27" s="255">
        <f t="shared" si="178"/>
        <v>0</v>
      </c>
      <c r="NV27" s="256">
        <f t="shared" si="178"/>
        <v>0</v>
      </c>
      <c r="NW27" s="255">
        <f t="shared" si="178"/>
        <v>0</v>
      </c>
      <c r="NX27" s="256">
        <f t="shared" si="178"/>
        <v>0</v>
      </c>
      <c r="NY27" s="255">
        <f t="shared" si="178"/>
        <v>0</v>
      </c>
      <c r="NZ27" s="256">
        <f t="shared" si="178"/>
        <v>0</v>
      </c>
      <c r="OA27" s="255">
        <f t="shared" si="178"/>
        <v>0</v>
      </c>
      <c r="OB27" s="256">
        <f t="shared" si="178"/>
        <v>0</v>
      </c>
      <c r="OC27" s="255">
        <f t="shared" si="178"/>
        <v>0</v>
      </c>
      <c r="OD27" s="256">
        <f t="shared" si="178"/>
        <v>0</v>
      </c>
      <c r="OE27" s="255">
        <f t="shared" si="178"/>
        <v>0</v>
      </c>
      <c r="OF27" s="256">
        <f t="shared" si="178"/>
        <v>0</v>
      </c>
      <c r="OG27" s="255">
        <f t="shared" si="178"/>
        <v>0</v>
      </c>
      <c r="OH27" s="256">
        <f t="shared" si="178"/>
        <v>0</v>
      </c>
      <c r="OI27" s="255">
        <f t="shared" si="178"/>
        <v>0</v>
      </c>
      <c r="OJ27" s="256">
        <f t="shared" si="178"/>
        <v>0</v>
      </c>
      <c r="OK27" s="255">
        <f t="shared" si="178"/>
        <v>0</v>
      </c>
      <c r="OL27" s="256">
        <f t="shared" si="178"/>
        <v>0</v>
      </c>
      <c r="OM27" s="255">
        <f t="shared" si="178"/>
        <v>0</v>
      </c>
      <c r="ON27" s="256">
        <f t="shared" si="178"/>
        <v>0</v>
      </c>
      <c r="OO27" s="255">
        <f t="shared" si="178"/>
        <v>0</v>
      </c>
      <c r="OP27" s="256">
        <f t="shared" si="178"/>
        <v>0</v>
      </c>
      <c r="OQ27" s="255">
        <f t="shared" si="178"/>
        <v>0</v>
      </c>
      <c r="OR27" s="256">
        <f t="shared" si="178"/>
        <v>0</v>
      </c>
      <c r="OS27" s="255">
        <f t="shared" si="178"/>
        <v>0</v>
      </c>
      <c r="OT27" s="256">
        <f t="shared" si="178"/>
        <v>0</v>
      </c>
      <c r="OU27" s="255">
        <f t="shared" si="178"/>
        <v>0</v>
      </c>
      <c r="OV27" s="256">
        <f t="shared" si="178"/>
        <v>0</v>
      </c>
      <c r="OW27" s="255">
        <f t="shared" si="178"/>
        <v>0</v>
      </c>
      <c r="OX27" s="256">
        <f t="shared" si="178"/>
        <v>0</v>
      </c>
      <c r="OY27" s="255">
        <f t="shared" si="178"/>
        <v>0</v>
      </c>
      <c r="OZ27" s="256">
        <f t="shared" si="178"/>
        <v>0</v>
      </c>
      <c r="PA27" s="255">
        <f t="shared" si="178"/>
        <v>0</v>
      </c>
      <c r="PB27" s="256">
        <f t="shared" si="178"/>
        <v>0</v>
      </c>
      <c r="PC27" s="255">
        <f t="shared" si="178"/>
        <v>0</v>
      </c>
      <c r="PD27" s="256">
        <f t="shared" si="178"/>
        <v>0</v>
      </c>
      <c r="PE27" s="255">
        <f t="shared" si="178"/>
        <v>0</v>
      </c>
      <c r="PF27" s="256">
        <f t="shared" si="178"/>
        <v>0</v>
      </c>
      <c r="PG27" s="255">
        <f t="shared" si="178"/>
        <v>0</v>
      </c>
      <c r="PH27" s="256">
        <f t="shared" si="178"/>
        <v>0</v>
      </c>
      <c r="PI27" s="255">
        <f t="shared" si="178"/>
        <v>0</v>
      </c>
      <c r="PJ27" s="256">
        <f t="shared" si="178"/>
        <v>0</v>
      </c>
      <c r="PK27" s="255">
        <f t="shared" si="178"/>
        <v>0</v>
      </c>
      <c r="PL27" s="256">
        <f t="shared" si="178"/>
        <v>0</v>
      </c>
      <c r="PM27" s="255">
        <f t="shared" ref="PM27:PP27" si="179">PM28/PM18</f>
        <v>0</v>
      </c>
      <c r="PN27" s="256">
        <f t="shared" si="179"/>
        <v>0</v>
      </c>
      <c r="PO27" s="255">
        <f t="shared" si="179"/>
        <v>0</v>
      </c>
      <c r="PP27" s="256">
        <f t="shared" si="179"/>
        <v>0</v>
      </c>
      <c r="PQ27" s="260"/>
      <c r="PR27" s="255">
        <f t="shared" ref="PR27:QC27" si="180">PR28/PR18</f>
        <v>0</v>
      </c>
      <c r="PS27" s="256">
        <f t="shared" si="180"/>
        <v>0</v>
      </c>
      <c r="PT27" s="255">
        <f t="shared" si="180"/>
        <v>0</v>
      </c>
      <c r="PU27" s="256">
        <f t="shared" si="180"/>
        <v>0</v>
      </c>
      <c r="PV27" s="255">
        <f t="shared" si="180"/>
        <v>0</v>
      </c>
      <c r="PW27" s="256">
        <f t="shared" si="180"/>
        <v>0</v>
      </c>
      <c r="PX27" s="255">
        <f t="shared" si="180"/>
        <v>0</v>
      </c>
      <c r="PY27" s="256">
        <f t="shared" si="180"/>
        <v>0</v>
      </c>
      <c r="PZ27" s="255">
        <f t="shared" si="180"/>
        <v>0</v>
      </c>
      <c r="QA27" s="256">
        <f t="shared" si="180"/>
        <v>0</v>
      </c>
      <c r="QB27" s="255">
        <f t="shared" si="180"/>
        <v>0</v>
      </c>
      <c r="QC27" s="256">
        <f t="shared" si="180"/>
        <v>0</v>
      </c>
      <c r="QD27" s="260"/>
      <c r="QE27" s="260"/>
      <c r="QF27" s="255">
        <f t="shared" ref="QF27:QQ27" si="181">QF28/QF18</f>
        <v>0</v>
      </c>
      <c r="QG27" s="256">
        <f t="shared" si="181"/>
        <v>0</v>
      </c>
      <c r="QH27" s="255">
        <f t="shared" si="181"/>
        <v>0</v>
      </c>
      <c r="QI27" s="256">
        <f t="shared" si="181"/>
        <v>0</v>
      </c>
      <c r="QJ27" s="255">
        <f t="shared" si="181"/>
        <v>0</v>
      </c>
      <c r="QK27" s="256">
        <f t="shared" si="181"/>
        <v>0</v>
      </c>
      <c r="QL27" s="255">
        <f t="shared" si="181"/>
        <v>0</v>
      </c>
      <c r="QM27" s="256">
        <f t="shared" si="181"/>
        <v>0</v>
      </c>
      <c r="QN27" s="255">
        <f t="shared" si="181"/>
        <v>0</v>
      </c>
      <c r="QO27" s="256">
        <f t="shared" si="181"/>
        <v>0</v>
      </c>
      <c r="QP27" s="255">
        <f t="shared" si="181"/>
        <v>0</v>
      </c>
      <c r="QQ27" s="256">
        <f t="shared" si="181"/>
        <v>0</v>
      </c>
    </row>
    <row r="28" spans="1:459" x14ac:dyDescent="0.45">
      <c r="A28" s="876"/>
      <c r="B28" s="261" t="s">
        <v>336</v>
      </c>
      <c r="C28" s="262"/>
      <c r="D28" s="263"/>
      <c r="E28" s="264"/>
      <c r="F28" s="265">
        <f>F20-F33</f>
        <v>0</v>
      </c>
      <c r="G28" s="266">
        <f>F28/F10</f>
        <v>0</v>
      </c>
      <c r="H28" s="265">
        <f>H20-H33</f>
        <v>0</v>
      </c>
      <c r="I28" s="266">
        <f>H28/H10</f>
        <v>0</v>
      </c>
      <c r="J28" s="265">
        <f>J20-J33</f>
        <v>0</v>
      </c>
      <c r="K28" s="266">
        <f>J28/J10</f>
        <v>0</v>
      </c>
      <c r="L28" s="265">
        <f>L20-L33</f>
        <v>0</v>
      </c>
      <c r="M28" s="266">
        <f>L28/L10</f>
        <v>0</v>
      </c>
      <c r="N28" s="265">
        <f>N20-N33</f>
        <v>0</v>
      </c>
      <c r="O28" s="266">
        <f>N28/N10</f>
        <v>0</v>
      </c>
      <c r="P28" s="265">
        <f>P20-P33</f>
        <v>0</v>
      </c>
      <c r="Q28" s="266">
        <f>P28/P10</f>
        <v>0</v>
      </c>
      <c r="R28" s="265">
        <v>0</v>
      </c>
      <c r="S28" s="266">
        <f t="shared" ref="S28:BE28" si="182">R28/R10</f>
        <v>0</v>
      </c>
      <c r="T28" s="265">
        <v>0</v>
      </c>
      <c r="U28" s="266">
        <f t="shared" si="182"/>
        <v>0</v>
      </c>
      <c r="V28" s="265">
        <v>0</v>
      </c>
      <c r="W28" s="266">
        <f t="shared" si="182"/>
        <v>0</v>
      </c>
      <c r="X28" s="265">
        <v>0</v>
      </c>
      <c r="Y28" s="266">
        <f t="shared" si="182"/>
        <v>0</v>
      </c>
      <c r="Z28" s="265">
        <v>0</v>
      </c>
      <c r="AA28" s="266">
        <f t="shared" si="182"/>
        <v>0</v>
      </c>
      <c r="AB28" s="265">
        <v>0</v>
      </c>
      <c r="AC28" s="266">
        <f t="shared" si="182"/>
        <v>0</v>
      </c>
      <c r="AD28" s="265">
        <v>0</v>
      </c>
      <c r="AE28" s="266">
        <f t="shared" si="182"/>
        <v>0</v>
      </c>
      <c r="AF28" s="265">
        <v>0</v>
      </c>
      <c r="AG28" s="266">
        <f t="shared" si="182"/>
        <v>0</v>
      </c>
      <c r="AH28" s="265">
        <v>0</v>
      </c>
      <c r="AI28" s="266">
        <f t="shared" si="182"/>
        <v>0</v>
      </c>
      <c r="AJ28" s="265">
        <v>0</v>
      </c>
      <c r="AK28" s="266">
        <f t="shared" si="182"/>
        <v>0</v>
      </c>
      <c r="AL28" s="265">
        <v>0</v>
      </c>
      <c r="AM28" s="266">
        <f t="shared" si="182"/>
        <v>0</v>
      </c>
      <c r="AN28" s="265">
        <v>0</v>
      </c>
      <c r="AO28" s="266">
        <f t="shared" si="182"/>
        <v>0</v>
      </c>
      <c r="AP28" s="265">
        <v>0</v>
      </c>
      <c r="AQ28" s="266">
        <f t="shared" si="182"/>
        <v>0</v>
      </c>
      <c r="AR28" s="265">
        <v>0</v>
      </c>
      <c r="AS28" s="266">
        <f t="shared" si="182"/>
        <v>0</v>
      </c>
      <c r="AT28" s="265">
        <v>0</v>
      </c>
      <c r="AU28" s="266">
        <f t="shared" si="182"/>
        <v>0</v>
      </c>
      <c r="AV28" s="265">
        <v>0</v>
      </c>
      <c r="AW28" s="266">
        <f t="shared" si="182"/>
        <v>0</v>
      </c>
      <c r="AX28" s="265">
        <v>0</v>
      </c>
      <c r="AY28" s="266">
        <f t="shared" si="182"/>
        <v>0</v>
      </c>
      <c r="AZ28" s="265">
        <v>0</v>
      </c>
      <c r="BA28" s="266">
        <f t="shared" si="182"/>
        <v>0</v>
      </c>
      <c r="BB28" s="265">
        <v>0</v>
      </c>
      <c r="BC28" s="266">
        <f t="shared" si="182"/>
        <v>0</v>
      </c>
      <c r="BD28" s="265">
        <v>0</v>
      </c>
      <c r="BE28" s="266">
        <f t="shared" si="182"/>
        <v>0</v>
      </c>
      <c r="BF28" s="265">
        <v>0</v>
      </c>
      <c r="BG28" s="266">
        <f>BF28/BF10</f>
        <v>0</v>
      </c>
      <c r="BH28" s="265">
        <v>0</v>
      </c>
      <c r="BI28" s="266">
        <f>BH28/BH10</f>
        <v>0</v>
      </c>
      <c r="BJ28" s="265">
        <v>0</v>
      </c>
      <c r="BK28" s="266">
        <f>BJ28/BJ10</f>
        <v>0</v>
      </c>
      <c r="BL28" s="265">
        <v>0</v>
      </c>
      <c r="BM28" s="266">
        <f>BL28/BL10</f>
        <v>0</v>
      </c>
      <c r="BN28" s="265">
        <v>0</v>
      </c>
      <c r="BO28" s="266">
        <f>BN28/BN10</f>
        <v>0</v>
      </c>
      <c r="BP28" s="265">
        <v>0</v>
      </c>
      <c r="BQ28" s="266">
        <f>BP28/BP10</f>
        <v>0</v>
      </c>
      <c r="BR28" s="265">
        <v>0</v>
      </c>
      <c r="BS28" s="266">
        <f>BR28/BR10</f>
        <v>0</v>
      </c>
      <c r="BT28" s="265">
        <v>0</v>
      </c>
      <c r="BU28" s="266">
        <f>BT28/BT10</f>
        <v>0</v>
      </c>
      <c r="BV28" s="265">
        <v>0</v>
      </c>
      <c r="BW28" s="266">
        <f>BV28/BV10</f>
        <v>0</v>
      </c>
      <c r="BX28" s="265">
        <v>0</v>
      </c>
      <c r="BY28" s="266">
        <f>BX28/BX10</f>
        <v>0</v>
      </c>
      <c r="BZ28" s="265">
        <v>0</v>
      </c>
      <c r="CA28" s="266">
        <f>BZ28/BZ10</f>
        <v>0</v>
      </c>
      <c r="CB28" s="265">
        <v>0</v>
      </c>
      <c r="CC28" s="266">
        <f>CB28/CB10</f>
        <v>0</v>
      </c>
      <c r="CD28" s="265">
        <v>0</v>
      </c>
      <c r="CE28" s="266">
        <f>CD28/CD10</f>
        <v>0</v>
      </c>
      <c r="CF28" s="265">
        <v>0</v>
      </c>
      <c r="CG28" s="266">
        <f>CF28/CF10</f>
        <v>0</v>
      </c>
      <c r="CH28" s="265">
        <v>0</v>
      </c>
      <c r="CI28" s="266">
        <f>CH28/CH10</f>
        <v>0</v>
      </c>
      <c r="CJ28" s="265">
        <v>0</v>
      </c>
      <c r="CK28" s="266">
        <f>CJ28/CJ10</f>
        <v>0</v>
      </c>
      <c r="CL28" s="265">
        <v>0</v>
      </c>
      <c r="CM28" s="266">
        <f>CL28/CL10</f>
        <v>0</v>
      </c>
      <c r="CN28" s="265">
        <v>0</v>
      </c>
      <c r="CO28" s="266">
        <f>CN28/CN10</f>
        <v>0</v>
      </c>
      <c r="CP28" s="265">
        <f>(1.5/52)*1.65*8</f>
        <v>0.38076923076923075</v>
      </c>
      <c r="CQ28" s="266">
        <f>CP28/CP10</f>
        <v>0.28846153846153844</v>
      </c>
      <c r="CR28" s="265">
        <f>(1.5/52)*1.65*8</f>
        <v>0.38076923076923075</v>
      </c>
      <c r="CS28" s="266">
        <f>CR28/CR10</f>
        <v>0.28846153846153844</v>
      </c>
      <c r="CT28" s="257"/>
      <c r="CU28" s="265">
        <v>0</v>
      </c>
      <c r="CV28" s="266">
        <f t="shared" ref="CV28:ED28" si="183">CU28/CU10</f>
        <v>0</v>
      </c>
      <c r="CW28" s="265">
        <v>0</v>
      </c>
      <c r="CX28" s="266">
        <f t="shared" si="183"/>
        <v>0</v>
      </c>
      <c r="CY28" s="265">
        <v>0</v>
      </c>
      <c r="CZ28" s="266">
        <f t="shared" si="183"/>
        <v>0</v>
      </c>
      <c r="DA28" s="265">
        <v>0</v>
      </c>
      <c r="DB28" s="266">
        <f t="shared" si="183"/>
        <v>0</v>
      </c>
      <c r="DC28" s="265">
        <v>0</v>
      </c>
      <c r="DD28" s="266">
        <f t="shared" si="183"/>
        <v>0</v>
      </c>
      <c r="DE28" s="265">
        <v>0</v>
      </c>
      <c r="DF28" s="266">
        <f t="shared" si="183"/>
        <v>0</v>
      </c>
      <c r="DG28" s="265">
        <v>0</v>
      </c>
      <c r="DH28" s="266">
        <f t="shared" si="183"/>
        <v>0</v>
      </c>
      <c r="DI28" s="265">
        <v>0</v>
      </c>
      <c r="DJ28" s="266">
        <f t="shared" si="183"/>
        <v>0</v>
      </c>
      <c r="DK28" s="265">
        <v>0</v>
      </c>
      <c r="DL28" s="266">
        <f t="shared" si="183"/>
        <v>0</v>
      </c>
      <c r="DM28" s="265">
        <v>0</v>
      </c>
      <c r="DN28" s="266">
        <f t="shared" si="183"/>
        <v>0</v>
      </c>
      <c r="DO28" s="265">
        <v>0</v>
      </c>
      <c r="DP28" s="266">
        <f t="shared" si="183"/>
        <v>0</v>
      </c>
      <c r="DQ28" s="265">
        <v>0</v>
      </c>
      <c r="DR28" s="266">
        <f t="shared" si="183"/>
        <v>0</v>
      </c>
      <c r="DS28" s="265">
        <v>0</v>
      </c>
      <c r="DT28" s="266">
        <f t="shared" si="183"/>
        <v>0</v>
      </c>
      <c r="DU28" s="265">
        <v>0</v>
      </c>
      <c r="DV28" s="266">
        <f t="shared" si="183"/>
        <v>0</v>
      </c>
      <c r="DW28" s="265">
        <v>0</v>
      </c>
      <c r="DX28" s="266">
        <f t="shared" si="183"/>
        <v>0</v>
      </c>
      <c r="DY28" s="265">
        <v>0</v>
      </c>
      <c r="DZ28" s="266">
        <f t="shared" si="183"/>
        <v>0</v>
      </c>
      <c r="EA28" s="265">
        <v>0</v>
      </c>
      <c r="EB28" s="266">
        <f t="shared" si="183"/>
        <v>0</v>
      </c>
      <c r="EC28" s="265">
        <v>0</v>
      </c>
      <c r="ED28" s="266">
        <f t="shared" si="183"/>
        <v>0</v>
      </c>
      <c r="EE28" s="265">
        <v>0</v>
      </c>
      <c r="EF28" s="266">
        <f>EE28/EE10</f>
        <v>0</v>
      </c>
      <c r="EG28" s="265">
        <v>0</v>
      </c>
      <c r="EH28" s="266">
        <f>EG28/EG10</f>
        <v>0</v>
      </c>
      <c r="EI28" s="265">
        <v>0</v>
      </c>
      <c r="EJ28" s="266">
        <f>EI28/EI10</f>
        <v>0</v>
      </c>
      <c r="EK28" s="265">
        <v>0</v>
      </c>
      <c r="EL28" s="266">
        <f>EK28/EK10</f>
        <v>0</v>
      </c>
      <c r="EM28" s="265">
        <v>0</v>
      </c>
      <c r="EN28" s="266">
        <f>EM28/EM10</f>
        <v>0</v>
      </c>
      <c r="EO28" s="265">
        <v>0</v>
      </c>
      <c r="EP28" s="266">
        <f>EO28/EO10</f>
        <v>0</v>
      </c>
      <c r="EQ28" s="265">
        <v>0</v>
      </c>
      <c r="ER28" s="266">
        <f>EQ28/EQ10</f>
        <v>0</v>
      </c>
      <c r="ES28" s="265">
        <v>0</v>
      </c>
      <c r="ET28" s="266">
        <f>ES28/ES10</f>
        <v>0</v>
      </c>
      <c r="EU28" s="265">
        <v>0</v>
      </c>
      <c r="EV28" s="266">
        <f>EU28/EU10</f>
        <v>0</v>
      </c>
      <c r="EW28" s="265">
        <v>0</v>
      </c>
      <c r="EX28" s="266">
        <f>EW28/EW10</f>
        <v>0</v>
      </c>
      <c r="EY28" s="265">
        <v>0</v>
      </c>
      <c r="EZ28" s="266">
        <f>EY28/EY10</f>
        <v>0</v>
      </c>
      <c r="FA28" s="265">
        <v>0</v>
      </c>
      <c r="FB28" s="266">
        <f>FA28/FA10</f>
        <v>0</v>
      </c>
      <c r="FC28" s="265">
        <v>0</v>
      </c>
      <c r="FD28" s="266">
        <f>FC28/FC10</f>
        <v>0</v>
      </c>
      <c r="FE28" s="265">
        <v>0</v>
      </c>
      <c r="FF28" s="266">
        <f>FE28/FE10</f>
        <v>0</v>
      </c>
      <c r="FG28" s="265">
        <v>0</v>
      </c>
      <c r="FH28" s="266">
        <f>FG28/FG10</f>
        <v>0</v>
      </c>
      <c r="FI28" s="265">
        <v>0</v>
      </c>
      <c r="FJ28" s="266">
        <f>FI28/FI10</f>
        <v>0</v>
      </c>
      <c r="FK28" s="265">
        <v>0</v>
      </c>
      <c r="FL28" s="266">
        <f>FK28/FK10</f>
        <v>0</v>
      </c>
      <c r="FM28" s="265">
        <v>0</v>
      </c>
      <c r="FN28" s="266">
        <f>FM28/FM10</f>
        <v>0</v>
      </c>
      <c r="FO28" s="265">
        <v>0</v>
      </c>
      <c r="FP28" s="266">
        <f>FO28/FO10</f>
        <v>0</v>
      </c>
      <c r="FQ28" s="264"/>
      <c r="FR28" s="265">
        <v>0</v>
      </c>
      <c r="FS28" s="266">
        <f>FR28/FR10</f>
        <v>0</v>
      </c>
      <c r="FT28" s="265">
        <v>0</v>
      </c>
      <c r="FU28" s="266">
        <f>FT28/FT10</f>
        <v>0</v>
      </c>
      <c r="FV28" s="265">
        <v>0</v>
      </c>
      <c r="FW28" s="266">
        <f>FV28/FV10</f>
        <v>0</v>
      </c>
      <c r="FX28" s="265">
        <v>0</v>
      </c>
      <c r="FY28" s="266">
        <f>FX28/FX10</f>
        <v>0</v>
      </c>
      <c r="FZ28" s="265">
        <v>0</v>
      </c>
      <c r="GA28" s="266">
        <f>FZ28/FZ10</f>
        <v>0</v>
      </c>
      <c r="GB28" s="265">
        <v>0</v>
      </c>
      <c r="GC28" s="266">
        <f>GB28/GB10</f>
        <v>0</v>
      </c>
      <c r="GD28" s="265">
        <v>0</v>
      </c>
      <c r="GE28" s="266">
        <f>GD28/GD10</f>
        <v>0</v>
      </c>
      <c r="GF28" s="265">
        <v>0</v>
      </c>
      <c r="GG28" s="266">
        <f>GF28/GF10</f>
        <v>0</v>
      </c>
      <c r="GH28" s="265">
        <v>0</v>
      </c>
      <c r="GI28" s="266">
        <f>GH28/GH10</f>
        <v>0</v>
      </c>
      <c r="GJ28" s="265">
        <v>0</v>
      </c>
      <c r="GK28" s="266">
        <f>GJ28/GJ10</f>
        <v>0</v>
      </c>
      <c r="GL28" s="265">
        <v>0</v>
      </c>
      <c r="GM28" s="266">
        <f>GL28/GL10</f>
        <v>0</v>
      </c>
      <c r="GN28" s="265">
        <v>0</v>
      </c>
      <c r="GO28" s="266">
        <f>GN28/GN10</f>
        <v>0</v>
      </c>
      <c r="GP28" s="265">
        <v>0</v>
      </c>
      <c r="GQ28" s="266">
        <f>GP28/GP10</f>
        <v>0</v>
      </c>
      <c r="GR28" s="265">
        <v>0</v>
      </c>
      <c r="GS28" s="266">
        <f>GR28/GR10</f>
        <v>0</v>
      </c>
      <c r="GT28" s="265">
        <v>0</v>
      </c>
      <c r="GU28" s="266">
        <f>GT28/GT10</f>
        <v>0</v>
      </c>
      <c r="GV28" s="265">
        <v>0</v>
      </c>
      <c r="GW28" s="266">
        <f>GV28/GV10</f>
        <v>0</v>
      </c>
      <c r="GX28" s="265">
        <v>0</v>
      </c>
      <c r="GY28" s="266">
        <f>GX28/GX10</f>
        <v>0</v>
      </c>
      <c r="GZ28" s="265">
        <v>0</v>
      </c>
      <c r="HA28" s="266">
        <f>GZ28/GZ10</f>
        <v>0</v>
      </c>
      <c r="HB28" s="265">
        <v>0</v>
      </c>
      <c r="HC28" s="266">
        <f>HB28/HB10</f>
        <v>0</v>
      </c>
      <c r="HD28" s="265">
        <v>0</v>
      </c>
      <c r="HE28" s="266">
        <f>HD28/HD10</f>
        <v>0</v>
      </c>
      <c r="HF28" s="265">
        <v>0</v>
      </c>
      <c r="HG28" s="266">
        <f>HF28/HF10</f>
        <v>0</v>
      </c>
      <c r="HH28" s="265">
        <v>0</v>
      </c>
      <c r="HI28" s="266">
        <f>HH28/HH10</f>
        <v>0</v>
      </c>
      <c r="HJ28" s="265">
        <v>0</v>
      </c>
      <c r="HK28" s="266">
        <f>HJ28/HJ10</f>
        <v>0</v>
      </c>
      <c r="HL28" s="265">
        <v>0</v>
      </c>
      <c r="HM28" s="266">
        <f>HL28/HL10</f>
        <v>0</v>
      </c>
      <c r="HN28" s="265">
        <v>0</v>
      </c>
      <c r="HO28" s="266">
        <f>HN28/HN10</f>
        <v>0</v>
      </c>
      <c r="HP28" s="265">
        <v>0</v>
      </c>
      <c r="HQ28" s="266">
        <f>HP28/HP10</f>
        <v>0</v>
      </c>
      <c r="HR28" s="265">
        <v>0</v>
      </c>
      <c r="HS28" s="266">
        <f>HR28/HR10</f>
        <v>0</v>
      </c>
      <c r="HT28" s="265">
        <v>0</v>
      </c>
      <c r="HU28" s="266">
        <f>HT28/HT10</f>
        <v>0</v>
      </c>
      <c r="HV28" s="265">
        <v>0</v>
      </c>
      <c r="HW28" s="266">
        <f>HV28/HV10</f>
        <v>0</v>
      </c>
      <c r="HX28" s="265">
        <v>0</v>
      </c>
      <c r="HY28" s="266">
        <f>HX28/HX10</f>
        <v>0</v>
      </c>
      <c r="HZ28" s="265">
        <v>0</v>
      </c>
      <c r="IA28" s="266">
        <f>HZ28/HZ10</f>
        <v>0</v>
      </c>
      <c r="IB28" s="265">
        <v>0</v>
      </c>
      <c r="IC28" s="266">
        <f>IB28/IB10</f>
        <v>0</v>
      </c>
      <c r="ID28" s="265">
        <v>0</v>
      </c>
      <c r="IE28" s="266">
        <f>ID28/ID10</f>
        <v>0</v>
      </c>
      <c r="IF28" s="265">
        <v>0</v>
      </c>
      <c r="IG28" s="266">
        <f>IF28/IF10</f>
        <v>0</v>
      </c>
      <c r="IH28" s="265">
        <v>0</v>
      </c>
      <c r="II28" s="266">
        <f>IH28/IH10</f>
        <v>0</v>
      </c>
      <c r="IJ28" s="265">
        <v>0</v>
      </c>
      <c r="IK28" s="266">
        <f>IJ28/IJ10</f>
        <v>0</v>
      </c>
      <c r="IL28" s="265">
        <v>0</v>
      </c>
      <c r="IM28" s="266">
        <f>IL28/IL10</f>
        <v>0</v>
      </c>
      <c r="IN28" s="265">
        <v>0</v>
      </c>
      <c r="IO28" s="266">
        <f>IN28/IN10</f>
        <v>0</v>
      </c>
      <c r="IP28" s="265">
        <v>0</v>
      </c>
      <c r="IQ28" s="266">
        <f>IP28/IP10</f>
        <v>0</v>
      </c>
      <c r="IR28" s="265">
        <v>0</v>
      </c>
      <c r="IS28" s="266">
        <f>IR28/IR10</f>
        <v>0</v>
      </c>
      <c r="IT28" s="265">
        <v>0</v>
      </c>
      <c r="IU28" s="266">
        <f>IT28/IT10</f>
        <v>0</v>
      </c>
      <c r="IV28" s="265">
        <v>0</v>
      </c>
      <c r="IW28" s="266">
        <f>IV28/IV10</f>
        <v>0</v>
      </c>
      <c r="IX28" s="265">
        <v>0</v>
      </c>
      <c r="IY28" s="266">
        <f>IX28/IX10</f>
        <v>0</v>
      </c>
      <c r="IZ28" s="264"/>
      <c r="JA28" s="267">
        <f>JA18-(JA18*10/11)</f>
        <v>1.2363636363636363</v>
      </c>
      <c r="JB28" s="268">
        <f>JA28/JA10</f>
        <v>0.9226594301221166</v>
      </c>
      <c r="JC28" s="265">
        <v>0</v>
      </c>
      <c r="JD28" s="266">
        <f>JC28/JC10</f>
        <v>0</v>
      </c>
      <c r="JE28" s="264"/>
      <c r="JF28" s="265">
        <v>0</v>
      </c>
      <c r="JG28" s="266">
        <f t="shared" ref="JG28:KU28" si="184">JF28/JF10</f>
        <v>0</v>
      </c>
      <c r="JH28" s="265">
        <v>0</v>
      </c>
      <c r="JI28" s="266">
        <f t="shared" si="184"/>
        <v>0</v>
      </c>
      <c r="JJ28" s="265">
        <v>0</v>
      </c>
      <c r="JK28" s="266">
        <f t="shared" si="184"/>
        <v>0</v>
      </c>
      <c r="JL28" s="265">
        <v>0</v>
      </c>
      <c r="JM28" s="266">
        <f t="shared" si="184"/>
        <v>0</v>
      </c>
      <c r="JN28" s="265">
        <v>0</v>
      </c>
      <c r="JO28" s="266">
        <f t="shared" si="184"/>
        <v>0</v>
      </c>
      <c r="JP28" s="265">
        <v>0</v>
      </c>
      <c r="JQ28" s="266">
        <f t="shared" si="184"/>
        <v>0</v>
      </c>
      <c r="JR28" s="265">
        <v>0</v>
      </c>
      <c r="JS28" s="266">
        <f t="shared" si="184"/>
        <v>0</v>
      </c>
      <c r="JT28" s="265">
        <v>0</v>
      </c>
      <c r="JU28" s="266">
        <f t="shared" si="184"/>
        <v>0</v>
      </c>
      <c r="JV28" s="265">
        <v>0</v>
      </c>
      <c r="JW28" s="266">
        <f t="shared" si="184"/>
        <v>0</v>
      </c>
      <c r="JX28" s="265">
        <v>0</v>
      </c>
      <c r="JY28" s="266">
        <f t="shared" si="184"/>
        <v>0</v>
      </c>
      <c r="JZ28" s="265">
        <v>0</v>
      </c>
      <c r="KA28" s="266">
        <f t="shared" si="184"/>
        <v>0</v>
      </c>
      <c r="KB28" s="265">
        <v>0</v>
      </c>
      <c r="KC28" s="266">
        <f t="shared" si="184"/>
        <v>0</v>
      </c>
      <c r="KD28" s="265">
        <v>0</v>
      </c>
      <c r="KE28" s="266">
        <f t="shared" si="184"/>
        <v>0</v>
      </c>
      <c r="KF28" s="265">
        <v>0</v>
      </c>
      <c r="KG28" s="266">
        <f t="shared" si="184"/>
        <v>0</v>
      </c>
      <c r="KH28" s="265">
        <v>0</v>
      </c>
      <c r="KI28" s="266">
        <f t="shared" si="184"/>
        <v>0</v>
      </c>
      <c r="KJ28" s="265">
        <v>0</v>
      </c>
      <c r="KK28" s="266">
        <f t="shared" si="184"/>
        <v>0</v>
      </c>
      <c r="KL28" s="265">
        <v>0</v>
      </c>
      <c r="KM28" s="266">
        <f t="shared" si="184"/>
        <v>0</v>
      </c>
      <c r="KN28" s="265">
        <v>0</v>
      </c>
      <c r="KO28" s="266">
        <f t="shared" si="184"/>
        <v>0</v>
      </c>
      <c r="KP28" s="265">
        <v>0</v>
      </c>
      <c r="KQ28" s="266">
        <f t="shared" si="184"/>
        <v>0</v>
      </c>
      <c r="KR28" s="265">
        <v>0</v>
      </c>
      <c r="KS28" s="266">
        <f t="shared" si="184"/>
        <v>0</v>
      </c>
      <c r="KT28" s="265">
        <v>0</v>
      </c>
      <c r="KU28" s="266">
        <f t="shared" si="184"/>
        <v>0</v>
      </c>
      <c r="KV28" s="265">
        <v>0</v>
      </c>
      <c r="KW28" s="266">
        <f>KV28/KV10</f>
        <v>0</v>
      </c>
      <c r="KX28" s="265">
        <v>0</v>
      </c>
      <c r="KY28" s="266">
        <f>KX28/KX10</f>
        <v>0</v>
      </c>
      <c r="KZ28" s="265">
        <v>0</v>
      </c>
      <c r="LA28" s="266">
        <f>KZ28/KZ10</f>
        <v>0</v>
      </c>
      <c r="LB28" s="265">
        <v>0</v>
      </c>
      <c r="LC28" s="266">
        <f>LB28/LB10</f>
        <v>0</v>
      </c>
      <c r="LD28" s="265">
        <v>0</v>
      </c>
      <c r="LE28" s="266">
        <f>LD28/LD10</f>
        <v>0</v>
      </c>
      <c r="LF28" s="265">
        <v>0</v>
      </c>
      <c r="LG28" s="266">
        <f>LF28/LF10</f>
        <v>0</v>
      </c>
      <c r="LH28" s="265">
        <v>0</v>
      </c>
      <c r="LI28" s="266">
        <f>LH28/LH10</f>
        <v>0</v>
      </c>
      <c r="LJ28" s="265">
        <v>0</v>
      </c>
      <c r="LK28" s="266">
        <f>LJ28/LJ10</f>
        <v>0</v>
      </c>
      <c r="LL28" s="265">
        <v>0</v>
      </c>
      <c r="LM28" s="266">
        <f>LL28/LL10</f>
        <v>0</v>
      </c>
      <c r="LN28" s="265">
        <v>0</v>
      </c>
      <c r="LO28" s="266">
        <f>LN28/LN10</f>
        <v>0</v>
      </c>
      <c r="LP28" s="265">
        <v>0</v>
      </c>
      <c r="LQ28" s="266">
        <f>LP28/LP10</f>
        <v>0</v>
      </c>
      <c r="LR28" s="265">
        <v>0</v>
      </c>
      <c r="LS28" s="266">
        <f>LR28/LR10</f>
        <v>0</v>
      </c>
      <c r="LT28" s="265">
        <v>0</v>
      </c>
      <c r="LU28" s="266">
        <f>LT28/LT10</f>
        <v>0</v>
      </c>
      <c r="LV28" s="265">
        <v>0</v>
      </c>
      <c r="LW28" s="266">
        <f>LV28/LV10</f>
        <v>0</v>
      </c>
      <c r="LX28" s="265">
        <v>0</v>
      </c>
      <c r="LY28" s="266">
        <f>LX28/LX10</f>
        <v>0</v>
      </c>
      <c r="LZ28" s="265">
        <v>0</v>
      </c>
      <c r="MA28" s="266">
        <f>LZ28/LZ10</f>
        <v>0</v>
      </c>
      <c r="MB28" s="265">
        <v>0</v>
      </c>
      <c r="MC28" s="266">
        <f>MB28/MB10</f>
        <v>0</v>
      </c>
      <c r="MD28" s="265">
        <v>0</v>
      </c>
      <c r="ME28" s="266">
        <f>MD28/MD10</f>
        <v>0</v>
      </c>
      <c r="MF28" s="265">
        <v>0</v>
      </c>
      <c r="MG28" s="266">
        <f>MF28/MF10</f>
        <v>0</v>
      </c>
      <c r="MH28" s="264"/>
      <c r="MI28" s="265">
        <f>MI20-MI33</f>
        <v>0</v>
      </c>
      <c r="MJ28" s="266">
        <f>MI28/MI10</f>
        <v>0</v>
      </c>
      <c r="MK28" s="265">
        <f>MK20-MK33</f>
        <v>0</v>
      </c>
      <c r="ML28" s="266">
        <f>MK28/MK10</f>
        <v>0</v>
      </c>
      <c r="MM28" s="265">
        <f>MM20-MM33</f>
        <v>0</v>
      </c>
      <c r="MN28" s="266">
        <f>MM28/MM10</f>
        <v>0</v>
      </c>
      <c r="MO28" s="265">
        <f>MO20-MO33</f>
        <v>0</v>
      </c>
      <c r="MP28" s="266">
        <f>MO28/MO10</f>
        <v>0</v>
      </c>
      <c r="MQ28" s="265">
        <f>MQ20-MQ33</f>
        <v>0</v>
      </c>
      <c r="MR28" s="266">
        <f>MQ28/MQ10</f>
        <v>0</v>
      </c>
      <c r="MS28" s="265">
        <f>MS20-MS33</f>
        <v>0</v>
      </c>
      <c r="MT28" s="266">
        <f>MS28/MS10</f>
        <v>0</v>
      </c>
      <c r="MU28" s="265">
        <f>MU20-MU33</f>
        <v>0</v>
      </c>
      <c r="MV28" s="266">
        <f>MU28/MU10</f>
        <v>0</v>
      </c>
      <c r="MW28" s="265">
        <f>MW20-MW33</f>
        <v>0</v>
      </c>
      <c r="MX28" s="266">
        <f>MW28/MW10</f>
        <v>0</v>
      </c>
      <c r="MY28" s="265">
        <f>MY20-MY33</f>
        <v>0</v>
      </c>
      <c r="MZ28" s="266">
        <f>MY28/MY10</f>
        <v>0</v>
      </c>
      <c r="NA28" s="265">
        <f>NA20-NA33</f>
        <v>0</v>
      </c>
      <c r="NB28" s="266">
        <f>NA28/NA10</f>
        <v>0</v>
      </c>
      <c r="NC28" s="265">
        <f>NC20-NC33</f>
        <v>0</v>
      </c>
      <c r="ND28" s="266">
        <f>NC28/NC10</f>
        <v>0</v>
      </c>
      <c r="NE28" s="265">
        <f>NE20-NE33</f>
        <v>0</v>
      </c>
      <c r="NF28" s="266">
        <f>NE28/NE10</f>
        <v>0</v>
      </c>
      <c r="NG28" s="265">
        <f>NG20-NG33</f>
        <v>0</v>
      </c>
      <c r="NH28" s="266">
        <f>NG28/NG10</f>
        <v>0</v>
      </c>
      <c r="NI28" s="265">
        <f>NI20-NI33</f>
        <v>0</v>
      </c>
      <c r="NJ28" s="266">
        <f>NI28/NI10</f>
        <v>0</v>
      </c>
      <c r="NK28" s="265">
        <f>NK20-NK33</f>
        <v>0</v>
      </c>
      <c r="NL28" s="266">
        <f>NK28/NK10</f>
        <v>0</v>
      </c>
      <c r="NM28" s="265">
        <v>0</v>
      </c>
      <c r="NN28" s="266">
        <f>NM28/NM10</f>
        <v>0</v>
      </c>
      <c r="NO28" s="265">
        <v>0</v>
      </c>
      <c r="NP28" s="266">
        <f>NO28/NO10</f>
        <v>0</v>
      </c>
      <c r="NQ28" s="265">
        <v>0</v>
      </c>
      <c r="NR28" s="266">
        <f>NQ28/NQ10</f>
        <v>0</v>
      </c>
      <c r="NS28" s="265">
        <v>0</v>
      </c>
      <c r="NT28" s="266">
        <f>NS28/NS10</f>
        <v>0</v>
      </c>
      <c r="NU28" s="265">
        <v>0</v>
      </c>
      <c r="NV28" s="266">
        <f>NU28/NU10</f>
        <v>0</v>
      </c>
      <c r="NW28" s="265">
        <v>0</v>
      </c>
      <c r="NX28" s="266">
        <f>NW28/NW10</f>
        <v>0</v>
      </c>
      <c r="NY28" s="265">
        <v>0</v>
      </c>
      <c r="NZ28" s="266">
        <f>NY28/NY10</f>
        <v>0</v>
      </c>
      <c r="OA28" s="265">
        <v>0</v>
      </c>
      <c r="OB28" s="266">
        <f>OA28/OA10</f>
        <v>0</v>
      </c>
      <c r="OC28" s="265">
        <v>0</v>
      </c>
      <c r="OD28" s="266">
        <f>OC28/OC10</f>
        <v>0</v>
      </c>
      <c r="OE28" s="265">
        <v>0</v>
      </c>
      <c r="OF28" s="266">
        <f>OE28/OE10</f>
        <v>0</v>
      </c>
      <c r="OG28" s="265">
        <v>0</v>
      </c>
      <c r="OH28" s="266">
        <f>OG28/OG10</f>
        <v>0</v>
      </c>
      <c r="OI28" s="265">
        <v>0</v>
      </c>
      <c r="OJ28" s="266">
        <f>OI28/OI10</f>
        <v>0</v>
      </c>
      <c r="OK28" s="265">
        <v>0</v>
      </c>
      <c r="OL28" s="266">
        <f>OK28/OK10</f>
        <v>0</v>
      </c>
      <c r="OM28" s="265">
        <v>0</v>
      </c>
      <c r="ON28" s="266">
        <f>OM28/OM10</f>
        <v>0</v>
      </c>
      <c r="OO28" s="265">
        <v>0</v>
      </c>
      <c r="OP28" s="266">
        <f>OO28/OO10</f>
        <v>0</v>
      </c>
      <c r="OQ28" s="265">
        <v>0</v>
      </c>
      <c r="OR28" s="266">
        <f>OQ28/OQ10</f>
        <v>0</v>
      </c>
      <c r="OS28" s="265">
        <v>0</v>
      </c>
      <c r="OT28" s="266">
        <f>OS28/OS10</f>
        <v>0</v>
      </c>
      <c r="OU28" s="265">
        <v>0</v>
      </c>
      <c r="OV28" s="266">
        <f>OU28/OU10</f>
        <v>0</v>
      </c>
      <c r="OW28" s="265">
        <v>0</v>
      </c>
      <c r="OX28" s="266">
        <f>OW28/OW10</f>
        <v>0</v>
      </c>
      <c r="OY28" s="265">
        <v>0</v>
      </c>
      <c r="OZ28" s="266">
        <f>OY28/OY10</f>
        <v>0</v>
      </c>
      <c r="PA28" s="265">
        <v>0</v>
      </c>
      <c r="PB28" s="266">
        <f>PA28/PA10</f>
        <v>0</v>
      </c>
      <c r="PC28" s="265">
        <v>0</v>
      </c>
      <c r="PD28" s="266">
        <f>PC28/PC10</f>
        <v>0</v>
      </c>
      <c r="PE28" s="265">
        <v>0</v>
      </c>
      <c r="PF28" s="266">
        <f>PE28/PE10</f>
        <v>0</v>
      </c>
      <c r="PG28" s="265">
        <v>0</v>
      </c>
      <c r="PH28" s="266">
        <f>PG28/PG10</f>
        <v>0</v>
      </c>
      <c r="PI28" s="265">
        <v>0</v>
      </c>
      <c r="PJ28" s="266">
        <f>PI28/PI10</f>
        <v>0</v>
      </c>
      <c r="PK28" s="265">
        <v>0</v>
      </c>
      <c r="PL28" s="266">
        <f>PK28/PK10</f>
        <v>0</v>
      </c>
      <c r="PM28" s="265">
        <v>0</v>
      </c>
      <c r="PN28" s="266">
        <f t="shared" ref="PN28" si="185">PM28/PM10</f>
        <v>0</v>
      </c>
      <c r="PO28" s="265">
        <v>0</v>
      </c>
      <c r="PP28" s="266">
        <f t="shared" ref="PP28" si="186">PO28/PO10</f>
        <v>0</v>
      </c>
      <c r="PQ28" s="260"/>
      <c r="PR28" s="265">
        <v>0</v>
      </c>
      <c r="PS28" s="266">
        <f>PR28/PR10</f>
        <v>0</v>
      </c>
      <c r="PT28" s="265">
        <v>0</v>
      </c>
      <c r="PU28" s="266">
        <f>PT28/PT10</f>
        <v>0</v>
      </c>
      <c r="PV28" s="265">
        <v>0</v>
      </c>
      <c r="PW28" s="266">
        <f>PV28/PV10</f>
        <v>0</v>
      </c>
      <c r="PX28" s="265">
        <v>0</v>
      </c>
      <c r="PY28" s="266">
        <f>PX28/PX10</f>
        <v>0</v>
      </c>
      <c r="PZ28" s="265">
        <v>0</v>
      </c>
      <c r="QA28" s="266">
        <f>PZ28/PZ10</f>
        <v>0</v>
      </c>
      <c r="QB28" s="265">
        <v>0</v>
      </c>
      <c r="QC28" s="266">
        <f>QB28/QB10</f>
        <v>0</v>
      </c>
      <c r="QD28" s="260"/>
      <c r="QE28" s="260"/>
      <c r="QF28" s="265">
        <v>0</v>
      </c>
      <c r="QG28" s="266">
        <f>QF28/QF10</f>
        <v>0</v>
      </c>
      <c r="QH28" s="265">
        <v>0</v>
      </c>
      <c r="QI28" s="266">
        <f>QH28/QH10</f>
        <v>0</v>
      </c>
      <c r="QJ28" s="265">
        <v>0</v>
      </c>
      <c r="QK28" s="266">
        <f>QJ28/QJ10</f>
        <v>0</v>
      </c>
      <c r="QL28" s="265">
        <v>0</v>
      </c>
      <c r="QM28" s="266">
        <f>QL28/QL10</f>
        <v>0</v>
      </c>
      <c r="QN28" s="265">
        <v>0</v>
      </c>
      <c r="QO28" s="266">
        <f>QN28/QN10</f>
        <v>0</v>
      </c>
      <c r="QP28" s="265">
        <v>0</v>
      </c>
      <c r="QQ28" s="266">
        <f>QP28/QP10</f>
        <v>0</v>
      </c>
    </row>
    <row r="29" spans="1:459" x14ac:dyDescent="0.45">
      <c r="A29" s="876"/>
      <c r="B29" s="269" t="s">
        <v>337</v>
      </c>
      <c r="C29" s="262"/>
      <c r="D29" s="263"/>
      <c r="E29" s="264"/>
      <c r="F29" s="265"/>
      <c r="G29" s="266"/>
      <c r="H29" s="265"/>
      <c r="I29" s="266"/>
      <c r="J29" s="265"/>
      <c r="K29" s="266"/>
      <c r="L29" s="265"/>
      <c r="M29" s="266"/>
      <c r="N29" s="265"/>
      <c r="O29" s="266"/>
      <c r="P29" s="265"/>
      <c r="Q29" s="266"/>
      <c r="R29" s="265"/>
      <c r="S29" s="266"/>
      <c r="T29" s="265"/>
      <c r="U29" s="266"/>
      <c r="V29" s="265"/>
      <c r="W29" s="266"/>
      <c r="X29" s="265"/>
      <c r="Y29" s="266"/>
      <c r="Z29" s="265"/>
      <c r="AA29" s="266"/>
      <c r="AB29" s="265"/>
      <c r="AC29" s="266"/>
      <c r="AD29" s="265"/>
      <c r="AE29" s="266"/>
      <c r="AF29" s="265"/>
      <c r="AG29" s="266"/>
      <c r="AH29" s="265"/>
      <c r="AI29" s="266"/>
      <c r="AJ29" s="270">
        <f t="shared" ref="AJ29:CS29" si="187">AJ30/AJ18</f>
        <v>1.7254901960784354E-2</v>
      </c>
      <c r="AK29" s="271">
        <f t="shared" si="187"/>
        <v>1.7254901960784354E-2</v>
      </c>
      <c r="AL29" s="270">
        <f t="shared" si="187"/>
        <v>1.7254901960784354E-2</v>
      </c>
      <c r="AM29" s="271">
        <f t="shared" si="187"/>
        <v>1.7254901960784354E-2</v>
      </c>
      <c r="AN29" s="270">
        <f t="shared" si="187"/>
        <v>1.7254901960784354E-2</v>
      </c>
      <c r="AO29" s="271">
        <f t="shared" si="187"/>
        <v>1.7254901960784354E-2</v>
      </c>
      <c r="AP29" s="270">
        <f t="shared" si="187"/>
        <v>1.7254901960784354E-2</v>
      </c>
      <c r="AQ29" s="271">
        <f t="shared" si="187"/>
        <v>1.7254901960784354E-2</v>
      </c>
      <c r="AR29" s="270">
        <f t="shared" si="187"/>
        <v>1.7254901960784354E-2</v>
      </c>
      <c r="AS29" s="271">
        <f t="shared" si="187"/>
        <v>1.7254901960784354E-2</v>
      </c>
      <c r="AT29" s="270">
        <f t="shared" si="187"/>
        <v>1.7254901960784354E-2</v>
      </c>
      <c r="AU29" s="271">
        <f t="shared" si="187"/>
        <v>1.7254901960784354E-2</v>
      </c>
      <c r="AV29" s="270">
        <f t="shared" si="187"/>
        <v>1.7254901960784354E-2</v>
      </c>
      <c r="AW29" s="271">
        <f t="shared" si="187"/>
        <v>1.7254901960784354E-2</v>
      </c>
      <c r="AX29" s="270">
        <f t="shared" si="187"/>
        <v>1.7254901960784354E-2</v>
      </c>
      <c r="AY29" s="271">
        <f t="shared" si="187"/>
        <v>1.7254901960784354E-2</v>
      </c>
      <c r="AZ29" s="270">
        <f t="shared" si="187"/>
        <v>1.7254901960784354E-2</v>
      </c>
      <c r="BA29" s="271">
        <f t="shared" si="187"/>
        <v>1.7254901960784354E-2</v>
      </c>
      <c r="BB29" s="270">
        <f t="shared" si="187"/>
        <v>1.7254901960784354E-2</v>
      </c>
      <c r="BC29" s="271">
        <f t="shared" si="187"/>
        <v>1.7254901960784354E-2</v>
      </c>
      <c r="BD29" s="270">
        <f t="shared" si="187"/>
        <v>1.7254901960784354E-2</v>
      </c>
      <c r="BE29" s="271">
        <f t="shared" si="187"/>
        <v>1.7254901960784354E-2</v>
      </c>
      <c r="BF29" s="270">
        <f t="shared" si="187"/>
        <v>1.7254901960784354E-2</v>
      </c>
      <c r="BG29" s="271">
        <f t="shared" si="187"/>
        <v>1.7254901960784354E-2</v>
      </c>
      <c r="BH29" s="270">
        <f t="shared" si="187"/>
        <v>1.7254901960784354E-2</v>
      </c>
      <c r="BI29" s="271">
        <f t="shared" si="187"/>
        <v>1.7254901960784354E-2</v>
      </c>
      <c r="BJ29" s="270">
        <f t="shared" si="187"/>
        <v>1.7254901960784354E-2</v>
      </c>
      <c r="BK29" s="271">
        <f t="shared" si="187"/>
        <v>1.7254901960784354E-2</v>
      </c>
      <c r="BL29" s="270">
        <f t="shared" si="187"/>
        <v>1.7254901960784354E-2</v>
      </c>
      <c r="BM29" s="271">
        <f t="shared" si="187"/>
        <v>1.7254901960784354E-2</v>
      </c>
      <c r="BN29" s="270">
        <f t="shared" si="187"/>
        <v>1.7254901960784354E-2</v>
      </c>
      <c r="BO29" s="271">
        <f t="shared" si="187"/>
        <v>1.7254901960784354E-2</v>
      </c>
      <c r="BP29" s="270">
        <f t="shared" si="187"/>
        <v>1.7254901960784354E-2</v>
      </c>
      <c r="BQ29" s="271">
        <f t="shared" si="187"/>
        <v>1.7254901960784354E-2</v>
      </c>
      <c r="BR29" s="270">
        <f t="shared" si="187"/>
        <v>1.7254901960784354E-2</v>
      </c>
      <c r="BS29" s="271">
        <f t="shared" si="187"/>
        <v>1.7254901960784354E-2</v>
      </c>
      <c r="BT29" s="270">
        <f t="shared" si="187"/>
        <v>1.7254901960784354E-2</v>
      </c>
      <c r="BU29" s="271">
        <f t="shared" si="187"/>
        <v>1.7254901960784354E-2</v>
      </c>
      <c r="BV29" s="270">
        <f t="shared" si="187"/>
        <v>1.7254901960784354E-2</v>
      </c>
      <c r="BW29" s="271">
        <f t="shared" si="187"/>
        <v>1.7254901960784354E-2</v>
      </c>
      <c r="BX29" s="270">
        <f t="shared" si="187"/>
        <v>1.7254901960784354E-2</v>
      </c>
      <c r="BY29" s="271">
        <f t="shared" si="187"/>
        <v>1.7254901960784354E-2</v>
      </c>
      <c r="BZ29" s="270">
        <f t="shared" si="187"/>
        <v>1.7254901960784354E-2</v>
      </c>
      <c r="CA29" s="271">
        <f t="shared" si="187"/>
        <v>1.7254901960784354E-2</v>
      </c>
      <c r="CB29" s="270">
        <f t="shared" si="187"/>
        <v>1.7254901960784354E-2</v>
      </c>
      <c r="CC29" s="271">
        <f t="shared" si="187"/>
        <v>1.7254901960784354E-2</v>
      </c>
      <c r="CD29" s="270">
        <f t="shared" si="187"/>
        <v>1.7254901960784354E-2</v>
      </c>
      <c r="CE29" s="271">
        <f t="shared" si="187"/>
        <v>1.7254901960784354E-2</v>
      </c>
      <c r="CF29" s="270">
        <f t="shared" si="187"/>
        <v>1.7254901960784354E-2</v>
      </c>
      <c r="CG29" s="271">
        <f t="shared" si="187"/>
        <v>1.7254901960784354E-2</v>
      </c>
      <c r="CH29" s="270">
        <f t="shared" si="187"/>
        <v>1.7254901960784354E-2</v>
      </c>
      <c r="CI29" s="271">
        <f t="shared" si="187"/>
        <v>1.7254901960784354E-2</v>
      </c>
      <c r="CJ29" s="270">
        <f t="shared" si="187"/>
        <v>1.7254901960784354E-2</v>
      </c>
      <c r="CK29" s="271">
        <f t="shared" si="187"/>
        <v>1.7254901960784354E-2</v>
      </c>
      <c r="CL29" s="270">
        <f t="shared" si="187"/>
        <v>1.7254901960784354E-2</v>
      </c>
      <c r="CM29" s="271">
        <f t="shared" si="187"/>
        <v>1.7254901960784354E-2</v>
      </c>
      <c r="CN29" s="270">
        <f t="shared" si="187"/>
        <v>0.11922580645161295</v>
      </c>
      <c r="CO29" s="271">
        <f t="shared" si="187"/>
        <v>0.11922580645161296</v>
      </c>
      <c r="CP29" s="270">
        <f t="shared" si="187"/>
        <v>0.11922580645161295</v>
      </c>
      <c r="CQ29" s="271">
        <f t="shared" si="187"/>
        <v>0.11922580645161296</v>
      </c>
      <c r="CR29" s="270">
        <f t="shared" si="187"/>
        <v>5.8333333333333307E-2</v>
      </c>
      <c r="CS29" s="271">
        <f t="shared" si="187"/>
        <v>5.8333333333333313E-2</v>
      </c>
      <c r="CT29" s="257"/>
      <c r="CU29" s="265"/>
      <c r="CV29" s="266"/>
      <c r="CW29" s="265"/>
      <c r="CX29" s="266"/>
      <c r="CY29" s="265"/>
      <c r="CZ29" s="266"/>
      <c r="DA29" s="265"/>
      <c r="DB29" s="266"/>
      <c r="DC29" s="265"/>
      <c r="DD29" s="266"/>
      <c r="DE29" s="265"/>
      <c r="DF29" s="266"/>
      <c r="DG29" s="265"/>
      <c r="DH29" s="266"/>
      <c r="DI29" s="265"/>
      <c r="DJ29" s="266"/>
      <c r="DK29" s="265"/>
      <c r="DL29" s="266"/>
      <c r="DM29" s="265"/>
      <c r="DN29" s="266"/>
      <c r="DO29" s="265"/>
      <c r="DP29" s="266"/>
      <c r="DQ29" s="265"/>
      <c r="DR29" s="266"/>
      <c r="DS29" s="265"/>
      <c r="DT29" s="266"/>
      <c r="DU29" s="265"/>
      <c r="DV29" s="266"/>
      <c r="DW29" s="265"/>
      <c r="DX29" s="266"/>
      <c r="DY29" s="265"/>
      <c r="DZ29" s="266"/>
      <c r="EA29" s="265"/>
      <c r="EB29" s="266"/>
      <c r="EC29" s="265"/>
      <c r="ED29" s="266"/>
      <c r="EE29" s="265"/>
      <c r="EF29" s="266"/>
      <c r="EG29" s="265"/>
      <c r="EH29" s="266"/>
      <c r="EI29" s="265"/>
      <c r="EJ29" s="266"/>
      <c r="EK29" s="265"/>
      <c r="EL29" s="266"/>
      <c r="EM29" s="265"/>
      <c r="EN29" s="266"/>
      <c r="EO29" s="265"/>
      <c r="EP29" s="266"/>
      <c r="EQ29" s="265"/>
      <c r="ER29" s="266"/>
      <c r="ES29" s="265"/>
      <c r="ET29" s="266"/>
      <c r="EU29" s="265"/>
      <c r="EV29" s="266"/>
      <c r="EW29" s="265"/>
      <c r="EX29" s="266"/>
      <c r="EY29" s="265"/>
      <c r="EZ29" s="266"/>
      <c r="FA29" s="265"/>
      <c r="FB29" s="266"/>
      <c r="FC29" s="265"/>
      <c r="FD29" s="266"/>
      <c r="FE29" s="265"/>
      <c r="FF29" s="266"/>
      <c r="FG29" s="265"/>
      <c r="FH29" s="266"/>
      <c r="FI29" s="265"/>
      <c r="FJ29" s="266"/>
      <c r="FK29" s="265"/>
      <c r="FL29" s="266"/>
      <c r="FM29" s="270">
        <f>FM30/FM18</f>
        <v>5.6886647050581468E-2</v>
      </c>
      <c r="FN29" s="271">
        <f>FN30/FN18</f>
        <v>5.6886647050581468E-2</v>
      </c>
      <c r="FO29" s="270">
        <f>FO30/FO18</f>
        <v>5.6886647050581468E-2</v>
      </c>
      <c r="FP29" s="271">
        <f>FP30/FP18</f>
        <v>5.6886647050581468E-2</v>
      </c>
      <c r="FQ29" s="264"/>
      <c r="FR29" s="265"/>
      <c r="FS29" s="266"/>
      <c r="FT29" s="265"/>
      <c r="FU29" s="266"/>
      <c r="FV29" s="265"/>
      <c r="FW29" s="266"/>
      <c r="FX29" s="265"/>
      <c r="FY29" s="266"/>
      <c r="FZ29" s="265"/>
      <c r="GA29" s="266"/>
      <c r="GB29" s="265"/>
      <c r="GC29" s="266"/>
      <c r="GD29" s="265"/>
      <c r="GE29" s="266"/>
      <c r="GF29" s="265"/>
      <c r="GG29" s="266"/>
      <c r="GH29" s="265"/>
      <c r="GI29" s="266"/>
      <c r="GJ29" s="265"/>
      <c r="GK29" s="266"/>
      <c r="GL29" s="265"/>
      <c r="GM29" s="266"/>
      <c r="GN29" s="265"/>
      <c r="GO29" s="266"/>
      <c r="GP29" s="265"/>
      <c r="GQ29" s="266"/>
      <c r="GR29" s="265"/>
      <c r="GS29" s="266"/>
      <c r="GT29" s="265"/>
      <c r="GU29" s="266"/>
      <c r="GV29" s="265"/>
      <c r="GW29" s="266"/>
      <c r="GX29" s="265"/>
      <c r="GY29" s="266"/>
      <c r="GZ29" s="265"/>
      <c r="HA29" s="266"/>
      <c r="HB29" s="265"/>
      <c r="HC29" s="266"/>
      <c r="HD29" s="265"/>
      <c r="HE29" s="266"/>
      <c r="HF29" s="265"/>
      <c r="HG29" s="266"/>
      <c r="HH29" s="265"/>
      <c r="HI29" s="266"/>
      <c r="HJ29" s="265"/>
      <c r="HK29" s="266"/>
      <c r="HL29" s="265"/>
      <c r="HM29" s="266"/>
      <c r="HN29" s="265"/>
      <c r="HO29" s="266"/>
      <c r="HP29" s="265"/>
      <c r="HQ29" s="266"/>
      <c r="HR29" s="265"/>
      <c r="HS29" s="266"/>
      <c r="HT29" s="265"/>
      <c r="HU29" s="266"/>
      <c r="HV29" s="265"/>
      <c r="HW29" s="266"/>
      <c r="HX29" s="265"/>
      <c r="HY29" s="266"/>
      <c r="HZ29" s="265"/>
      <c r="IA29" s="266"/>
      <c r="IB29" s="265"/>
      <c r="IC29" s="266"/>
      <c r="ID29" s="265"/>
      <c r="IE29" s="266"/>
      <c r="IF29" s="265"/>
      <c r="IG29" s="266"/>
      <c r="IH29" s="265"/>
      <c r="II29" s="266"/>
      <c r="IJ29" s="247">
        <f>IJ30/IJ18</f>
        <v>0</v>
      </c>
      <c r="IK29" s="248">
        <f>+IJ29</f>
        <v>0</v>
      </c>
      <c r="IL29" s="247">
        <f>IL30/IL18</f>
        <v>0</v>
      </c>
      <c r="IM29" s="248">
        <f>+IL29</f>
        <v>0</v>
      </c>
      <c r="IN29" s="247">
        <f>IN30/IN18</f>
        <v>0</v>
      </c>
      <c r="IO29" s="248">
        <f>+IN29</f>
        <v>0</v>
      </c>
      <c r="IP29" s="247">
        <f>IP30/IP18</f>
        <v>0</v>
      </c>
      <c r="IQ29" s="248">
        <f>+IP29</f>
        <v>0</v>
      </c>
      <c r="IR29" s="247">
        <f>IR30/IR18</f>
        <v>0</v>
      </c>
      <c r="IS29" s="248">
        <f>+IR29</f>
        <v>0</v>
      </c>
      <c r="IT29" s="247">
        <f>IT30/IT18</f>
        <v>0</v>
      </c>
      <c r="IU29" s="248">
        <f>+IT29</f>
        <v>0</v>
      </c>
      <c r="IV29" s="270">
        <f t="shared" ref="IV29:IW29" si="188">IV30/IV18</f>
        <v>8.9572192513369037E-2</v>
      </c>
      <c r="IW29" s="271">
        <f t="shared" si="188"/>
        <v>8.9572192513369037E-2</v>
      </c>
      <c r="IX29" s="270">
        <f>IX30/IX18</f>
        <v>8.9572192513369037E-2</v>
      </c>
      <c r="IY29" s="271">
        <f>IY30/IY18</f>
        <v>8.9572192513369037E-2</v>
      </c>
      <c r="IZ29" s="264"/>
      <c r="JA29" s="267"/>
      <c r="JB29" s="268"/>
      <c r="JC29" s="265"/>
      <c r="JD29" s="266"/>
      <c r="JE29" s="264"/>
      <c r="JF29" s="265"/>
      <c r="JG29" s="266"/>
      <c r="JH29" s="265"/>
      <c r="JI29" s="266"/>
      <c r="JJ29" s="265"/>
      <c r="JK29" s="266"/>
      <c r="JL29" s="265"/>
      <c r="JM29" s="266"/>
      <c r="JN29" s="265"/>
      <c r="JO29" s="266"/>
      <c r="JP29" s="265"/>
      <c r="JQ29" s="266"/>
      <c r="JR29" s="265"/>
      <c r="JS29" s="266"/>
      <c r="JT29" s="265"/>
      <c r="JU29" s="266"/>
      <c r="JV29" s="265"/>
      <c r="JW29" s="266"/>
      <c r="JX29" s="265"/>
      <c r="JY29" s="266"/>
      <c r="JZ29" s="265"/>
      <c r="KA29" s="266"/>
      <c r="KB29" s="265"/>
      <c r="KC29" s="266"/>
      <c r="KD29" s="265"/>
      <c r="KE29" s="266"/>
      <c r="KF29" s="265"/>
      <c r="KG29" s="266"/>
      <c r="KH29" s="265"/>
      <c r="KI29" s="266"/>
      <c r="KJ29" s="265"/>
      <c r="KK29" s="266"/>
      <c r="KL29" s="265"/>
      <c r="KM29" s="266"/>
      <c r="KN29" s="265"/>
      <c r="KO29" s="266"/>
      <c r="KP29" s="265"/>
      <c r="KQ29" s="266"/>
      <c r="KR29" s="265"/>
      <c r="KS29" s="266"/>
      <c r="KT29" s="265"/>
      <c r="KU29" s="266"/>
      <c r="KV29" s="265"/>
      <c r="KW29" s="266"/>
      <c r="KX29" s="265"/>
      <c r="KY29" s="266"/>
      <c r="KZ29" s="265"/>
      <c r="LA29" s="266"/>
      <c r="LB29" s="270">
        <f t="shared" ref="LB29:MC29" si="189">LB30/LB18</f>
        <v>3.4935897435897534E-2</v>
      </c>
      <c r="LC29" s="271">
        <f t="shared" si="189"/>
        <v>3.4935897435897534E-2</v>
      </c>
      <c r="LD29" s="270">
        <f t="shared" si="189"/>
        <v>3.3808933002481487E-2</v>
      </c>
      <c r="LE29" s="271">
        <f t="shared" si="189"/>
        <v>3.3808933002481487E-2</v>
      </c>
      <c r="LF29" s="270">
        <f t="shared" si="189"/>
        <v>3.3808933002481487E-2</v>
      </c>
      <c r="LG29" s="271">
        <f t="shared" si="189"/>
        <v>3.3808933002481487E-2</v>
      </c>
      <c r="LH29" s="270">
        <f t="shared" si="189"/>
        <v>3.3808933002481487E-2</v>
      </c>
      <c r="LI29" s="271">
        <f t="shared" si="189"/>
        <v>3.3808933002481487E-2</v>
      </c>
      <c r="LJ29" s="270">
        <f t="shared" si="189"/>
        <v>3.3808933002481487E-2</v>
      </c>
      <c r="LK29" s="271">
        <f t="shared" si="189"/>
        <v>3.3808933002481487E-2</v>
      </c>
      <c r="LL29" s="270">
        <f t="shared" si="189"/>
        <v>3.3808933002481487E-2</v>
      </c>
      <c r="LM29" s="271">
        <f t="shared" si="189"/>
        <v>3.3808933002481487E-2</v>
      </c>
      <c r="LN29" s="270">
        <f t="shared" si="189"/>
        <v>3.3808933002481487E-2</v>
      </c>
      <c r="LO29" s="271">
        <f t="shared" si="189"/>
        <v>3.3808933002481487E-2</v>
      </c>
      <c r="LP29" s="270">
        <f t="shared" si="189"/>
        <v>3.3808933002481487E-2</v>
      </c>
      <c r="LQ29" s="271">
        <f t="shared" si="189"/>
        <v>3.3808933002481487E-2</v>
      </c>
      <c r="LR29" s="270">
        <f t="shared" si="189"/>
        <v>3.3808933002481487E-2</v>
      </c>
      <c r="LS29" s="271">
        <f t="shared" si="189"/>
        <v>3.3808933002481487E-2</v>
      </c>
      <c r="LT29" s="270">
        <f t="shared" si="189"/>
        <v>3.4935897435897534E-2</v>
      </c>
      <c r="LU29" s="271">
        <f t="shared" si="189"/>
        <v>3.4935897435897534E-2</v>
      </c>
      <c r="LV29" s="270">
        <f t="shared" si="189"/>
        <v>3.4935897435897534E-2</v>
      </c>
      <c r="LW29" s="271">
        <f t="shared" si="189"/>
        <v>3.4935897435897534E-2</v>
      </c>
      <c r="LX29" s="270">
        <f t="shared" si="189"/>
        <v>3.4935897435897534E-2</v>
      </c>
      <c r="LY29" s="271">
        <f t="shared" si="189"/>
        <v>3.4935897435897534E-2</v>
      </c>
      <c r="LZ29" s="270">
        <f t="shared" si="189"/>
        <v>3.4935897435897534E-2</v>
      </c>
      <c r="MA29" s="271">
        <f t="shared" si="189"/>
        <v>3.4935897435897534E-2</v>
      </c>
      <c r="MB29" s="270">
        <f t="shared" si="189"/>
        <v>3.4935897435897534E-2</v>
      </c>
      <c r="MC29" s="271">
        <f t="shared" si="189"/>
        <v>3.4935897435897534E-2</v>
      </c>
      <c r="MD29" s="270">
        <f>MD30/MD18</f>
        <v>3.4935897435897534E-2</v>
      </c>
      <c r="ME29" s="271">
        <f>ME30/ME18</f>
        <v>3.4935897435897534E-2</v>
      </c>
      <c r="MF29" s="270">
        <f>MF30/MF18</f>
        <v>0.24018429487179491</v>
      </c>
      <c r="MG29" s="271">
        <f>MG30/MG18</f>
        <v>0.24018429487179491</v>
      </c>
      <c r="MH29" s="264"/>
      <c r="MI29" s="265"/>
      <c r="MJ29" s="266"/>
      <c r="MK29" s="265"/>
      <c r="ML29" s="266"/>
      <c r="MM29" s="265"/>
      <c r="MN29" s="266"/>
      <c r="MO29" s="265"/>
      <c r="MP29" s="266"/>
      <c r="MQ29" s="265"/>
      <c r="MR29" s="266"/>
      <c r="MS29" s="265"/>
      <c r="MT29" s="266"/>
      <c r="MU29" s="265"/>
      <c r="MV29" s="266"/>
      <c r="MW29" s="265"/>
      <c r="MX29" s="266"/>
      <c r="MY29" s="265"/>
      <c r="MZ29" s="266"/>
      <c r="NA29" s="265"/>
      <c r="NB29" s="266"/>
      <c r="NC29" s="265"/>
      <c r="ND29" s="266"/>
      <c r="NE29" s="265"/>
      <c r="NF29" s="266"/>
      <c r="NG29" s="265"/>
      <c r="NH29" s="266"/>
      <c r="NI29" s="265"/>
      <c r="NJ29" s="266"/>
      <c r="NK29" s="265"/>
      <c r="NL29" s="266"/>
      <c r="NM29" s="265"/>
      <c r="NN29" s="266"/>
      <c r="NO29" s="265"/>
      <c r="NP29" s="266"/>
      <c r="NQ29" s="265"/>
      <c r="NR29" s="266"/>
      <c r="NS29" s="265"/>
      <c r="NT29" s="266"/>
      <c r="NU29" s="265"/>
      <c r="NV29" s="266"/>
      <c r="NW29" s="265"/>
      <c r="NX29" s="266"/>
      <c r="NY29" s="265"/>
      <c r="NZ29" s="266"/>
      <c r="OA29" s="265"/>
      <c r="OB29" s="266"/>
      <c r="OC29" s="265"/>
      <c r="OD29" s="266"/>
      <c r="OE29" s="270">
        <f t="shared" ref="OE29:PF29" si="190">OE30/OE18</f>
        <v>1.4112903225806495E-2</v>
      </c>
      <c r="OF29" s="271">
        <f t="shared" si="190"/>
        <v>1.4112903225806496E-2</v>
      </c>
      <c r="OG29" s="270">
        <f t="shared" si="190"/>
        <v>1.4112903225806495E-2</v>
      </c>
      <c r="OH29" s="271">
        <f t="shared" si="190"/>
        <v>1.4112903225806496E-2</v>
      </c>
      <c r="OI29" s="270">
        <f t="shared" si="190"/>
        <v>1.4112903225806495E-2</v>
      </c>
      <c r="OJ29" s="271">
        <f t="shared" si="190"/>
        <v>1.4112903225806496E-2</v>
      </c>
      <c r="OK29" s="270">
        <f t="shared" si="190"/>
        <v>1.4112903225806495E-2</v>
      </c>
      <c r="OL29" s="271">
        <f t="shared" si="190"/>
        <v>1.4112903225806496E-2</v>
      </c>
      <c r="OM29" s="270">
        <f t="shared" si="190"/>
        <v>1.4112903225806495E-2</v>
      </c>
      <c r="ON29" s="271">
        <f t="shared" si="190"/>
        <v>1.4112903225806496E-2</v>
      </c>
      <c r="OO29" s="270">
        <f t="shared" si="190"/>
        <v>1.4112903225806495E-2</v>
      </c>
      <c r="OP29" s="271">
        <f t="shared" si="190"/>
        <v>1.4112903225806496E-2</v>
      </c>
      <c r="OQ29" s="270">
        <f t="shared" si="190"/>
        <v>1.4112903225806495E-2</v>
      </c>
      <c r="OR29" s="271">
        <f t="shared" si="190"/>
        <v>1.4112903225806496E-2</v>
      </c>
      <c r="OS29" s="270">
        <f t="shared" si="190"/>
        <v>1.4112903225806495E-2</v>
      </c>
      <c r="OT29" s="271">
        <f t="shared" si="190"/>
        <v>1.4112903225806496E-2</v>
      </c>
      <c r="OU29" s="270">
        <f t="shared" si="190"/>
        <v>1.4112903225806495E-2</v>
      </c>
      <c r="OV29" s="271">
        <f t="shared" si="190"/>
        <v>1.4112903225806496E-2</v>
      </c>
      <c r="OW29" s="270">
        <f t="shared" si="190"/>
        <v>1.4112903225806495E-2</v>
      </c>
      <c r="OX29" s="271">
        <f t="shared" si="190"/>
        <v>1.4112903225806496E-2</v>
      </c>
      <c r="OY29" s="270">
        <f t="shared" si="190"/>
        <v>1.4112903225806495E-2</v>
      </c>
      <c r="OZ29" s="271">
        <f t="shared" si="190"/>
        <v>1.4112903225806496E-2</v>
      </c>
      <c r="PA29" s="270">
        <f t="shared" si="190"/>
        <v>1.4112903225806495E-2</v>
      </c>
      <c r="PB29" s="271">
        <f t="shared" si="190"/>
        <v>1.4112903225806496E-2</v>
      </c>
      <c r="PC29" s="270">
        <f t="shared" si="190"/>
        <v>1.4112903225806495E-2</v>
      </c>
      <c r="PD29" s="271">
        <f t="shared" si="190"/>
        <v>1.4112903225806496E-2</v>
      </c>
      <c r="PE29" s="270">
        <f t="shared" si="190"/>
        <v>1.4112903225806495E-2</v>
      </c>
      <c r="PF29" s="271">
        <f t="shared" si="190"/>
        <v>1.4112903225806496E-2</v>
      </c>
      <c r="PG29" s="270">
        <f>PG30/PG18</f>
        <v>1.4112903225806495E-2</v>
      </c>
      <c r="PH29" s="271">
        <f>PH30/PH18</f>
        <v>1.4112903225806496E-2</v>
      </c>
      <c r="PI29" s="265"/>
      <c r="PJ29" s="266"/>
      <c r="PK29" s="265"/>
      <c r="PL29" s="266"/>
      <c r="PM29" s="270">
        <f>PM30/PM18</f>
        <v>0.205078125</v>
      </c>
      <c r="PN29" s="271">
        <f>PN30/PN18</f>
        <v>0.20507812500000003</v>
      </c>
      <c r="PO29" s="270">
        <f>PO30/PO18</f>
        <v>0.45572916666666669</v>
      </c>
      <c r="PP29" s="271">
        <f>PP30/PP18</f>
        <v>0.45572916666666669</v>
      </c>
      <c r="PQ29" s="260"/>
      <c r="PR29" s="265"/>
      <c r="PS29" s="266"/>
      <c r="PT29" s="265"/>
      <c r="PU29" s="266"/>
      <c r="PV29" s="265"/>
      <c r="PW29" s="266"/>
      <c r="PX29" s="265"/>
      <c r="PY29" s="266"/>
      <c r="PZ29" s="265"/>
      <c r="QA29" s="266"/>
      <c r="QB29" s="265"/>
      <c r="QC29" s="266"/>
      <c r="QD29" s="260"/>
      <c r="QE29" s="260"/>
      <c r="QF29" s="265"/>
      <c r="QG29" s="266"/>
      <c r="QH29" s="265"/>
      <c r="QI29" s="266"/>
      <c r="QJ29" s="265"/>
      <c r="QK29" s="266"/>
      <c r="QL29" s="265"/>
      <c r="QM29" s="266"/>
      <c r="QN29" s="265"/>
      <c r="QO29" s="266"/>
      <c r="QP29" s="265"/>
      <c r="QQ29" s="266"/>
    </row>
    <row r="30" spans="1:459" x14ac:dyDescent="0.45">
      <c r="A30" s="876"/>
      <c r="B30" s="272" t="s">
        <v>338</v>
      </c>
      <c r="C30" s="262"/>
      <c r="D30" s="263"/>
      <c r="E30" s="264"/>
      <c r="F30" s="265"/>
      <c r="G30" s="266"/>
      <c r="H30" s="265"/>
      <c r="I30" s="266"/>
      <c r="J30" s="265"/>
      <c r="K30" s="266"/>
      <c r="L30" s="265"/>
      <c r="M30" s="266"/>
      <c r="N30" s="265"/>
      <c r="O30" s="266"/>
      <c r="P30" s="265"/>
      <c r="Q30" s="266"/>
      <c r="R30" s="265"/>
      <c r="S30" s="266"/>
      <c r="T30" s="265"/>
      <c r="U30" s="266"/>
      <c r="V30" s="265"/>
      <c r="W30" s="266"/>
      <c r="X30" s="265"/>
      <c r="Y30" s="266"/>
      <c r="Z30" s="265"/>
      <c r="AA30" s="266"/>
      <c r="AB30" s="265"/>
      <c r="AC30" s="266"/>
      <c r="AD30" s="265"/>
      <c r="AE30" s="266"/>
      <c r="AF30" s="265"/>
      <c r="AG30" s="266"/>
      <c r="AH30" s="265"/>
      <c r="AI30" s="266"/>
      <c r="AJ30" s="265">
        <f t="shared" ref="AJ30" si="191" xml:space="preserve"> AJ31-(AJ31*25/(25+0.5))</f>
        <v>0.24156862745098096</v>
      </c>
      <c r="AK30" s="266">
        <f t="shared" ref="AK30" si="192">AJ30/AJ10</f>
        <v>0.18300653594771282</v>
      </c>
      <c r="AL30" s="265">
        <f t="shared" ref="AL30" si="193" xml:space="preserve"> AL31-(AL31*25/(25+0.5))</f>
        <v>0.24156862745098096</v>
      </c>
      <c r="AM30" s="266">
        <f t="shared" ref="AM30" si="194">AL30/AL10</f>
        <v>0.18300653594771282</v>
      </c>
      <c r="AN30" s="265">
        <f t="shared" ref="AN30" si="195" xml:space="preserve"> AN31-(AN31*25/(25+0.5))</f>
        <v>0.24156862745098096</v>
      </c>
      <c r="AO30" s="266">
        <f t="shared" ref="AO30" si="196">AN30/AN10</f>
        <v>0.18300653594771282</v>
      </c>
      <c r="AP30" s="265">
        <f t="shared" ref="AP30" si="197" xml:space="preserve"> AP31-(AP31*25/(25+0.5))</f>
        <v>0.24156862745098096</v>
      </c>
      <c r="AQ30" s="266">
        <f t="shared" ref="AQ30" si="198">AP30/AP10</f>
        <v>0.18300653594771282</v>
      </c>
      <c r="AR30" s="265">
        <f t="shared" ref="AR30" si="199" xml:space="preserve"> AR31-(AR31*25/(25+0.5))</f>
        <v>0.24156862745098096</v>
      </c>
      <c r="AS30" s="266">
        <f t="shared" ref="AS30" si="200">AR30/AR10</f>
        <v>0.18300653594771282</v>
      </c>
      <c r="AT30" s="265">
        <f t="shared" ref="AT30" si="201" xml:space="preserve"> AT31-(AT31*25/(25+0.5))</f>
        <v>0.24156862745098096</v>
      </c>
      <c r="AU30" s="266">
        <f t="shared" ref="AU30" si="202">AT30/AT10</f>
        <v>0.18300653594771282</v>
      </c>
      <c r="AV30" s="265">
        <f t="shared" ref="AV30" si="203" xml:space="preserve"> AV31-(AV31*25/(25+0.5))</f>
        <v>0.24156862745098096</v>
      </c>
      <c r="AW30" s="266">
        <f t="shared" ref="AW30" si="204">AV30/AV10</f>
        <v>0.18300653594771282</v>
      </c>
      <c r="AX30" s="265">
        <f t="shared" ref="AX30" si="205" xml:space="preserve"> AX31-(AX31*25/(25+0.5))</f>
        <v>0.24156862745098096</v>
      </c>
      <c r="AY30" s="266">
        <f t="shared" ref="AY30" si="206">AX30/AX10</f>
        <v>0.18300653594771282</v>
      </c>
      <c r="AZ30" s="265">
        <f t="shared" ref="AZ30" si="207" xml:space="preserve"> AZ31-(AZ31*25/(25+0.5))</f>
        <v>0.24156862745098096</v>
      </c>
      <c r="BA30" s="266">
        <f t="shared" ref="BA30" si="208">AZ30/AZ10</f>
        <v>0.18300653594771282</v>
      </c>
      <c r="BB30" s="265">
        <f t="shared" ref="BB30" si="209" xml:space="preserve"> BB31-(BB31*25/(25+0.5))</f>
        <v>0.24156862745098096</v>
      </c>
      <c r="BC30" s="266">
        <f t="shared" ref="BC30" si="210">BB30/BB10</f>
        <v>0.18300653594771282</v>
      </c>
      <c r="BD30" s="265">
        <f t="shared" ref="BD30" si="211" xml:space="preserve"> BD31-(BD31*25/(25+0.5))</f>
        <v>0.24156862745098096</v>
      </c>
      <c r="BE30" s="266">
        <f t="shared" ref="BE30" si="212">BD30/BD10</f>
        <v>0.18300653594771282</v>
      </c>
      <c r="BF30" s="265">
        <f t="shared" ref="BF30" si="213" xml:space="preserve"> BF31-(BF31*25/(25+0.5))</f>
        <v>0.24156862745098096</v>
      </c>
      <c r="BG30" s="266">
        <f t="shared" ref="BG30" si="214">BF30/BF10</f>
        <v>0.18300653594771282</v>
      </c>
      <c r="BH30" s="265">
        <f t="shared" ref="BH30" si="215" xml:space="preserve"> BH31-(BH31*25/(25+0.5))</f>
        <v>0.24156862745098096</v>
      </c>
      <c r="BI30" s="266">
        <f t="shared" ref="BI30" si="216">BH30/BH10</f>
        <v>0.18300653594771282</v>
      </c>
      <c r="BJ30" s="265">
        <f t="shared" ref="BJ30" si="217" xml:space="preserve"> BJ31-(BJ31*25/(25+0.5))</f>
        <v>0.24156862745098096</v>
      </c>
      <c r="BK30" s="266">
        <f t="shared" ref="BK30" si="218">BJ30/BJ10</f>
        <v>0.18300653594771282</v>
      </c>
      <c r="BL30" s="265">
        <f t="shared" ref="BL30" si="219" xml:space="preserve"> BL31-(BL31*25/(25+0.5))</f>
        <v>0.24156862745098096</v>
      </c>
      <c r="BM30" s="266">
        <f t="shared" ref="BM30" si="220">BL30/BL10</f>
        <v>0.18300653594771282</v>
      </c>
      <c r="BN30" s="265">
        <f t="shared" ref="BN30" si="221" xml:space="preserve"> BN31-(BN31*25/(25+0.5))</f>
        <v>0.24156862745098096</v>
      </c>
      <c r="BO30" s="266">
        <f t="shared" ref="BO30" si="222">BN30/BN10</f>
        <v>0.18300653594771282</v>
      </c>
      <c r="BP30" s="265">
        <f t="shared" ref="BP30" si="223" xml:space="preserve"> BP31-(BP31*25/(25+0.5))</f>
        <v>0.24156862745098096</v>
      </c>
      <c r="BQ30" s="266">
        <f t="shared" ref="BQ30" si="224">BP30/BP10</f>
        <v>0.18300653594771282</v>
      </c>
      <c r="BR30" s="265">
        <f t="shared" ref="BR30" si="225" xml:space="preserve"> BR31-(BR31*25/(25+0.5))</f>
        <v>0.24156862745098096</v>
      </c>
      <c r="BS30" s="266">
        <f t="shared" ref="BS30" si="226">BR30/BR10</f>
        <v>0.18300653594771282</v>
      </c>
      <c r="BT30" s="265">
        <f t="shared" ref="BT30" si="227" xml:space="preserve"> BT31-(BT31*25/(25+0.5))</f>
        <v>0.24156862745098096</v>
      </c>
      <c r="BU30" s="266">
        <f t="shared" ref="BU30" si="228">BT30/BT10</f>
        <v>0.18300653594771282</v>
      </c>
      <c r="BV30" s="265">
        <f t="shared" ref="BV30" si="229" xml:space="preserve"> BV31-(BV31*25/(25+0.5))</f>
        <v>0.24156862745098096</v>
      </c>
      <c r="BW30" s="266">
        <f t="shared" ref="BW30" si="230">BV30/BV10</f>
        <v>0.18300653594771282</v>
      </c>
      <c r="BX30" s="265">
        <f t="shared" ref="BX30" si="231" xml:space="preserve"> BX31-(BX31*25/(25+0.5))</f>
        <v>0.24156862745098096</v>
      </c>
      <c r="BY30" s="266">
        <f t="shared" ref="BY30" si="232">BX30/BX10</f>
        <v>0.18300653594771282</v>
      </c>
      <c r="BZ30" s="265">
        <f t="shared" ref="BZ30" si="233" xml:space="preserve"> BZ31-(BZ31*25/(25+0.5))</f>
        <v>0.24156862745098096</v>
      </c>
      <c r="CA30" s="266">
        <f t="shared" ref="CA30" si="234">BZ30/BZ10</f>
        <v>0.18300653594771282</v>
      </c>
      <c r="CB30" s="265">
        <f t="shared" ref="CB30" si="235" xml:space="preserve"> CB31-(CB31*25/(25+0.5))</f>
        <v>0.24156862745098096</v>
      </c>
      <c r="CC30" s="266">
        <f t="shared" ref="CC30" si="236">CB30/CB10</f>
        <v>0.18300653594771282</v>
      </c>
      <c r="CD30" s="265">
        <f t="shared" ref="CD30" si="237" xml:space="preserve"> CD31-(CD31*25/(25+0.5))</f>
        <v>0.24156862745098096</v>
      </c>
      <c r="CE30" s="266">
        <f t="shared" ref="CE30" si="238">CD30/CD10</f>
        <v>0.18300653594771282</v>
      </c>
      <c r="CF30" s="265">
        <f t="shared" ref="CF30" si="239" xml:space="preserve"> CF31-(CF31*25/(25+0.5))</f>
        <v>0.24156862745098096</v>
      </c>
      <c r="CG30" s="266">
        <f t="shared" ref="CG30" si="240">CF30/CF10</f>
        <v>0.18300653594771282</v>
      </c>
      <c r="CH30" s="265">
        <f t="shared" ref="CH30" si="241" xml:space="preserve"> CH31-(CH31*25/(25+0.5))</f>
        <v>0.24156862745098096</v>
      </c>
      <c r="CI30" s="266">
        <f t="shared" ref="CI30" si="242">CH30/CH10</f>
        <v>0.18300653594771282</v>
      </c>
      <c r="CJ30" s="265">
        <f t="shared" ref="CJ30" si="243" xml:space="preserve"> CJ31-(CJ31*25/(25+0.5))</f>
        <v>0.24156862745098096</v>
      </c>
      <c r="CK30" s="266">
        <f t="shared" ref="CK30" si="244">CJ30/CJ10</f>
        <v>0.18300653594771282</v>
      </c>
      <c r="CL30" s="265">
        <f xml:space="preserve"> CL31-(CL31*25/(25+0.5))</f>
        <v>0.24156862745098096</v>
      </c>
      <c r="CM30" s="266">
        <f>CL30/CL10</f>
        <v>0.18300653594771282</v>
      </c>
      <c r="CN30" s="265">
        <f xml:space="preserve"> CN31-(CN31*110/(110+15))</f>
        <v>1.4784000000000006</v>
      </c>
      <c r="CO30" s="266">
        <f>CN30/CN10</f>
        <v>1.1200000000000003</v>
      </c>
      <c r="CP30" s="265">
        <f xml:space="preserve"> CP31-(CP31*110/(110+15))</f>
        <v>1.4784000000000006</v>
      </c>
      <c r="CQ30" s="266">
        <f>CP30/CP10</f>
        <v>1.1200000000000003</v>
      </c>
      <c r="CR30" s="265">
        <f xml:space="preserve"> CR31-(CR31*105/(105+7))</f>
        <v>0.76999999999999957</v>
      </c>
      <c r="CS30" s="266">
        <f>CR30/CR10</f>
        <v>0.58333333333333304</v>
      </c>
      <c r="CT30" s="257"/>
      <c r="CU30" s="265"/>
      <c r="CV30" s="266"/>
      <c r="CW30" s="265"/>
      <c r="CX30" s="266"/>
      <c r="CY30" s="265"/>
      <c r="CZ30" s="266"/>
      <c r="DA30" s="265"/>
      <c r="DB30" s="266"/>
      <c r="DC30" s="265"/>
      <c r="DD30" s="266"/>
      <c r="DE30" s="265"/>
      <c r="DF30" s="266"/>
      <c r="DG30" s="265"/>
      <c r="DH30" s="266"/>
      <c r="DI30" s="265"/>
      <c r="DJ30" s="266"/>
      <c r="DK30" s="265"/>
      <c r="DL30" s="266"/>
      <c r="DM30" s="265"/>
      <c r="DN30" s="266"/>
      <c r="DO30" s="265"/>
      <c r="DP30" s="266"/>
      <c r="DQ30" s="265"/>
      <c r="DR30" s="266"/>
      <c r="DS30" s="265"/>
      <c r="DT30" s="266"/>
      <c r="DU30" s="265"/>
      <c r="DV30" s="266"/>
      <c r="DW30" s="265"/>
      <c r="DX30" s="266"/>
      <c r="DY30" s="265"/>
      <c r="DZ30" s="266"/>
      <c r="EA30" s="265"/>
      <c r="EB30" s="266"/>
      <c r="EC30" s="265"/>
      <c r="ED30" s="266"/>
      <c r="EE30" s="265"/>
      <c r="EF30" s="266"/>
      <c r="EG30" s="265"/>
      <c r="EH30" s="266"/>
      <c r="EI30" s="265"/>
      <c r="EJ30" s="266"/>
      <c r="EK30" s="265"/>
      <c r="EL30" s="266"/>
      <c r="EM30" s="265"/>
      <c r="EN30" s="266"/>
      <c r="EO30" s="265"/>
      <c r="EP30" s="266"/>
      <c r="EQ30" s="265"/>
      <c r="ER30" s="266"/>
      <c r="ES30" s="265"/>
      <c r="ET30" s="266"/>
      <c r="EU30" s="265"/>
      <c r="EV30" s="266"/>
      <c r="EW30" s="265"/>
      <c r="EX30" s="266"/>
      <c r="EY30" s="265"/>
      <c r="EZ30" s="266"/>
      <c r="FA30" s="265"/>
      <c r="FB30" s="266"/>
      <c r="FC30" s="265"/>
      <c r="FD30" s="266"/>
      <c r="FE30" s="265"/>
      <c r="FF30" s="266"/>
      <c r="FG30" s="265"/>
      <c r="FH30" s="266"/>
      <c r="FI30" s="265"/>
      <c r="FJ30" s="266"/>
      <c r="FK30" s="265"/>
      <c r="FL30" s="266"/>
      <c r="FM30" s="265">
        <f xml:space="preserve"> FM31-(FM31*110/(110+7))</f>
        <v>1.0410256410256409</v>
      </c>
      <c r="FN30" s="266">
        <f>FM30/FM10</f>
        <v>0.78865578865578856</v>
      </c>
      <c r="FO30" s="265">
        <f xml:space="preserve"> FO31-(FO31*110/(110+7))</f>
        <v>1.0410256410256409</v>
      </c>
      <c r="FP30" s="266">
        <f>FO30/FO10</f>
        <v>0.78865578865578856</v>
      </c>
      <c r="FQ30" s="264"/>
      <c r="FR30" s="265"/>
      <c r="FS30" s="266"/>
      <c r="FT30" s="265"/>
      <c r="FU30" s="266"/>
      <c r="FV30" s="265"/>
      <c r="FW30" s="266"/>
      <c r="FX30" s="265"/>
      <c r="FY30" s="266"/>
      <c r="FZ30" s="265"/>
      <c r="GA30" s="266"/>
      <c r="GB30" s="265"/>
      <c r="GC30" s="266"/>
      <c r="GD30" s="265"/>
      <c r="GE30" s="266"/>
      <c r="GF30" s="265"/>
      <c r="GG30" s="266"/>
      <c r="GH30" s="265"/>
      <c r="GI30" s="266"/>
      <c r="GJ30" s="265"/>
      <c r="GK30" s="266"/>
      <c r="GL30" s="265"/>
      <c r="GM30" s="266"/>
      <c r="GN30" s="265"/>
      <c r="GO30" s="266"/>
      <c r="GP30" s="265"/>
      <c r="GQ30" s="266"/>
      <c r="GR30" s="265"/>
      <c r="GS30" s="266"/>
      <c r="GT30" s="265"/>
      <c r="GU30" s="266"/>
      <c r="GV30" s="265"/>
      <c r="GW30" s="266"/>
      <c r="GX30" s="265"/>
      <c r="GY30" s="266"/>
      <c r="GZ30" s="265"/>
      <c r="HA30" s="266"/>
      <c r="HB30" s="265"/>
      <c r="HC30" s="266"/>
      <c r="HD30" s="265"/>
      <c r="HE30" s="266"/>
      <c r="HF30" s="265"/>
      <c r="HG30" s="266"/>
      <c r="HH30" s="265"/>
      <c r="HI30" s="266"/>
      <c r="HJ30" s="265"/>
      <c r="HK30" s="266"/>
      <c r="HL30" s="265"/>
      <c r="HM30" s="266"/>
      <c r="HN30" s="265"/>
      <c r="HO30" s="266"/>
      <c r="HP30" s="265"/>
      <c r="HQ30" s="266"/>
      <c r="HR30" s="265"/>
      <c r="HS30" s="266"/>
      <c r="HT30" s="265"/>
      <c r="HU30" s="266"/>
      <c r="HV30" s="265"/>
      <c r="HW30" s="266"/>
      <c r="HX30" s="265"/>
      <c r="HY30" s="266"/>
      <c r="HZ30" s="265"/>
      <c r="IA30" s="266"/>
      <c r="IB30" s="265"/>
      <c r="IC30" s="266"/>
      <c r="ID30" s="265"/>
      <c r="IE30" s="266"/>
      <c r="IF30" s="265"/>
      <c r="IG30" s="266"/>
      <c r="IH30" s="265"/>
      <c r="II30" s="266"/>
      <c r="IJ30" s="265"/>
      <c r="IK30" s="266"/>
      <c r="IL30" s="265"/>
      <c r="IM30" s="266"/>
      <c r="IN30" s="265"/>
      <c r="IO30" s="266"/>
      <c r="IP30" s="265"/>
      <c r="IQ30" s="266"/>
      <c r="IR30" s="265"/>
      <c r="IS30" s="266"/>
      <c r="IT30" s="265"/>
      <c r="IU30" s="266"/>
      <c r="IV30" s="265">
        <f xml:space="preserve"> IV31-(IV31*10/(10+1))</f>
        <v>1.2181818181818187</v>
      </c>
      <c r="IW30" s="266">
        <f t="shared" ref="IW30" si="245">IV30/IV10</f>
        <v>0.92286501377410501</v>
      </c>
      <c r="IX30" s="265">
        <f xml:space="preserve"> IX31-(IX31*10/(10+1))</f>
        <v>1.2181818181818187</v>
      </c>
      <c r="IY30" s="266">
        <f>IX30/IX10</f>
        <v>0.92286501377410501</v>
      </c>
      <c r="IZ30" s="264"/>
      <c r="JA30" s="267"/>
      <c r="JB30" s="268"/>
      <c r="JC30" s="265"/>
      <c r="JD30" s="266"/>
      <c r="JE30" s="264"/>
      <c r="JF30" s="265"/>
      <c r="JG30" s="266"/>
      <c r="JH30" s="265"/>
      <c r="JI30" s="266"/>
      <c r="JJ30" s="265"/>
      <c r="JK30" s="266"/>
      <c r="JL30" s="265"/>
      <c r="JM30" s="266"/>
      <c r="JN30" s="265"/>
      <c r="JO30" s="266"/>
      <c r="JP30" s="265"/>
      <c r="JQ30" s="266"/>
      <c r="JR30" s="265"/>
      <c r="JS30" s="266"/>
      <c r="JT30" s="265"/>
      <c r="JU30" s="266"/>
      <c r="JV30" s="265"/>
      <c r="JW30" s="266"/>
      <c r="JX30" s="265"/>
      <c r="JY30" s="266"/>
      <c r="JZ30" s="265"/>
      <c r="KA30" s="266"/>
      <c r="KB30" s="265"/>
      <c r="KC30" s="266"/>
      <c r="KD30" s="265"/>
      <c r="KE30" s="266"/>
      <c r="KF30" s="265"/>
      <c r="KG30" s="266"/>
      <c r="KH30" s="265"/>
      <c r="KI30" s="266"/>
      <c r="KJ30" s="265"/>
      <c r="KK30" s="266"/>
      <c r="KL30" s="265"/>
      <c r="KM30" s="266"/>
      <c r="KN30" s="265"/>
      <c r="KO30" s="266"/>
      <c r="KP30" s="265"/>
      <c r="KQ30" s="266"/>
      <c r="KR30" s="265"/>
      <c r="KS30" s="266"/>
      <c r="KT30" s="265"/>
      <c r="KU30" s="266"/>
      <c r="KV30" s="265"/>
      <c r="KW30" s="266"/>
      <c r="KX30" s="265"/>
      <c r="KY30" s="266"/>
      <c r="KZ30" s="265"/>
      <c r="LA30" s="266"/>
      <c r="LB30" s="265">
        <f t="shared" ref="LB30" si="246" xml:space="preserve"> LB31-(LB31*25/(25+1))</f>
        <v>0.41923076923077041</v>
      </c>
      <c r="LC30" s="266">
        <f t="shared" ref="LC30" si="247">LB30/LB10</f>
        <v>0.31759906759906847</v>
      </c>
      <c r="LD30" s="265">
        <f t="shared" ref="LD30" si="248" xml:space="preserve"> LD31-(LD31*25/(25+1))</f>
        <v>0.41923076923077041</v>
      </c>
      <c r="LE30" s="266">
        <f t="shared" ref="LE30" si="249">LD30/LD10</f>
        <v>0.31759906759906847</v>
      </c>
      <c r="LF30" s="265">
        <f t="shared" ref="LF30" si="250" xml:space="preserve"> LF31-(LF31*25/(25+1))</f>
        <v>0.41923076923077041</v>
      </c>
      <c r="LG30" s="266">
        <f t="shared" ref="LG30" si="251">LF30/LF10</f>
        <v>0.31759906759906847</v>
      </c>
      <c r="LH30" s="265">
        <f t="shared" ref="LH30" si="252" xml:space="preserve"> LH31-(LH31*25/(25+1))</f>
        <v>0.41923076923077041</v>
      </c>
      <c r="LI30" s="266">
        <f t="shared" ref="LI30" si="253">LH30/LH10</f>
        <v>0.31759906759906847</v>
      </c>
      <c r="LJ30" s="265">
        <f t="shared" ref="LJ30" si="254" xml:space="preserve"> LJ31-(LJ31*25/(25+1))</f>
        <v>0.41923076923077041</v>
      </c>
      <c r="LK30" s="266">
        <f t="shared" ref="LK30" si="255">LJ30/LJ10</f>
        <v>0.31759906759906847</v>
      </c>
      <c r="LL30" s="265">
        <f t="shared" ref="LL30" si="256" xml:space="preserve"> LL31-(LL31*25/(25+1))</f>
        <v>0.41923076923077041</v>
      </c>
      <c r="LM30" s="266">
        <f t="shared" ref="LM30" si="257">LL30/LL10</f>
        <v>0.31759906759906847</v>
      </c>
      <c r="LN30" s="265">
        <f t="shared" ref="LN30" si="258" xml:space="preserve"> LN31-(LN31*25/(25+1))</f>
        <v>0.41923076923077041</v>
      </c>
      <c r="LO30" s="266">
        <f t="shared" ref="LO30" si="259">LN30/LN10</f>
        <v>0.31759906759906847</v>
      </c>
      <c r="LP30" s="265">
        <f t="shared" ref="LP30" si="260" xml:space="preserve"> LP31-(LP31*25/(25+1))</f>
        <v>0.41923076923077041</v>
      </c>
      <c r="LQ30" s="266">
        <f t="shared" ref="LQ30" si="261">LP30/LP10</f>
        <v>0.31759906759906847</v>
      </c>
      <c r="LR30" s="265">
        <f t="shared" ref="LR30" si="262" xml:space="preserve"> LR31-(LR31*25/(25+1))</f>
        <v>0.41923076923077041</v>
      </c>
      <c r="LS30" s="266">
        <f t="shared" ref="LS30" si="263">LR30/LR10</f>
        <v>0.31759906759906847</v>
      </c>
      <c r="LT30" s="265">
        <f t="shared" ref="LT30" si="264" xml:space="preserve"> LT31-(LT31*25/(25+1))</f>
        <v>0.41923076923077041</v>
      </c>
      <c r="LU30" s="266">
        <f t="shared" ref="LU30" si="265">LT30/LT10</f>
        <v>0.31759906759906847</v>
      </c>
      <c r="LV30" s="265">
        <f t="shared" ref="LV30" si="266" xml:space="preserve"> LV31-(LV31*25/(25+1))</f>
        <v>0.41923076923077041</v>
      </c>
      <c r="LW30" s="266">
        <f t="shared" ref="LW30" si="267">LV30/LV10</f>
        <v>0.31759906759906847</v>
      </c>
      <c r="LX30" s="265">
        <f t="shared" ref="LX30" si="268" xml:space="preserve"> LX31-(LX31*25/(25+1))</f>
        <v>0.41923076923077041</v>
      </c>
      <c r="LY30" s="266">
        <f t="shared" ref="LY30" si="269">LX30/LX10</f>
        <v>0.31759906759906847</v>
      </c>
      <c r="LZ30" s="265">
        <f t="shared" ref="LZ30" si="270" xml:space="preserve"> LZ31-(LZ31*25/(25+1))</f>
        <v>0.41923076923077041</v>
      </c>
      <c r="MA30" s="266">
        <f t="shared" ref="MA30" si="271">LZ30/LZ10</f>
        <v>0.31759906759906847</v>
      </c>
      <c r="MB30" s="265">
        <f t="shared" ref="MB30" si="272" xml:space="preserve"> MB31-(MB31*25/(25+1))</f>
        <v>0.41923076923077041</v>
      </c>
      <c r="MC30" s="266">
        <f t="shared" ref="MC30" si="273">MB30/MB10</f>
        <v>0.31759906759906847</v>
      </c>
      <c r="MD30" s="265">
        <f xml:space="preserve"> MD31-(MD31*25/(25+1))</f>
        <v>0.41923076923077041</v>
      </c>
      <c r="ME30" s="266">
        <f>MD30/MD10</f>
        <v>0.31759906759906847</v>
      </c>
      <c r="MF30" s="265">
        <f xml:space="preserve"> MF31-(MF31*20.5/(20.5+5.5))</f>
        <v>2.305769230769231</v>
      </c>
      <c r="MG30" s="266">
        <f>MF30/MF10</f>
        <v>1.7467948717948718</v>
      </c>
      <c r="MH30" s="264"/>
      <c r="MI30" s="265"/>
      <c r="MJ30" s="266"/>
      <c r="MK30" s="265"/>
      <c r="ML30" s="266"/>
      <c r="MM30" s="265"/>
      <c r="MN30" s="266"/>
      <c r="MO30" s="265"/>
      <c r="MP30" s="266"/>
      <c r="MQ30" s="265"/>
      <c r="MR30" s="266"/>
      <c r="MS30" s="265"/>
      <c r="MT30" s="266"/>
      <c r="MU30" s="265"/>
      <c r="MV30" s="266"/>
      <c r="MW30" s="265"/>
      <c r="MX30" s="266"/>
      <c r="MY30" s="265"/>
      <c r="MZ30" s="266"/>
      <c r="NA30" s="265"/>
      <c r="NB30" s="266"/>
      <c r="NC30" s="265"/>
      <c r="ND30" s="266"/>
      <c r="NE30" s="265"/>
      <c r="NF30" s="266"/>
      <c r="NG30" s="265"/>
      <c r="NH30" s="266"/>
      <c r="NI30" s="265"/>
      <c r="NJ30" s="266"/>
      <c r="NK30" s="265"/>
      <c r="NL30" s="266"/>
      <c r="NM30" s="265"/>
      <c r="NN30" s="266"/>
      <c r="NO30" s="265"/>
      <c r="NP30" s="266"/>
      <c r="NQ30" s="265"/>
      <c r="NR30" s="266"/>
      <c r="NS30" s="265"/>
      <c r="NT30" s="266"/>
      <c r="NU30" s="265"/>
      <c r="NV30" s="266"/>
      <c r="NW30" s="265"/>
      <c r="NX30" s="266"/>
      <c r="NY30" s="265"/>
      <c r="NZ30" s="266"/>
      <c r="OA30" s="265"/>
      <c r="OB30" s="266"/>
      <c r="OC30" s="265"/>
      <c r="OD30" s="266"/>
      <c r="OE30" s="265">
        <f t="shared" ref="OE30" si="274" xml:space="preserve"> OE31-(OE31*30.5/(30.5+0.5))</f>
        <v>0.16935483870967794</v>
      </c>
      <c r="OF30" s="266">
        <f t="shared" ref="OF30" si="275">OE30/OE10</f>
        <v>0.12829912023460449</v>
      </c>
      <c r="OG30" s="265">
        <f t="shared" ref="OG30" si="276" xml:space="preserve"> OG31-(OG31*30.5/(30.5+0.5))</f>
        <v>0.16935483870967794</v>
      </c>
      <c r="OH30" s="266">
        <f t="shared" ref="OH30" si="277">OG30/OG10</f>
        <v>0.12829912023460449</v>
      </c>
      <c r="OI30" s="265">
        <f t="shared" ref="OI30" si="278" xml:space="preserve"> OI31-(OI31*30.5/(30.5+0.5))</f>
        <v>0.16935483870967794</v>
      </c>
      <c r="OJ30" s="266">
        <f t="shared" ref="OJ30" si="279">OI30/OI10</f>
        <v>0.12829912023460449</v>
      </c>
      <c r="OK30" s="265">
        <f t="shared" ref="OK30" si="280" xml:space="preserve"> OK31-(OK31*30.5/(30.5+0.5))</f>
        <v>0.16935483870967794</v>
      </c>
      <c r="OL30" s="266">
        <f t="shared" ref="OL30" si="281">OK30/OK10</f>
        <v>0.12829912023460449</v>
      </c>
      <c r="OM30" s="265">
        <f t="shared" ref="OM30" si="282" xml:space="preserve"> OM31-(OM31*30.5/(30.5+0.5))</f>
        <v>0.16935483870967794</v>
      </c>
      <c r="ON30" s="266">
        <f t="shared" ref="ON30" si="283">OM30/OM10</f>
        <v>0.12829912023460449</v>
      </c>
      <c r="OO30" s="265">
        <f t="shared" ref="OO30" si="284" xml:space="preserve"> OO31-(OO31*30.5/(30.5+0.5))</f>
        <v>0.16935483870967794</v>
      </c>
      <c r="OP30" s="266">
        <f t="shared" ref="OP30" si="285">OO30/OO10</f>
        <v>0.12829912023460449</v>
      </c>
      <c r="OQ30" s="265">
        <f t="shared" ref="OQ30" si="286" xml:space="preserve"> OQ31-(OQ31*30.5/(30.5+0.5))</f>
        <v>0.16935483870967794</v>
      </c>
      <c r="OR30" s="266">
        <f t="shared" ref="OR30" si="287">OQ30/OQ10</f>
        <v>0.12829912023460449</v>
      </c>
      <c r="OS30" s="265">
        <f t="shared" ref="OS30" si="288" xml:space="preserve"> OS31-(OS31*30.5/(30.5+0.5))</f>
        <v>0.16935483870967794</v>
      </c>
      <c r="OT30" s="266">
        <f t="shared" ref="OT30" si="289">OS30/OS10</f>
        <v>0.12829912023460449</v>
      </c>
      <c r="OU30" s="265">
        <f t="shared" ref="OU30" si="290" xml:space="preserve"> OU31-(OU31*30.5/(30.5+0.5))</f>
        <v>0.16935483870967794</v>
      </c>
      <c r="OV30" s="266">
        <f t="shared" ref="OV30" si="291">OU30/OU10</f>
        <v>0.12829912023460449</v>
      </c>
      <c r="OW30" s="265">
        <f t="shared" ref="OW30" si="292" xml:space="preserve"> OW31-(OW31*30.5/(30.5+0.5))</f>
        <v>0.16935483870967794</v>
      </c>
      <c r="OX30" s="266">
        <f t="shared" ref="OX30" si="293">OW30/OW10</f>
        <v>0.12829912023460449</v>
      </c>
      <c r="OY30" s="265">
        <f t="shared" ref="OY30" si="294" xml:space="preserve"> OY31-(OY31*30.5/(30.5+0.5))</f>
        <v>0.16935483870967794</v>
      </c>
      <c r="OZ30" s="266">
        <f t="shared" ref="OZ30" si="295">OY30/OY10</f>
        <v>0.12829912023460449</v>
      </c>
      <c r="PA30" s="265">
        <f t="shared" ref="PA30" si="296" xml:space="preserve"> PA31-(PA31*30.5/(30.5+0.5))</f>
        <v>0.16935483870967794</v>
      </c>
      <c r="PB30" s="266">
        <f t="shared" ref="PB30" si="297">PA30/PA10</f>
        <v>0.12829912023460449</v>
      </c>
      <c r="PC30" s="265">
        <f t="shared" ref="PC30" si="298" xml:space="preserve"> PC31-(PC31*30.5/(30.5+0.5))</f>
        <v>0.16935483870967794</v>
      </c>
      <c r="PD30" s="266">
        <f t="shared" ref="PD30" si="299">PC30/PC10</f>
        <v>0.12829912023460449</v>
      </c>
      <c r="PE30" s="265">
        <f t="shared" ref="PE30" si="300" xml:space="preserve"> PE31-(PE31*30.5/(30.5+0.5))</f>
        <v>0.16935483870967794</v>
      </c>
      <c r="PF30" s="266">
        <f t="shared" ref="PF30" si="301">PE30/PE10</f>
        <v>0.12829912023460449</v>
      </c>
      <c r="PG30" s="265">
        <f xml:space="preserve"> PG31-(PG31*30.5/(30.5+0.5))</f>
        <v>0.16935483870967794</v>
      </c>
      <c r="PH30" s="266">
        <f>PG30/PG10</f>
        <v>0.12829912023460449</v>
      </c>
      <c r="PI30" s="265"/>
      <c r="PJ30" s="266"/>
      <c r="PK30" s="265"/>
      <c r="PL30" s="266"/>
      <c r="PM30" s="265">
        <f xml:space="preserve"> PM31-(PM31*13/(13+3))</f>
        <v>1.96875</v>
      </c>
      <c r="PN30" s="266">
        <f>PM30/PM10</f>
        <v>1.4914772727272727</v>
      </c>
      <c r="PO30" s="265">
        <f xml:space="preserve"> PO31-(PO31*10.5/(10.5+5.5))</f>
        <v>3.609375</v>
      </c>
      <c r="PP30" s="266">
        <f>PO30/PO10</f>
        <v>2.734375</v>
      </c>
      <c r="PQ30" s="260"/>
      <c r="PR30" s="265"/>
      <c r="PS30" s="266"/>
      <c r="PT30" s="265"/>
      <c r="PU30" s="266"/>
      <c r="PV30" s="265"/>
      <c r="PW30" s="266"/>
      <c r="PX30" s="265"/>
      <c r="PY30" s="266"/>
      <c r="PZ30" s="265"/>
      <c r="QA30" s="266"/>
      <c r="QB30" s="265"/>
      <c r="QC30" s="266"/>
      <c r="QD30" s="260"/>
      <c r="QE30" s="260"/>
      <c r="QF30" s="265"/>
      <c r="QG30" s="266"/>
      <c r="QH30" s="265"/>
      <c r="QI30" s="266"/>
      <c r="QJ30" s="265"/>
      <c r="QK30" s="266"/>
      <c r="QL30" s="265"/>
      <c r="QM30" s="266"/>
      <c r="QN30" s="265"/>
      <c r="QO30" s="266"/>
      <c r="QP30" s="265"/>
      <c r="QQ30" s="266"/>
    </row>
    <row r="31" spans="1:459" x14ac:dyDescent="0.45">
      <c r="A31" s="876"/>
      <c r="B31" s="202" t="s">
        <v>339</v>
      </c>
      <c r="C31" s="203"/>
      <c r="D31" s="204"/>
      <c r="E31" s="219"/>
      <c r="F31" s="273">
        <v>10.48</v>
      </c>
      <c r="G31" s="221">
        <f>+G18-G26</f>
        <v>9.0909090909090899</v>
      </c>
      <c r="H31" s="273">
        <v>10.48</v>
      </c>
      <c r="I31" s="221">
        <f>+I18-I26</f>
        <v>9.0909090909090899</v>
      </c>
      <c r="J31" s="273">
        <v>10.48</v>
      </c>
      <c r="K31" s="221">
        <f>+K18-K26</f>
        <v>9.0909090909090899</v>
      </c>
      <c r="L31" s="273">
        <v>10.48</v>
      </c>
      <c r="M31" s="221">
        <f>+M18-M26</f>
        <v>9.0909090909090899</v>
      </c>
      <c r="N31" s="273">
        <v>10.48</v>
      </c>
      <c r="O31" s="221">
        <f>+O18-O26</f>
        <v>9.0909090909090899</v>
      </c>
      <c r="P31" s="273">
        <v>11.2</v>
      </c>
      <c r="Q31" s="221">
        <f>+Q18-Q26</f>
        <v>9.6969696969696972</v>
      </c>
      <c r="R31" s="273">
        <v>11.2</v>
      </c>
      <c r="S31" s="221">
        <f>+S18-S26</f>
        <v>9.6969696969696972</v>
      </c>
      <c r="T31" s="273">
        <v>11.2</v>
      </c>
      <c r="U31" s="221">
        <f>+U18-U26</f>
        <v>9.6969696969696972</v>
      </c>
      <c r="V31" s="273">
        <v>11.6</v>
      </c>
      <c r="W31" s="221">
        <f>+W18-W26</f>
        <v>9.9999999999999982</v>
      </c>
      <c r="X31" s="273">
        <v>11.55</v>
      </c>
      <c r="Y31" s="221">
        <f>+Y18-Y26</f>
        <v>9.9999999999999982</v>
      </c>
      <c r="Z31" s="273">
        <v>11.55</v>
      </c>
      <c r="AA31" s="221">
        <f>+AA18-AA26</f>
        <v>9.9999999999999982</v>
      </c>
      <c r="AB31" s="273">
        <v>11.55</v>
      </c>
      <c r="AC31" s="221">
        <f>+AC18-AC26</f>
        <v>9.9999999999999982</v>
      </c>
      <c r="AD31" s="273">
        <v>12.32</v>
      </c>
      <c r="AE31" s="221">
        <f>AD31/AD10</f>
        <v>9.3333333333333339</v>
      </c>
      <c r="AF31" s="273">
        <v>12.32</v>
      </c>
      <c r="AG31" s="221">
        <f>+AG18-AG26</f>
        <v>10</v>
      </c>
      <c r="AH31" s="273">
        <v>12.32</v>
      </c>
      <c r="AI31" s="221">
        <f>+AI18-AI26</f>
        <v>10.606060606060606</v>
      </c>
      <c r="AJ31" s="273">
        <v>12.32</v>
      </c>
      <c r="AK31" s="221">
        <f>+AK18-AK26</f>
        <v>10.606060606060606</v>
      </c>
      <c r="AL31" s="273">
        <v>12.32</v>
      </c>
      <c r="AM31" s="221">
        <f>+AM18-AM26</f>
        <v>10.606060606060606</v>
      </c>
      <c r="AN31" s="273">
        <v>12.32</v>
      </c>
      <c r="AO31" s="221">
        <f>+AO18-AO26</f>
        <v>10.606060606060606</v>
      </c>
      <c r="AP31" s="273">
        <v>12.32</v>
      </c>
      <c r="AQ31" s="221">
        <f>+AQ18-AQ26</f>
        <v>10.606060606060606</v>
      </c>
      <c r="AR31" s="273">
        <v>12.32</v>
      </c>
      <c r="AS31" s="221">
        <f>AR31/AR10</f>
        <v>9.3333333333333339</v>
      </c>
      <c r="AT31" s="273">
        <v>12.32</v>
      </c>
      <c r="AU31" s="221">
        <f>AT31/AT10</f>
        <v>9.3333333333333339</v>
      </c>
      <c r="AV31" s="273">
        <v>12.32</v>
      </c>
      <c r="AW31" s="221">
        <f>AV31/AV10</f>
        <v>9.3333333333333339</v>
      </c>
      <c r="AX31" s="273">
        <v>12.32</v>
      </c>
      <c r="AY31" s="221">
        <f>AX31/AX10</f>
        <v>9.3333333333333339</v>
      </c>
      <c r="AZ31" s="273">
        <v>12.32</v>
      </c>
      <c r="BA31" s="221">
        <f>AZ31/AZ10</f>
        <v>9.3333333333333339</v>
      </c>
      <c r="BB31" s="273">
        <v>12.32</v>
      </c>
      <c r="BC31" s="221">
        <f>BB31/BB10</f>
        <v>9.3333333333333339</v>
      </c>
      <c r="BD31" s="273">
        <v>12.32</v>
      </c>
      <c r="BE31" s="221">
        <f>BD31/BD10</f>
        <v>9.3333333333333339</v>
      </c>
      <c r="BF31" s="273">
        <v>12.32</v>
      </c>
      <c r="BG31" s="221">
        <f>BF31/BF10</f>
        <v>9.3333333333333339</v>
      </c>
      <c r="BH31" s="273">
        <v>12.32</v>
      </c>
      <c r="BI31" s="221">
        <f>BH31/BH10</f>
        <v>9.3333333333333339</v>
      </c>
      <c r="BJ31" s="273">
        <v>12.32</v>
      </c>
      <c r="BK31" s="221">
        <f>BJ31/BJ10</f>
        <v>9.3333333333333339</v>
      </c>
      <c r="BL31" s="273">
        <v>12.32</v>
      </c>
      <c r="BM31" s="221">
        <f>BL31/BL10</f>
        <v>9.3333333333333339</v>
      </c>
      <c r="BN31" s="273">
        <v>12.32</v>
      </c>
      <c r="BO31" s="221">
        <f>BN31/BN10</f>
        <v>9.3333333333333339</v>
      </c>
      <c r="BP31" s="273">
        <v>12.32</v>
      </c>
      <c r="BQ31" s="221">
        <f>BP31/BP10</f>
        <v>9.3333333333333339</v>
      </c>
      <c r="BR31" s="273">
        <v>12.32</v>
      </c>
      <c r="BS31" s="221">
        <f>BR31/BR10</f>
        <v>9.3333333333333339</v>
      </c>
      <c r="BT31" s="273">
        <v>12.32</v>
      </c>
      <c r="BU31" s="221">
        <f>BT31/BT10</f>
        <v>9.3333333333333339</v>
      </c>
      <c r="BV31" s="273">
        <v>12.32</v>
      </c>
      <c r="BW31" s="221">
        <f>BV31/BV10</f>
        <v>9.3333333333333339</v>
      </c>
      <c r="BX31" s="273">
        <v>12.32</v>
      </c>
      <c r="BY31" s="221">
        <f>BX31/BX10</f>
        <v>9.3333333333333339</v>
      </c>
      <c r="BZ31" s="273">
        <v>12.32</v>
      </c>
      <c r="CA31" s="221">
        <f>BZ31/BZ10</f>
        <v>9.3333333333333339</v>
      </c>
      <c r="CB31" s="273">
        <v>12.32</v>
      </c>
      <c r="CC31" s="221">
        <f>CB31/CB10</f>
        <v>9.3333333333333339</v>
      </c>
      <c r="CD31" s="273">
        <v>12.32</v>
      </c>
      <c r="CE31" s="221">
        <f>CD31/CD10</f>
        <v>9.3333333333333339</v>
      </c>
      <c r="CF31" s="273">
        <v>12.32</v>
      </c>
      <c r="CG31" s="221">
        <f>CF31/CF10</f>
        <v>9.3333333333333339</v>
      </c>
      <c r="CH31" s="273">
        <v>12.32</v>
      </c>
      <c r="CI31" s="221">
        <f>CH31/CH10</f>
        <v>9.3333333333333339</v>
      </c>
      <c r="CJ31" s="273">
        <v>12.32</v>
      </c>
      <c r="CK31" s="221">
        <f>CJ31/CJ10</f>
        <v>9.3333333333333339</v>
      </c>
      <c r="CL31" s="273">
        <v>12.32</v>
      </c>
      <c r="CM31" s="221">
        <f>CL31/CL10</f>
        <v>9.3333333333333339</v>
      </c>
      <c r="CN31" s="273">
        <v>12.32</v>
      </c>
      <c r="CO31" s="221">
        <f>CN31/CN10</f>
        <v>9.3333333333333339</v>
      </c>
      <c r="CP31" s="273">
        <v>12.32</v>
      </c>
      <c r="CQ31" s="221">
        <f>CP31/CP10</f>
        <v>9.3333333333333339</v>
      </c>
      <c r="CR31" s="273">
        <v>12.32</v>
      </c>
      <c r="CS31" s="221">
        <f>CR31/CR10</f>
        <v>9.3333333333333339</v>
      </c>
      <c r="CT31" s="209"/>
      <c r="CU31" s="273">
        <v>15.84</v>
      </c>
      <c r="CV31" s="221">
        <f>CU31/CU10</f>
        <v>12</v>
      </c>
      <c r="CW31" s="273">
        <v>15.84</v>
      </c>
      <c r="CX31" s="221">
        <f>CW31/CW10</f>
        <v>12</v>
      </c>
      <c r="CY31" s="273">
        <v>15.84</v>
      </c>
      <c r="CZ31" s="221">
        <f>CY31/CY10</f>
        <v>12</v>
      </c>
      <c r="DA31" s="273">
        <v>15.85</v>
      </c>
      <c r="DB31" s="221">
        <f>DA31/DA10</f>
        <v>12.007575757575756</v>
      </c>
      <c r="DC31" s="273">
        <f>DC32*6</f>
        <v>17.399999999999999</v>
      </c>
      <c r="DD31" s="221">
        <f>DC31/DC10</f>
        <v>13.18181818181818</v>
      </c>
      <c r="DE31" s="273">
        <f>DE32*6</f>
        <v>17.399999999999999</v>
      </c>
      <c r="DF31" s="221">
        <f>DE31/DE10</f>
        <v>12.428571428571429</v>
      </c>
      <c r="DG31" s="273">
        <f>DG32*6</f>
        <v>17.399999999999999</v>
      </c>
      <c r="DH31" s="221">
        <f>DG31/DG10</f>
        <v>13.18181818181818</v>
      </c>
      <c r="DI31" s="273">
        <f>DI32*6</f>
        <v>17.399999999999999</v>
      </c>
      <c r="DJ31" s="221">
        <f>DI31/DI10</f>
        <v>13.18181818181818</v>
      </c>
      <c r="DK31" s="273">
        <f>DK32*6</f>
        <v>17.399999999999999</v>
      </c>
      <c r="DL31" s="221">
        <f>DK31/DK10</f>
        <v>13.18181818181818</v>
      </c>
      <c r="DM31" s="273">
        <f>DM32*6</f>
        <v>17.399999999999999</v>
      </c>
      <c r="DN31" s="221">
        <f>DM31/DM10</f>
        <v>13.18181818181818</v>
      </c>
      <c r="DO31" s="273">
        <f>DO32*6</f>
        <v>17.399999999999999</v>
      </c>
      <c r="DP31" s="221">
        <f>DO31/DO10</f>
        <v>13.18181818181818</v>
      </c>
      <c r="DQ31" s="273">
        <f>DQ32*6</f>
        <v>17.399999999999999</v>
      </c>
      <c r="DR31" s="221">
        <f>DQ31/DQ10</f>
        <v>13.18181818181818</v>
      </c>
      <c r="DS31" s="273">
        <f>DS32*6</f>
        <v>17.399999999999999</v>
      </c>
      <c r="DT31" s="221">
        <f>DS31/DS10</f>
        <v>13.18181818181818</v>
      </c>
      <c r="DU31" s="273">
        <f>DU32*6</f>
        <v>17.399999999999999</v>
      </c>
      <c r="DV31" s="221">
        <f>DU31/DU10</f>
        <v>13.18181818181818</v>
      </c>
      <c r="DW31" s="273">
        <f>DW32*6</f>
        <v>17.399999999999999</v>
      </c>
      <c r="DX31" s="221">
        <f>DW31/DW10</f>
        <v>13.18181818181818</v>
      </c>
      <c r="DY31" s="273">
        <f>DY32*6</f>
        <v>17.399999999999999</v>
      </c>
      <c r="DZ31" s="221">
        <f>DY31/DY10</f>
        <v>13.18181818181818</v>
      </c>
      <c r="EA31" s="273">
        <f>EA32*6</f>
        <v>17.399999999999999</v>
      </c>
      <c r="EB31" s="221">
        <f>EA31/EA10</f>
        <v>13.18181818181818</v>
      </c>
      <c r="EC31" s="273">
        <f>EC32*6</f>
        <v>17.399999999999999</v>
      </c>
      <c r="ED31" s="221">
        <f>EC31/EC10</f>
        <v>13.18181818181818</v>
      </c>
      <c r="EE31" s="273">
        <f>EE32*6</f>
        <v>17.399999999999999</v>
      </c>
      <c r="EF31" s="221">
        <f>EE31/EE10</f>
        <v>13.18181818181818</v>
      </c>
      <c r="EG31" s="273">
        <f>EG32*6</f>
        <v>17.399999999999999</v>
      </c>
      <c r="EH31" s="221">
        <f>EG31/EG10</f>
        <v>13.18181818181818</v>
      </c>
      <c r="EI31" s="273">
        <f>EI32*6</f>
        <v>17.399999999999999</v>
      </c>
      <c r="EJ31" s="221">
        <f>EI31/EI10</f>
        <v>13.18181818181818</v>
      </c>
      <c r="EK31" s="273">
        <f>EK32*6</f>
        <v>17.399999999999999</v>
      </c>
      <c r="EL31" s="221">
        <f>EK31/EK10</f>
        <v>13.18181818181818</v>
      </c>
      <c r="EM31" s="273">
        <f>EM32*6</f>
        <v>17.399999999999999</v>
      </c>
      <c r="EN31" s="221">
        <f>EM31/EM10</f>
        <v>13.18181818181818</v>
      </c>
      <c r="EO31" s="273">
        <f>EO32*6</f>
        <v>17.399999999999999</v>
      </c>
      <c r="EP31" s="221">
        <f>EO31/EO10</f>
        <v>13.18181818181818</v>
      </c>
      <c r="EQ31" s="273">
        <f>EQ32*6</f>
        <v>17.399999999999999</v>
      </c>
      <c r="ER31" s="221">
        <f>EQ31/EQ10</f>
        <v>13.18181818181818</v>
      </c>
      <c r="ES31" s="273">
        <f>ES32*6</f>
        <v>17.399999999999999</v>
      </c>
      <c r="ET31" s="221">
        <f>ES31/ES10</f>
        <v>13.18181818181818</v>
      </c>
      <c r="EU31" s="273">
        <f>EU32*6</f>
        <v>17.399999999999999</v>
      </c>
      <c r="EV31" s="221">
        <f>EU31/EU10</f>
        <v>13.18181818181818</v>
      </c>
      <c r="EW31" s="273">
        <f>EW32*6</f>
        <v>17.399999999999999</v>
      </c>
      <c r="EX31" s="221">
        <f>EW31/EW10</f>
        <v>13.18181818181818</v>
      </c>
      <c r="EY31" s="273">
        <f>EY32*6</f>
        <v>17.399999999999999</v>
      </c>
      <c r="EZ31" s="221">
        <f>EY31/EY10</f>
        <v>13.18181818181818</v>
      </c>
      <c r="FA31" s="273">
        <f>FA32*6</f>
        <v>17.399999999999999</v>
      </c>
      <c r="FB31" s="221">
        <f>FA31/FA10</f>
        <v>13.18181818181818</v>
      </c>
      <c r="FC31" s="273">
        <f>FC32*6</f>
        <v>17.399999999999999</v>
      </c>
      <c r="FD31" s="221">
        <f>FC31/FC10</f>
        <v>13.18181818181818</v>
      </c>
      <c r="FE31" s="273">
        <f>FE32*6</f>
        <v>17.399999999999999</v>
      </c>
      <c r="FF31" s="221">
        <f>FE31/FE10</f>
        <v>13.18181818181818</v>
      </c>
      <c r="FG31" s="273">
        <f>FG32*6</f>
        <v>17.399999999999999</v>
      </c>
      <c r="FH31" s="221">
        <f>FG31/FG10</f>
        <v>13.18181818181818</v>
      </c>
      <c r="FI31" s="273">
        <f>FI32*6</f>
        <v>17.399999999999999</v>
      </c>
      <c r="FJ31" s="221">
        <f>FI31/FI10</f>
        <v>13.18181818181818</v>
      </c>
      <c r="FK31" s="273">
        <f>FK32*6</f>
        <v>17.399999999999999</v>
      </c>
      <c r="FL31" s="221">
        <f>FK31/FK10</f>
        <v>13.18181818181818</v>
      </c>
      <c r="FM31" s="273">
        <f>FM32*6</f>
        <v>17.399999999999999</v>
      </c>
      <c r="FN31" s="221">
        <f>FM31/FM10</f>
        <v>13.18181818181818</v>
      </c>
      <c r="FO31" s="273">
        <f>FO32*6</f>
        <v>17.399999999999999</v>
      </c>
      <c r="FP31" s="221">
        <f>FO31/FO10</f>
        <v>13.18181818181818</v>
      </c>
      <c r="FQ31" s="219"/>
      <c r="FR31" s="273">
        <v>10.48</v>
      </c>
      <c r="FS31" s="221">
        <f>+FS18-FS26</f>
        <v>9.0909090909090899</v>
      </c>
      <c r="FT31" s="273">
        <v>10.48</v>
      </c>
      <c r="FU31" s="221">
        <f>+FU18-FU26</f>
        <v>9.0909090909090899</v>
      </c>
      <c r="FV31" s="273">
        <v>11.2</v>
      </c>
      <c r="FW31" s="221">
        <f>+FW18-FW26</f>
        <v>9.6969696969696972</v>
      </c>
      <c r="FX31" s="273">
        <v>11.2</v>
      </c>
      <c r="FY31" s="221">
        <f>+FY18-FY26</f>
        <v>9.6969696969696972</v>
      </c>
      <c r="FZ31" s="273">
        <v>11.2</v>
      </c>
      <c r="GA31" s="221">
        <f>+GA18-GA26</f>
        <v>9.6969696969696972</v>
      </c>
      <c r="GB31" s="273">
        <v>11.6</v>
      </c>
      <c r="GC31" s="221">
        <f>+GC18-GC26</f>
        <v>9.9999999999999982</v>
      </c>
      <c r="GD31" s="273">
        <v>11.55</v>
      </c>
      <c r="GE31" s="221">
        <f>+GE18-GE26</f>
        <v>9.9999999999999982</v>
      </c>
      <c r="GF31" s="273">
        <v>11.55</v>
      </c>
      <c r="GG31" s="221">
        <f>+GG18-GG26</f>
        <v>9.9999999999999982</v>
      </c>
      <c r="GH31" s="273">
        <v>11.55</v>
      </c>
      <c r="GI31" s="221">
        <f>+GI18-GI26</f>
        <v>9.9999999999999982</v>
      </c>
      <c r="GJ31" s="273">
        <v>13.4</v>
      </c>
      <c r="GK31" s="221">
        <f>GJ31/GJ10</f>
        <v>10.15151515151515</v>
      </c>
      <c r="GL31" s="273">
        <v>13.4</v>
      </c>
      <c r="GM31" s="221">
        <f>+GM18-GM26</f>
        <v>10.857142857142858</v>
      </c>
      <c r="GN31" s="273">
        <v>13.4</v>
      </c>
      <c r="GO31" s="221">
        <f>+GO18-GO26</f>
        <v>11.515151515151514</v>
      </c>
      <c r="GP31" s="273">
        <v>13.4</v>
      </c>
      <c r="GQ31" s="221">
        <f>+GQ18-GQ26</f>
        <v>11.515151515151514</v>
      </c>
      <c r="GR31" s="273">
        <v>13.4</v>
      </c>
      <c r="GS31" s="221">
        <f>+GS18-GS26</f>
        <v>11.515151515151514</v>
      </c>
      <c r="GT31" s="273">
        <v>13.4</v>
      </c>
      <c r="GU31" s="221">
        <f>+GU18-GU26</f>
        <v>11.515151515151514</v>
      </c>
      <c r="GV31" s="273">
        <v>13.4</v>
      </c>
      <c r="GW31" s="221">
        <f>+GW18-GW26</f>
        <v>11.515151515151514</v>
      </c>
      <c r="GX31" s="273">
        <v>13.4</v>
      </c>
      <c r="GY31" s="221">
        <f>GX31/GX10</f>
        <v>10.15151515151515</v>
      </c>
      <c r="GZ31" s="273">
        <v>13.4</v>
      </c>
      <c r="HA31" s="221">
        <f>GZ31/GZ10</f>
        <v>10.15151515151515</v>
      </c>
      <c r="HB31" s="273">
        <v>13.4</v>
      </c>
      <c r="HC31" s="221">
        <f>HB31/HB10</f>
        <v>10.15151515151515</v>
      </c>
      <c r="HD31" s="273">
        <v>13.4</v>
      </c>
      <c r="HE31" s="221">
        <f>HD31/HD10</f>
        <v>10.15151515151515</v>
      </c>
      <c r="HF31" s="273">
        <v>13.4</v>
      </c>
      <c r="HG31" s="221">
        <f>HF31/HF10</f>
        <v>10.15151515151515</v>
      </c>
      <c r="HH31" s="273">
        <v>13.4</v>
      </c>
      <c r="HI31" s="221">
        <f>HH31/HH10</f>
        <v>10.15151515151515</v>
      </c>
      <c r="HJ31" s="273">
        <v>13.4</v>
      </c>
      <c r="HK31" s="221">
        <f>HJ31/HJ10</f>
        <v>10.15151515151515</v>
      </c>
      <c r="HL31" s="273">
        <v>13.4</v>
      </c>
      <c r="HM31" s="221">
        <f>HL31/HL10</f>
        <v>10.15151515151515</v>
      </c>
      <c r="HN31" s="273">
        <v>13.4</v>
      </c>
      <c r="HO31" s="221">
        <f>HN31/HN10</f>
        <v>10.15151515151515</v>
      </c>
      <c r="HP31" s="273">
        <v>13.4</v>
      </c>
      <c r="HQ31" s="221">
        <f>HP31/HP10</f>
        <v>10.15151515151515</v>
      </c>
      <c r="HR31" s="273">
        <v>13.4</v>
      </c>
      <c r="HS31" s="221">
        <f>HR31/HR10</f>
        <v>10.15151515151515</v>
      </c>
      <c r="HT31" s="273">
        <v>13.4</v>
      </c>
      <c r="HU31" s="221">
        <f>HT31/HT10</f>
        <v>10.15151515151515</v>
      </c>
      <c r="HV31" s="273">
        <v>13.4</v>
      </c>
      <c r="HW31" s="221">
        <f>HV31/HV10</f>
        <v>10.15151515151515</v>
      </c>
      <c r="HX31" s="273">
        <v>13.4</v>
      </c>
      <c r="HY31" s="221">
        <f>HX31/HX10</f>
        <v>10.15151515151515</v>
      </c>
      <c r="HZ31" s="273">
        <v>13.4</v>
      </c>
      <c r="IA31" s="221">
        <f>HZ31/HZ10</f>
        <v>10.15151515151515</v>
      </c>
      <c r="IB31" s="273">
        <v>13.4</v>
      </c>
      <c r="IC31" s="221">
        <f>IB31/IB10</f>
        <v>10.15151515151515</v>
      </c>
      <c r="ID31" s="273">
        <v>13.4</v>
      </c>
      <c r="IE31" s="221">
        <f>ID31/ID10</f>
        <v>10.15151515151515</v>
      </c>
      <c r="IF31" s="273">
        <v>13.4</v>
      </c>
      <c r="IG31" s="221">
        <f>IF31/IF10</f>
        <v>10.15151515151515</v>
      </c>
      <c r="IH31" s="273">
        <v>13.4</v>
      </c>
      <c r="II31" s="221">
        <f>IH31/IH10</f>
        <v>10.15151515151515</v>
      </c>
      <c r="IJ31" s="273">
        <v>13.4</v>
      </c>
      <c r="IK31" s="221">
        <f>IJ31/IJ10</f>
        <v>10.15151515151515</v>
      </c>
      <c r="IL31" s="273">
        <v>13.4</v>
      </c>
      <c r="IM31" s="221">
        <f>IL31/IL10</f>
        <v>10.15151515151515</v>
      </c>
      <c r="IN31" s="273">
        <v>13.4</v>
      </c>
      <c r="IO31" s="221">
        <f>IN31/IN10</f>
        <v>10.15151515151515</v>
      </c>
      <c r="IP31" s="273">
        <v>13.4</v>
      </c>
      <c r="IQ31" s="221">
        <f>IP31/IP10</f>
        <v>10.15151515151515</v>
      </c>
      <c r="IR31" s="273">
        <v>13.4</v>
      </c>
      <c r="IS31" s="221">
        <f>IR31/IR10</f>
        <v>10.15151515151515</v>
      </c>
      <c r="IT31" s="273">
        <v>13.4</v>
      </c>
      <c r="IU31" s="221">
        <f>IT31/IT10</f>
        <v>10.15151515151515</v>
      </c>
      <c r="IV31" s="273">
        <v>13.4</v>
      </c>
      <c r="IW31" s="221">
        <f>IV31/IV10</f>
        <v>10.15151515151515</v>
      </c>
      <c r="IX31" s="273">
        <v>13.4</v>
      </c>
      <c r="IY31" s="221">
        <f>IX31/IX10</f>
        <v>10.15151515151515</v>
      </c>
      <c r="IZ31" s="219"/>
      <c r="JA31" s="211">
        <v>13</v>
      </c>
      <c r="JB31" s="221">
        <f>JA31/JA10</f>
        <v>9.7014925373134329</v>
      </c>
      <c r="JC31" s="211">
        <v>13</v>
      </c>
      <c r="JD31" s="221">
        <f>JC31/JC10</f>
        <v>9.7014925373134329</v>
      </c>
      <c r="JE31" s="219"/>
      <c r="JF31" s="273">
        <v>9.84</v>
      </c>
      <c r="JG31" s="221">
        <f>JF31/JF10</f>
        <v>7.4545454545454541</v>
      </c>
      <c r="JH31" s="273">
        <v>9.84</v>
      </c>
      <c r="JI31" s="221">
        <f>JH31/JH10</f>
        <v>7.4545454545454541</v>
      </c>
      <c r="JJ31" s="273">
        <v>10.48</v>
      </c>
      <c r="JK31" s="221">
        <f>JJ31/JJ10</f>
        <v>7.9393939393939394</v>
      </c>
      <c r="JL31" s="273">
        <v>10.48</v>
      </c>
      <c r="JM31" s="221">
        <f>JL31/JL10</f>
        <v>7.9393939393939394</v>
      </c>
      <c r="JN31" s="273">
        <v>10.48</v>
      </c>
      <c r="JO31" s="221">
        <f>JN31/JN10</f>
        <v>7.9393939393939394</v>
      </c>
      <c r="JP31" s="273">
        <v>10.9</v>
      </c>
      <c r="JQ31" s="221">
        <f>JP31/JP10</f>
        <v>8.2575757575757578</v>
      </c>
      <c r="JR31" s="273">
        <v>10.9</v>
      </c>
      <c r="JS31" s="221">
        <f>JR31/JR10</f>
        <v>8.2575757575757578</v>
      </c>
      <c r="JT31" s="273">
        <v>10.9</v>
      </c>
      <c r="JU31" s="221">
        <f>JT31/JT10</f>
        <v>8.2575757575757578</v>
      </c>
      <c r="JV31" s="273">
        <v>10.9</v>
      </c>
      <c r="JW31" s="221">
        <f>JV31/JV10</f>
        <v>7.7857142857142865</v>
      </c>
      <c r="JX31" s="273">
        <v>10.9</v>
      </c>
      <c r="JY31" s="221">
        <f>JX31/JX10</f>
        <v>8.2575757575757578</v>
      </c>
      <c r="JZ31" s="273">
        <v>10.9</v>
      </c>
      <c r="KA31" s="221">
        <f>JZ31/JZ10</f>
        <v>8.2575757575757578</v>
      </c>
      <c r="KB31" s="273">
        <v>10.9</v>
      </c>
      <c r="KC31" s="221">
        <f>KB31/KB10</f>
        <v>8.2575757575757578</v>
      </c>
      <c r="KD31" s="273">
        <v>10.9</v>
      </c>
      <c r="KE31" s="221">
        <f>KD31/KD10</f>
        <v>8.2575757575757578</v>
      </c>
      <c r="KF31" s="273">
        <v>10.9</v>
      </c>
      <c r="KG31" s="221">
        <f>KF31/KF10</f>
        <v>8.2575757575757578</v>
      </c>
      <c r="KH31" s="273">
        <v>10.9</v>
      </c>
      <c r="KI31" s="221">
        <f>KH31/KH10</f>
        <v>8.2575757575757578</v>
      </c>
      <c r="KJ31" s="273">
        <v>10.9</v>
      </c>
      <c r="KK31" s="221">
        <f>KJ31/KJ10</f>
        <v>8.2575757575757578</v>
      </c>
      <c r="KL31" s="273">
        <v>10.9</v>
      </c>
      <c r="KM31" s="221">
        <f>KL31/KL10</f>
        <v>8.2575757575757578</v>
      </c>
      <c r="KN31" s="273">
        <v>10.9</v>
      </c>
      <c r="KO31" s="221">
        <f>KN31/KN10</f>
        <v>8.2575757575757578</v>
      </c>
      <c r="KP31" s="273">
        <v>10.9</v>
      </c>
      <c r="KQ31" s="221">
        <f>KP31/KP10</f>
        <v>8.2575757575757578</v>
      </c>
      <c r="KR31" s="273">
        <v>10.9</v>
      </c>
      <c r="KS31" s="221">
        <f>KR31/KR10</f>
        <v>8.2575757575757578</v>
      </c>
      <c r="KT31" s="273">
        <v>10.9</v>
      </c>
      <c r="KU31" s="221">
        <f>KT31/KT10</f>
        <v>8.2575757575757578</v>
      </c>
      <c r="KV31" s="273">
        <v>10.9</v>
      </c>
      <c r="KW31" s="221">
        <f>KV31/KV10</f>
        <v>8.2575757575757578</v>
      </c>
      <c r="KX31" s="273">
        <v>10.9</v>
      </c>
      <c r="KY31" s="221">
        <f>KX31/KX10</f>
        <v>8.2575757575757578</v>
      </c>
      <c r="KZ31" s="273">
        <v>10.9</v>
      </c>
      <c r="LA31" s="221">
        <f>KZ31/KZ10</f>
        <v>8.2575757575757578</v>
      </c>
      <c r="LB31" s="273">
        <v>10.9</v>
      </c>
      <c r="LC31" s="221">
        <f>LB31/LB10</f>
        <v>8.2575757575757578</v>
      </c>
      <c r="LD31" s="273">
        <v>10.9</v>
      </c>
      <c r="LE31" s="221">
        <f>LD31/LD10</f>
        <v>8.2575757575757578</v>
      </c>
      <c r="LF31" s="273">
        <v>10.9</v>
      </c>
      <c r="LG31" s="221">
        <f>LF31/LF10</f>
        <v>8.2575757575757578</v>
      </c>
      <c r="LH31" s="273">
        <v>10.9</v>
      </c>
      <c r="LI31" s="221">
        <f>LH31/LH10</f>
        <v>8.2575757575757578</v>
      </c>
      <c r="LJ31" s="273">
        <v>10.9</v>
      </c>
      <c r="LK31" s="221">
        <f>LJ31/LJ10</f>
        <v>8.2575757575757578</v>
      </c>
      <c r="LL31" s="273">
        <v>10.9</v>
      </c>
      <c r="LM31" s="221">
        <f>LL31/LL10</f>
        <v>8.2575757575757578</v>
      </c>
      <c r="LN31" s="273">
        <v>10.9</v>
      </c>
      <c r="LO31" s="221">
        <f>LN31/LN10</f>
        <v>8.2575757575757578</v>
      </c>
      <c r="LP31" s="273">
        <v>10.9</v>
      </c>
      <c r="LQ31" s="221">
        <f>LP31/LP10</f>
        <v>8.2575757575757578</v>
      </c>
      <c r="LR31" s="273">
        <v>10.9</v>
      </c>
      <c r="LS31" s="221">
        <f>LR31/LR10</f>
        <v>8.2575757575757578</v>
      </c>
      <c r="LT31" s="273">
        <v>10.9</v>
      </c>
      <c r="LU31" s="221">
        <f>LT31/LT10</f>
        <v>8.2575757575757578</v>
      </c>
      <c r="LV31" s="273">
        <v>10.9</v>
      </c>
      <c r="LW31" s="221">
        <f>LV31/LV10</f>
        <v>8.2575757575757578</v>
      </c>
      <c r="LX31" s="273">
        <v>10.9</v>
      </c>
      <c r="LY31" s="221">
        <f>LX31/LX10</f>
        <v>8.2575757575757578</v>
      </c>
      <c r="LZ31" s="273">
        <v>10.9</v>
      </c>
      <c r="MA31" s="221">
        <f>LZ31/LZ10</f>
        <v>8.2575757575757578</v>
      </c>
      <c r="MB31" s="273">
        <v>10.9</v>
      </c>
      <c r="MC31" s="221">
        <f>MB31/MB10</f>
        <v>8.2575757575757578</v>
      </c>
      <c r="MD31" s="273">
        <v>10.9</v>
      </c>
      <c r="ME31" s="221">
        <f>MD31/MD10</f>
        <v>8.2575757575757578</v>
      </c>
      <c r="MF31" s="273">
        <v>10.9</v>
      </c>
      <c r="MG31" s="221">
        <f>MF31/MF10</f>
        <v>8.2575757575757578</v>
      </c>
      <c r="MH31" s="219"/>
      <c r="MI31" s="273">
        <v>8</v>
      </c>
      <c r="MJ31" s="221">
        <f>+MJ18-MJ26</f>
        <v>7.0545454545454538</v>
      </c>
      <c r="MK31" s="273">
        <v>8.4</v>
      </c>
      <c r="ML31" s="221">
        <f>+ML18-ML26</f>
        <v>7.0545454545454538</v>
      </c>
      <c r="MM31" s="273">
        <v>8.4</v>
      </c>
      <c r="MN31" s="221">
        <f>+MN18-MN26</f>
        <v>7.0545454545454538</v>
      </c>
      <c r="MO31" s="273">
        <v>8.4</v>
      </c>
      <c r="MP31" s="221">
        <f>+MP18-MP26</f>
        <v>7.0545454545454538</v>
      </c>
      <c r="MQ31" s="273">
        <v>8.4</v>
      </c>
      <c r="MR31" s="221">
        <f>+MR18-MR26</f>
        <v>7.0545454545454538</v>
      </c>
      <c r="MS31" s="273">
        <v>8.8000000000000007</v>
      </c>
      <c r="MT31" s="221">
        <f>+MT18-MT26</f>
        <v>7.3484848484848486</v>
      </c>
      <c r="MU31" s="273">
        <v>9</v>
      </c>
      <c r="MV31" s="221">
        <f>+MV18-MV26</f>
        <v>7.6424242424242426</v>
      </c>
      <c r="MW31" s="273">
        <v>10.5</v>
      </c>
      <c r="MX31" s="221">
        <f>+MX18-MX26</f>
        <v>8.8181818181818166</v>
      </c>
      <c r="MY31" s="273">
        <v>10.5</v>
      </c>
      <c r="MZ31" s="221">
        <f>+MZ18-MZ26</f>
        <v>8.3142857142857149</v>
      </c>
      <c r="NA31" s="273">
        <v>10.5</v>
      </c>
      <c r="NB31" s="221">
        <f>+NB18-NB26</f>
        <v>8.8181818181818166</v>
      </c>
      <c r="NC31" s="273">
        <v>10.5</v>
      </c>
      <c r="ND31" s="221">
        <f>+ND18-ND26</f>
        <v>8.8181818181818166</v>
      </c>
      <c r="NE31" s="273">
        <v>10.5</v>
      </c>
      <c r="NF31" s="221">
        <f>+NF18-NF26</f>
        <v>8.8181818181818166</v>
      </c>
      <c r="NG31" s="273">
        <v>10.5</v>
      </c>
      <c r="NH31" s="221">
        <f>+NH18-NH26</f>
        <v>8.8181818181818166</v>
      </c>
      <c r="NI31" s="273">
        <v>10.5</v>
      </c>
      <c r="NJ31" s="221">
        <f>+NJ18-NJ26</f>
        <v>8.8181818181818166</v>
      </c>
      <c r="NK31" s="273">
        <v>10.5</v>
      </c>
      <c r="NL31" s="221">
        <f>+NL18-NL26</f>
        <v>8.8181818181818166</v>
      </c>
      <c r="NM31" s="273">
        <v>10.5</v>
      </c>
      <c r="NN31" s="221">
        <f>NM31/NM10</f>
        <v>7.9545454545454541</v>
      </c>
      <c r="NO31" s="273">
        <v>10.5</v>
      </c>
      <c r="NP31" s="221">
        <f>NO31/NO10</f>
        <v>7.9545454545454541</v>
      </c>
      <c r="NQ31" s="273">
        <v>10.5</v>
      </c>
      <c r="NR31" s="221">
        <f>NQ31/NQ10</f>
        <v>7.9545454545454541</v>
      </c>
      <c r="NS31" s="273">
        <v>10.5</v>
      </c>
      <c r="NT31" s="221">
        <f>NS31/NS10</f>
        <v>7.9545454545454541</v>
      </c>
      <c r="NU31" s="273">
        <v>10.5</v>
      </c>
      <c r="NV31" s="221">
        <f>NU31/NU10</f>
        <v>7.9545454545454541</v>
      </c>
      <c r="NW31" s="273">
        <v>10.5</v>
      </c>
      <c r="NX31" s="221">
        <f>NW31/NW10</f>
        <v>7.9545454545454541</v>
      </c>
      <c r="NY31" s="273">
        <v>10.5</v>
      </c>
      <c r="NZ31" s="221">
        <f>NY31/NY10</f>
        <v>7.9545454545454541</v>
      </c>
      <c r="OA31" s="273">
        <v>10.5</v>
      </c>
      <c r="OB31" s="221">
        <f>OA31/OA10</f>
        <v>7.9545454545454541</v>
      </c>
      <c r="OC31" s="273">
        <v>10.5</v>
      </c>
      <c r="OD31" s="221">
        <f>OC31/OC10</f>
        <v>7.9545454545454541</v>
      </c>
      <c r="OE31" s="273">
        <v>10.5</v>
      </c>
      <c r="OF31" s="221">
        <f>OE31/OE10</f>
        <v>7.9545454545454541</v>
      </c>
      <c r="OG31" s="273">
        <v>10.5</v>
      </c>
      <c r="OH31" s="221">
        <f>OG31/OG10</f>
        <v>7.9545454545454541</v>
      </c>
      <c r="OI31" s="273">
        <v>10.5</v>
      </c>
      <c r="OJ31" s="221">
        <f>OI31/OI10</f>
        <v>7.9545454545454541</v>
      </c>
      <c r="OK31" s="273">
        <v>10.5</v>
      </c>
      <c r="OL31" s="221">
        <f>OK31/OK10</f>
        <v>7.9545454545454541</v>
      </c>
      <c r="OM31" s="273">
        <v>10.5</v>
      </c>
      <c r="ON31" s="221">
        <f>OM31/OM10</f>
        <v>7.9545454545454541</v>
      </c>
      <c r="OO31" s="273">
        <v>10.5</v>
      </c>
      <c r="OP31" s="221">
        <f>OO31/OO10</f>
        <v>7.9545454545454541</v>
      </c>
      <c r="OQ31" s="273">
        <v>10.5</v>
      </c>
      <c r="OR31" s="221">
        <f>OQ31/OQ10</f>
        <v>7.9545454545454541</v>
      </c>
      <c r="OS31" s="273">
        <v>10.5</v>
      </c>
      <c r="OT31" s="221">
        <f>OS31/OS10</f>
        <v>7.9545454545454541</v>
      </c>
      <c r="OU31" s="273">
        <v>10.5</v>
      </c>
      <c r="OV31" s="221">
        <f>OU31/OU10</f>
        <v>7.9545454545454541</v>
      </c>
      <c r="OW31" s="273">
        <v>10.5</v>
      </c>
      <c r="OX31" s="221">
        <f>OW31/OW10</f>
        <v>7.9545454545454541</v>
      </c>
      <c r="OY31" s="273">
        <v>10.5</v>
      </c>
      <c r="OZ31" s="221">
        <f>OY31/OY10</f>
        <v>7.9545454545454541</v>
      </c>
      <c r="PA31" s="273">
        <v>10.5</v>
      </c>
      <c r="PB31" s="221">
        <f>PA31/PA10</f>
        <v>7.9545454545454541</v>
      </c>
      <c r="PC31" s="273">
        <v>10.5</v>
      </c>
      <c r="PD31" s="221">
        <f>PC31/PC10</f>
        <v>7.9545454545454541</v>
      </c>
      <c r="PE31" s="273">
        <v>10.5</v>
      </c>
      <c r="PF31" s="221">
        <f>PE31/PE10</f>
        <v>7.9545454545454541</v>
      </c>
      <c r="PG31" s="273">
        <v>10.5</v>
      </c>
      <c r="PH31" s="221">
        <f>PG31/PG10</f>
        <v>7.9545454545454541</v>
      </c>
      <c r="PI31" s="274">
        <v>9</v>
      </c>
      <c r="PJ31" s="221">
        <f>PI31/PI10</f>
        <v>6.8181818181818175</v>
      </c>
      <c r="PK31" s="274">
        <v>8.6</v>
      </c>
      <c r="PL31" s="221">
        <f>PK31/PK10</f>
        <v>6.5151515151515147</v>
      </c>
      <c r="PM31" s="273">
        <v>10.5</v>
      </c>
      <c r="PN31" s="221">
        <f>PM31/PM10</f>
        <v>7.9545454545454541</v>
      </c>
      <c r="PO31" s="273">
        <v>10.5</v>
      </c>
      <c r="PP31" s="221">
        <f>PO31/PO10</f>
        <v>7.9545454545454541</v>
      </c>
      <c r="PR31" s="273">
        <v>12</v>
      </c>
      <c r="PS31" s="221">
        <f>PR31/PR10</f>
        <v>9.0909090909090899</v>
      </c>
      <c r="PT31" s="273">
        <f>PR31</f>
        <v>12</v>
      </c>
      <c r="PU31" s="221">
        <f>PT31/PT10</f>
        <v>9.0909090909090899</v>
      </c>
      <c r="PV31" s="274">
        <v>10.8</v>
      </c>
      <c r="PW31" s="221">
        <f>PV31/PV10</f>
        <v>8.1818181818181817</v>
      </c>
      <c r="PX31" s="274">
        <f>PV31</f>
        <v>10.8</v>
      </c>
      <c r="PY31" s="221">
        <f>PX31/PX10</f>
        <v>8.1818181818181817</v>
      </c>
      <c r="PZ31" s="208">
        <v>8.8000000000000007</v>
      </c>
      <c r="QA31" s="221">
        <f>PZ31/PZ10</f>
        <v>6.666666666666667</v>
      </c>
      <c r="QB31" s="208">
        <f>PZ31</f>
        <v>8.8000000000000007</v>
      </c>
      <c r="QC31" s="221">
        <f>QB31/QB10</f>
        <v>6.666666666666667</v>
      </c>
      <c r="QF31" s="273">
        <v>12</v>
      </c>
      <c r="QG31" s="221">
        <f>QF31/QF10</f>
        <v>9.0909090909090899</v>
      </c>
      <c r="QH31" s="273">
        <f>QF31</f>
        <v>12</v>
      </c>
      <c r="QI31" s="221">
        <f>QH31/QH10</f>
        <v>9.0909090909090899</v>
      </c>
      <c r="QJ31" s="274">
        <v>10.8</v>
      </c>
      <c r="QK31" s="221">
        <f>QJ31/QJ10</f>
        <v>8.1818181818181817</v>
      </c>
      <c r="QL31" s="274">
        <v>10.8</v>
      </c>
      <c r="QM31" s="221">
        <f>QL31/QL10</f>
        <v>8.1818181818181817</v>
      </c>
      <c r="QN31" s="274">
        <v>10.8</v>
      </c>
      <c r="QO31" s="221">
        <f>QN31/QN10</f>
        <v>8.1818181818181817</v>
      </c>
      <c r="QP31" s="274">
        <v>10.8</v>
      </c>
      <c r="QQ31" s="221">
        <f>QP31/QP10</f>
        <v>8.1818181818181817</v>
      </c>
    </row>
    <row r="32" spans="1:459" x14ac:dyDescent="0.45">
      <c r="A32" s="876"/>
      <c r="B32" s="180"/>
      <c r="C32" s="181"/>
      <c r="D32" s="182"/>
      <c r="E32" s="177"/>
      <c r="F32" s="191"/>
      <c r="G32" s="192"/>
      <c r="H32" s="191"/>
      <c r="I32" s="192"/>
      <c r="J32" s="191"/>
      <c r="K32" s="192"/>
      <c r="L32" s="191"/>
      <c r="M32" s="192"/>
      <c r="N32" s="191"/>
      <c r="O32" s="192"/>
      <c r="P32" s="191"/>
      <c r="Q32" s="192"/>
      <c r="R32" s="191"/>
      <c r="S32" s="192"/>
      <c r="T32" s="191"/>
      <c r="U32" s="192"/>
      <c r="V32" s="191"/>
      <c r="W32" s="192"/>
      <c r="X32" s="191"/>
      <c r="Y32" s="192"/>
      <c r="Z32" s="191"/>
      <c r="AA32" s="192"/>
      <c r="AB32" s="191"/>
      <c r="AC32" s="192"/>
      <c r="AD32" s="191"/>
      <c r="AE32" s="192"/>
      <c r="AF32" s="191"/>
      <c r="AG32" s="192"/>
      <c r="AH32" s="191"/>
      <c r="AI32" s="192"/>
      <c r="AJ32" s="191"/>
      <c r="AK32" s="192"/>
      <c r="AL32" s="191"/>
      <c r="AM32" s="192"/>
      <c r="AN32" s="191"/>
      <c r="AO32" s="192"/>
      <c r="AP32" s="191"/>
      <c r="AQ32" s="192"/>
      <c r="AR32" s="191"/>
      <c r="AS32" s="192"/>
      <c r="AT32" s="191"/>
      <c r="AU32" s="192"/>
      <c r="AV32" s="191"/>
      <c r="AW32" s="192"/>
      <c r="AX32" s="191"/>
      <c r="AY32" s="192"/>
      <c r="AZ32" s="191"/>
      <c r="BA32" s="192"/>
      <c r="BB32" s="191"/>
      <c r="BC32" s="192"/>
      <c r="BD32" s="191"/>
      <c r="BE32" s="192"/>
      <c r="BF32" s="191"/>
      <c r="BG32" s="192"/>
      <c r="BH32" s="191"/>
      <c r="BI32" s="192"/>
      <c r="BJ32" s="191"/>
      <c r="BK32" s="192"/>
      <c r="BL32" s="191"/>
      <c r="BM32" s="192"/>
      <c r="BN32" s="191"/>
      <c r="BO32" s="192"/>
      <c r="BP32" s="191"/>
      <c r="BQ32" s="192"/>
      <c r="BR32" s="191"/>
      <c r="BS32" s="192"/>
      <c r="BT32" s="191"/>
      <c r="BU32" s="192"/>
      <c r="BV32" s="191"/>
      <c r="BW32" s="192"/>
      <c r="BX32" s="191"/>
      <c r="BY32" s="192"/>
      <c r="BZ32" s="191"/>
      <c r="CA32" s="192"/>
      <c r="CB32" s="191"/>
      <c r="CC32" s="192"/>
      <c r="CD32" s="191"/>
      <c r="CE32" s="192"/>
      <c r="CF32" s="191"/>
      <c r="CG32" s="192"/>
      <c r="CH32" s="191"/>
      <c r="CI32" s="192"/>
      <c r="CJ32" s="191"/>
      <c r="CK32" s="192"/>
      <c r="CL32" s="191"/>
      <c r="CM32" s="192"/>
      <c r="CN32" s="191"/>
      <c r="CO32" s="192"/>
      <c r="CP32" s="191"/>
      <c r="CQ32" s="192"/>
      <c r="CR32" s="191"/>
      <c r="CS32" s="192"/>
      <c r="CT32" s="136"/>
      <c r="CU32" s="191"/>
      <c r="CV32" s="192"/>
      <c r="CW32" s="191"/>
      <c r="CX32" s="192"/>
      <c r="CY32" s="191"/>
      <c r="CZ32" s="192"/>
      <c r="DA32" s="191"/>
      <c r="DB32" s="192"/>
      <c r="DC32" s="275">
        <v>2.9</v>
      </c>
      <c r="DD32" s="192"/>
      <c r="DE32" s="275">
        <v>2.9</v>
      </c>
      <c r="DF32" s="192"/>
      <c r="DG32" s="275">
        <v>2.9</v>
      </c>
      <c r="DH32" s="192"/>
      <c r="DI32" s="275">
        <v>2.9</v>
      </c>
      <c r="DJ32" s="192"/>
      <c r="DK32" s="275">
        <v>2.9</v>
      </c>
      <c r="DL32" s="192"/>
      <c r="DM32" s="275">
        <v>2.9</v>
      </c>
      <c r="DN32" s="192"/>
      <c r="DO32" s="275">
        <v>2.9</v>
      </c>
      <c r="DP32" s="192"/>
      <c r="DQ32" s="275">
        <v>2.9</v>
      </c>
      <c r="DR32" s="192"/>
      <c r="DS32" s="275">
        <v>2.9</v>
      </c>
      <c r="DT32" s="192"/>
      <c r="DU32" s="275">
        <v>2.9</v>
      </c>
      <c r="DV32" s="192"/>
      <c r="DW32" s="275">
        <v>2.9</v>
      </c>
      <c r="DX32" s="192"/>
      <c r="DY32" s="275">
        <v>2.9</v>
      </c>
      <c r="DZ32" s="192"/>
      <c r="EA32" s="275">
        <v>2.9</v>
      </c>
      <c r="EB32" s="192"/>
      <c r="EC32" s="275">
        <v>2.9</v>
      </c>
      <c r="ED32" s="192"/>
      <c r="EE32" s="275">
        <v>2.9</v>
      </c>
      <c r="EF32" s="192"/>
      <c r="EG32" s="275">
        <v>2.9</v>
      </c>
      <c r="EH32" s="192"/>
      <c r="EI32" s="275">
        <v>2.9</v>
      </c>
      <c r="EJ32" s="192"/>
      <c r="EK32" s="275">
        <v>2.9</v>
      </c>
      <c r="EL32" s="192"/>
      <c r="EM32" s="275">
        <v>2.9</v>
      </c>
      <c r="EN32" s="192"/>
      <c r="EO32" s="275">
        <v>2.9</v>
      </c>
      <c r="EP32" s="192"/>
      <c r="EQ32" s="275">
        <v>2.9</v>
      </c>
      <c r="ER32" s="192"/>
      <c r="ES32" s="275">
        <v>2.9</v>
      </c>
      <c r="ET32" s="192"/>
      <c r="EU32" s="275">
        <v>2.9</v>
      </c>
      <c r="EV32" s="192"/>
      <c r="EW32" s="275">
        <v>2.9</v>
      </c>
      <c r="EX32" s="192"/>
      <c r="EY32" s="275">
        <v>2.9</v>
      </c>
      <c r="EZ32" s="192"/>
      <c r="FA32" s="275">
        <v>2.9</v>
      </c>
      <c r="FB32" s="192"/>
      <c r="FC32" s="275">
        <v>2.9</v>
      </c>
      <c r="FD32" s="192"/>
      <c r="FE32" s="275">
        <v>2.9</v>
      </c>
      <c r="FF32" s="192"/>
      <c r="FG32" s="275">
        <v>2.9</v>
      </c>
      <c r="FH32" s="192"/>
      <c r="FI32" s="275">
        <v>2.9</v>
      </c>
      <c r="FJ32" s="192"/>
      <c r="FK32" s="275">
        <v>2.9</v>
      </c>
      <c r="FL32" s="192"/>
      <c r="FM32" s="275">
        <v>2.9</v>
      </c>
      <c r="FN32" s="192"/>
      <c r="FO32" s="275">
        <v>2.9</v>
      </c>
      <c r="FP32" s="192"/>
      <c r="FQ32" s="177"/>
      <c r="FR32" s="191"/>
      <c r="FS32" s="192"/>
      <c r="FT32" s="191"/>
      <c r="FU32" s="192"/>
      <c r="FV32" s="191"/>
      <c r="FW32" s="192"/>
      <c r="FX32" s="191"/>
      <c r="FY32" s="192"/>
      <c r="FZ32" s="191"/>
      <c r="GA32" s="192"/>
      <c r="GB32" s="191"/>
      <c r="GC32" s="192"/>
      <c r="GD32" s="191"/>
      <c r="GE32" s="192"/>
      <c r="GF32" s="191"/>
      <c r="GG32" s="192"/>
      <c r="GH32" s="191"/>
      <c r="GI32" s="192"/>
      <c r="GJ32" s="191"/>
      <c r="GK32" s="192"/>
      <c r="GL32" s="191"/>
      <c r="GM32" s="192"/>
      <c r="GN32" s="191"/>
      <c r="GO32" s="192"/>
      <c r="GP32" s="191"/>
      <c r="GQ32" s="192"/>
      <c r="GR32" s="191"/>
      <c r="GS32" s="192"/>
      <c r="GT32" s="191"/>
      <c r="GU32" s="192"/>
      <c r="GV32" s="191"/>
      <c r="GW32" s="192"/>
      <c r="GX32" s="191"/>
      <c r="GY32" s="192"/>
      <c r="GZ32" s="191"/>
      <c r="HA32" s="192"/>
      <c r="HB32" s="191"/>
      <c r="HC32" s="192"/>
      <c r="HD32" s="191"/>
      <c r="HE32" s="192"/>
      <c r="HF32" s="191"/>
      <c r="HG32" s="192"/>
      <c r="HH32" s="191"/>
      <c r="HI32" s="192"/>
      <c r="HJ32" s="191"/>
      <c r="HK32" s="192"/>
      <c r="HL32" s="191"/>
      <c r="HM32" s="192"/>
      <c r="HN32" s="191"/>
      <c r="HO32" s="192"/>
      <c r="HP32" s="191"/>
      <c r="HQ32" s="192"/>
      <c r="HR32" s="191"/>
      <c r="HS32" s="192"/>
      <c r="HT32" s="191"/>
      <c r="HU32" s="192"/>
      <c r="HV32" s="191"/>
      <c r="HW32" s="192"/>
      <c r="HX32" s="191"/>
      <c r="HY32" s="192"/>
      <c r="HZ32" s="191"/>
      <c r="IA32" s="192"/>
      <c r="IB32" s="191"/>
      <c r="IC32" s="192"/>
      <c r="ID32" s="191"/>
      <c r="IE32" s="192"/>
      <c r="IF32" s="191"/>
      <c r="IG32" s="192"/>
      <c r="IH32" s="191"/>
      <c r="II32" s="192"/>
      <c r="IJ32" s="191"/>
      <c r="IK32" s="192"/>
      <c r="IL32" s="191"/>
      <c r="IM32" s="192"/>
      <c r="IN32" s="191"/>
      <c r="IO32" s="192"/>
      <c r="IP32" s="191"/>
      <c r="IQ32" s="192"/>
      <c r="IR32" s="191"/>
      <c r="IS32" s="192"/>
      <c r="IT32" s="191"/>
      <c r="IU32" s="192"/>
      <c r="IV32" s="191"/>
      <c r="IW32" s="192"/>
      <c r="IX32" s="191"/>
      <c r="IY32" s="192"/>
      <c r="IZ32" s="177"/>
      <c r="JA32" s="191"/>
      <c r="JB32" s="192"/>
      <c r="JC32" s="191"/>
      <c r="JD32" s="192"/>
      <c r="JE32" s="177"/>
      <c r="JF32" s="191"/>
      <c r="JG32" s="192"/>
      <c r="JH32" s="191"/>
      <c r="JI32" s="192"/>
      <c r="JJ32" s="191"/>
      <c r="JK32" s="192"/>
      <c r="JL32" s="191"/>
      <c r="JM32" s="192"/>
      <c r="JN32" s="191"/>
      <c r="JO32" s="192"/>
      <c r="JP32" s="191"/>
      <c r="JQ32" s="192"/>
      <c r="JR32" s="191"/>
      <c r="JS32" s="192"/>
      <c r="JT32" s="191"/>
      <c r="JU32" s="192"/>
      <c r="JV32" s="191"/>
      <c r="JW32" s="192"/>
      <c r="JX32" s="191"/>
      <c r="JY32" s="192"/>
      <c r="JZ32" s="191"/>
      <c r="KA32" s="192"/>
      <c r="KB32" s="191"/>
      <c r="KC32" s="192"/>
      <c r="KD32" s="191"/>
      <c r="KE32" s="192"/>
      <c r="KF32" s="191"/>
      <c r="KG32" s="192"/>
      <c r="KH32" s="191"/>
      <c r="KI32" s="192"/>
      <c r="KJ32" s="191"/>
      <c r="KK32" s="192"/>
      <c r="KL32" s="191"/>
      <c r="KM32" s="192"/>
      <c r="KN32" s="191"/>
      <c r="KO32" s="192"/>
      <c r="KP32" s="191"/>
      <c r="KQ32" s="192"/>
      <c r="KR32" s="191"/>
      <c r="KS32" s="192"/>
      <c r="KT32" s="191"/>
      <c r="KU32" s="192"/>
      <c r="KV32" s="191"/>
      <c r="KW32" s="192"/>
      <c r="KX32" s="191"/>
      <c r="KY32" s="192"/>
      <c r="KZ32" s="191"/>
      <c r="LA32" s="192"/>
      <c r="LB32" s="191"/>
      <c r="LC32" s="192"/>
      <c r="LD32" s="191"/>
      <c r="LE32" s="192"/>
      <c r="LF32" s="191"/>
      <c r="LG32" s="192"/>
      <c r="LH32" s="191"/>
      <c r="LI32" s="192"/>
      <c r="LJ32" s="191"/>
      <c r="LK32" s="192"/>
      <c r="LL32" s="191"/>
      <c r="LM32" s="192"/>
      <c r="LN32" s="191"/>
      <c r="LO32" s="192"/>
      <c r="LP32" s="191"/>
      <c r="LQ32" s="192"/>
      <c r="LR32" s="191"/>
      <c r="LS32" s="192"/>
      <c r="LT32" s="191"/>
      <c r="LU32" s="192"/>
      <c r="LV32" s="191"/>
      <c r="LW32" s="192"/>
      <c r="LX32" s="191"/>
      <c r="LY32" s="192"/>
      <c r="LZ32" s="191"/>
      <c r="MA32" s="192"/>
      <c r="MB32" s="191"/>
      <c r="MC32" s="192"/>
      <c r="MD32" s="191"/>
      <c r="ME32" s="192"/>
      <c r="MF32" s="191"/>
      <c r="MG32" s="192"/>
      <c r="MH32" s="177"/>
      <c r="MI32" s="191"/>
      <c r="MJ32" s="192"/>
      <c r="MK32" s="191"/>
      <c r="ML32" s="192"/>
      <c r="MM32" s="191"/>
      <c r="MN32" s="192"/>
      <c r="MO32" s="191"/>
      <c r="MP32" s="192"/>
      <c r="MQ32" s="191"/>
      <c r="MR32" s="192"/>
      <c r="MS32" s="191"/>
      <c r="MT32" s="192"/>
      <c r="MU32" s="191"/>
      <c r="MV32" s="192"/>
      <c r="MW32" s="191"/>
      <c r="MX32" s="192"/>
      <c r="MY32" s="191"/>
      <c r="MZ32" s="192"/>
      <c r="NA32" s="191"/>
      <c r="NB32" s="192"/>
      <c r="NC32" s="191"/>
      <c r="ND32" s="192"/>
      <c r="NE32" s="191"/>
      <c r="NF32" s="192"/>
      <c r="NG32" s="191"/>
      <c r="NH32" s="192"/>
      <c r="NI32" s="191"/>
      <c r="NJ32" s="192"/>
      <c r="NK32" s="191"/>
      <c r="NL32" s="192"/>
      <c r="NM32" s="191"/>
      <c r="NN32" s="192"/>
      <c r="NO32" s="191"/>
      <c r="NP32" s="192"/>
      <c r="NQ32" s="191"/>
      <c r="NR32" s="192"/>
      <c r="NS32" s="191"/>
      <c r="NT32" s="192"/>
      <c r="NU32" s="191"/>
      <c r="NV32" s="192"/>
      <c r="NW32" s="191"/>
      <c r="NX32" s="192"/>
      <c r="NY32" s="191"/>
      <c r="NZ32" s="192"/>
      <c r="OA32" s="191"/>
      <c r="OB32" s="192"/>
      <c r="OC32" s="191"/>
      <c r="OD32" s="192"/>
      <c r="OE32" s="191"/>
      <c r="OF32" s="192"/>
      <c r="OG32" s="191"/>
      <c r="OH32" s="192"/>
      <c r="OI32" s="191"/>
      <c r="OJ32" s="192"/>
      <c r="OK32" s="191"/>
      <c r="OL32" s="192"/>
      <c r="OM32" s="191"/>
      <c r="ON32" s="192"/>
      <c r="OO32" s="191"/>
      <c r="OP32" s="192"/>
      <c r="OQ32" s="191"/>
      <c r="OR32" s="192"/>
      <c r="OS32" s="191"/>
      <c r="OT32" s="192"/>
      <c r="OU32" s="191"/>
      <c r="OV32" s="192"/>
      <c r="OW32" s="191"/>
      <c r="OX32" s="192"/>
      <c r="OY32" s="191"/>
      <c r="OZ32" s="192"/>
      <c r="PA32" s="191"/>
      <c r="PB32" s="192"/>
      <c r="PC32" s="191"/>
      <c r="PD32" s="192"/>
      <c r="PE32" s="191"/>
      <c r="PF32" s="192"/>
      <c r="PG32" s="191"/>
      <c r="PH32" s="192"/>
      <c r="PI32" s="191"/>
      <c r="PJ32" s="192"/>
      <c r="PK32" s="191"/>
      <c r="PL32" s="192"/>
      <c r="PM32" s="191"/>
      <c r="PN32" s="192"/>
      <c r="PO32" s="191"/>
      <c r="PP32" s="192"/>
      <c r="PR32" s="276">
        <f>PR31/PR8</f>
        <v>0.6</v>
      </c>
      <c r="PS32" s="277"/>
      <c r="PT32" s="276">
        <f>PT31/PT8</f>
        <v>0.6</v>
      </c>
      <c r="PU32" s="278"/>
      <c r="PV32" s="227">
        <f>PV31/PV8</f>
        <v>0.54</v>
      </c>
      <c r="PW32" s="279"/>
      <c r="PX32" s="227">
        <f>PX31/PX8</f>
        <v>0.54</v>
      </c>
      <c r="PY32" s="192"/>
      <c r="PZ32" s="227">
        <f>PZ31/PZ8</f>
        <v>0.44000000000000006</v>
      </c>
      <c r="QA32" s="279"/>
      <c r="QB32" s="227">
        <f>QB31/QB8</f>
        <v>0.44000000000000006</v>
      </c>
      <c r="QC32" s="192"/>
      <c r="QE32" s="280"/>
      <c r="QF32" s="276">
        <f>QF31/QF8</f>
        <v>0.6</v>
      </c>
      <c r="QG32" s="277"/>
      <c r="QH32" s="276">
        <f>QH31/QH8</f>
        <v>0.6</v>
      </c>
      <c r="QI32" s="192"/>
      <c r="QJ32" s="276">
        <f>QJ31/QJ8</f>
        <v>0.54</v>
      </c>
      <c r="QK32" s="277"/>
      <c r="QL32" s="276">
        <f>QL31/QL8</f>
        <v>0.54</v>
      </c>
      <c r="QM32" s="192"/>
      <c r="QN32" s="276">
        <f>QN31/QN8</f>
        <v>0.54</v>
      </c>
      <c r="QO32" s="277"/>
      <c r="QP32" s="276">
        <f>QP31/QP8</f>
        <v>0.54</v>
      </c>
      <c r="QQ32" s="192"/>
    </row>
    <row r="33" spans="1:459" x14ac:dyDescent="0.45">
      <c r="A33" s="870" t="s">
        <v>340</v>
      </c>
      <c r="B33" s="194"/>
      <c r="C33" s="195"/>
      <c r="D33" s="196"/>
      <c r="E33" s="177"/>
      <c r="F33" s="281"/>
      <c r="G33" s="198"/>
      <c r="H33" s="281"/>
      <c r="I33" s="198"/>
      <c r="J33" s="281"/>
      <c r="K33" s="198"/>
      <c r="L33" s="281"/>
      <c r="M33" s="198"/>
      <c r="N33" s="281"/>
      <c r="O33" s="198"/>
      <c r="P33" s="281"/>
      <c r="Q33" s="198"/>
      <c r="R33" s="281"/>
      <c r="S33" s="198"/>
      <c r="T33" s="281"/>
      <c r="U33" s="198"/>
      <c r="V33" s="281"/>
      <c r="W33" s="198"/>
      <c r="X33" s="281"/>
      <c r="Y33" s="198"/>
      <c r="Z33" s="281"/>
      <c r="AA33" s="198"/>
      <c r="AB33" s="281"/>
      <c r="AC33" s="198"/>
      <c r="AD33" s="281"/>
      <c r="AE33" s="198"/>
      <c r="AF33" s="281"/>
      <c r="AG33" s="198"/>
      <c r="AH33" s="281"/>
      <c r="AI33" s="198"/>
      <c r="AJ33" s="281"/>
      <c r="AK33" s="198"/>
      <c r="AL33" s="281"/>
      <c r="AM33" s="198"/>
      <c r="AN33" s="281"/>
      <c r="AO33" s="198"/>
      <c r="AP33" s="281"/>
      <c r="AQ33" s="198"/>
      <c r="AR33" s="281"/>
      <c r="AS33" s="198"/>
      <c r="AT33" s="281"/>
      <c r="AU33" s="198"/>
      <c r="AV33" s="281"/>
      <c r="AW33" s="198"/>
      <c r="AX33" s="281"/>
      <c r="AY33" s="198"/>
      <c r="AZ33" s="281"/>
      <c r="BA33" s="198"/>
      <c r="BB33" s="281"/>
      <c r="BC33" s="198"/>
      <c r="BD33" s="281"/>
      <c r="BE33" s="198"/>
      <c r="BF33" s="281"/>
      <c r="BG33" s="198"/>
      <c r="BH33" s="281"/>
      <c r="BI33" s="198"/>
      <c r="BJ33" s="281"/>
      <c r="BK33" s="198"/>
      <c r="BL33" s="281"/>
      <c r="BM33" s="198"/>
      <c r="BN33" s="281"/>
      <c r="BO33" s="198"/>
      <c r="BP33" s="281"/>
      <c r="BQ33" s="198"/>
      <c r="BR33" s="281"/>
      <c r="BS33" s="198"/>
      <c r="BT33" s="281"/>
      <c r="BU33" s="198"/>
      <c r="BV33" s="281"/>
      <c r="BW33" s="198"/>
      <c r="BX33" s="281"/>
      <c r="BY33" s="198"/>
      <c r="BZ33" s="281"/>
      <c r="CA33" s="198"/>
      <c r="CB33" s="281"/>
      <c r="CC33" s="198"/>
      <c r="CD33" s="281"/>
      <c r="CE33" s="198"/>
      <c r="CF33" s="281"/>
      <c r="CG33" s="198"/>
      <c r="CH33" s="281"/>
      <c r="CI33" s="198"/>
      <c r="CJ33" s="281"/>
      <c r="CK33" s="198"/>
      <c r="CL33" s="281"/>
      <c r="CM33" s="198"/>
      <c r="CN33" s="281"/>
      <c r="CO33" s="198"/>
      <c r="CP33" s="281"/>
      <c r="CQ33" s="198"/>
      <c r="CR33" s="282">
        <f>CR30*60%</f>
        <v>0.46199999999999974</v>
      </c>
      <c r="CS33" s="283">
        <f>CS30*60%</f>
        <v>0.34999999999999981</v>
      </c>
      <c r="CT33" s="136"/>
      <c r="CU33" s="281"/>
      <c r="CV33" s="198"/>
      <c r="CW33" s="281"/>
      <c r="CX33" s="198"/>
      <c r="CY33" s="281"/>
      <c r="CZ33" s="198"/>
      <c r="DA33" s="281"/>
      <c r="DB33" s="198"/>
      <c r="DC33" s="281"/>
      <c r="DD33" s="198"/>
      <c r="DE33" s="281"/>
      <c r="DF33" s="198"/>
      <c r="DG33" s="281"/>
      <c r="DH33" s="198"/>
      <c r="DI33" s="281"/>
      <c r="DJ33" s="198"/>
      <c r="DK33" s="281"/>
      <c r="DL33" s="198"/>
      <c r="DM33" s="281"/>
      <c r="DN33" s="198"/>
      <c r="DO33" s="281"/>
      <c r="DP33" s="198"/>
      <c r="DQ33" s="281"/>
      <c r="DR33" s="198"/>
      <c r="DS33" s="281"/>
      <c r="DT33" s="198"/>
      <c r="DU33" s="281"/>
      <c r="DV33" s="198"/>
      <c r="DW33" s="281"/>
      <c r="DX33" s="198"/>
      <c r="DY33" s="281"/>
      <c r="DZ33" s="198"/>
      <c r="EA33" s="281"/>
      <c r="EB33" s="198"/>
      <c r="EC33" s="281"/>
      <c r="ED33" s="198"/>
      <c r="EE33" s="281"/>
      <c r="EF33" s="198"/>
      <c r="EG33" s="281"/>
      <c r="EH33" s="198"/>
      <c r="EI33" s="281"/>
      <c r="EJ33" s="198"/>
      <c r="EK33" s="281"/>
      <c r="EL33" s="198"/>
      <c r="EM33" s="281"/>
      <c r="EN33" s="198"/>
      <c r="EO33" s="281"/>
      <c r="EP33" s="198"/>
      <c r="EQ33" s="281"/>
      <c r="ER33" s="198"/>
      <c r="ES33" s="281"/>
      <c r="ET33" s="198"/>
      <c r="EU33" s="281"/>
      <c r="EV33" s="198"/>
      <c r="EW33" s="281"/>
      <c r="EX33" s="198"/>
      <c r="EY33" s="281"/>
      <c r="EZ33" s="198"/>
      <c r="FA33" s="281"/>
      <c r="FB33" s="198"/>
      <c r="FC33" s="281"/>
      <c r="FD33" s="198"/>
      <c r="FE33" s="281"/>
      <c r="FF33" s="198"/>
      <c r="FG33" s="281"/>
      <c r="FH33" s="198"/>
      <c r="FI33" s="281"/>
      <c r="FJ33" s="198"/>
      <c r="FK33" s="281"/>
      <c r="FL33" s="198"/>
      <c r="FM33" s="281"/>
      <c r="FN33" s="198"/>
      <c r="FO33" s="281"/>
      <c r="FP33" s="198"/>
      <c r="FQ33" s="177"/>
      <c r="FR33" s="281"/>
      <c r="FS33" s="198"/>
      <c r="FT33" s="281"/>
      <c r="FU33" s="198"/>
      <c r="FV33" s="281"/>
      <c r="FW33" s="198"/>
      <c r="FX33" s="281"/>
      <c r="FY33" s="198"/>
      <c r="FZ33" s="281"/>
      <c r="GA33" s="198"/>
      <c r="GB33" s="281"/>
      <c r="GC33" s="198"/>
      <c r="GD33" s="281"/>
      <c r="GE33" s="198"/>
      <c r="GF33" s="281"/>
      <c r="GG33" s="198"/>
      <c r="GH33" s="281"/>
      <c r="GI33" s="198"/>
      <c r="GJ33" s="281"/>
      <c r="GK33" s="198"/>
      <c r="GL33" s="281"/>
      <c r="GM33" s="198"/>
      <c r="GN33" s="281"/>
      <c r="GO33" s="198"/>
      <c r="GP33" s="281"/>
      <c r="GQ33" s="198"/>
      <c r="GR33" s="281"/>
      <c r="GS33" s="198"/>
      <c r="GT33" s="281"/>
      <c r="GU33" s="198"/>
      <c r="GV33" s="281"/>
      <c r="GW33" s="198"/>
      <c r="GX33" s="281"/>
      <c r="GY33" s="198"/>
      <c r="GZ33" s="281"/>
      <c r="HA33" s="198"/>
      <c r="HB33" s="281"/>
      <c r="HC33" s="198"/>
      <c r="HD33" s="281"/>
      <c r="HE33" s="198"/>
      <c r="HF33" s="281"/>
      <c r="HG33" s="198"/>
      <c r="HH33" s="281"/>
      <c r="HI33" s="198"/>
      <c r="HJ33" s="281"/>
      <c r="HK33" s="198"/>
      <c r="HL33" s="281"/>
      <c r="HM33" s="198"/>
      <c r="HN33" s="281"/>
      <c r="HO33" s="198"/>
      <c r="HP33" s="281"/>
      <c r="HQ33" s="198"/>
      <c r="HR33" s="281"/>
      <c r="HS33" s="198"/>
      <c r="HT33" s="281"/>
      <c r="HU33" s="198"/>
      <c r="HV33" s="281"/>
      <c r="HW33" s="198"/>
      <c r="HX33" s="281"/>
      <c r="HY33" s="198"/>
      <c r="HZ33" s="281"/>
      <c r="IA33" s="198"/>
      <c r="IB33" s="281"/>
      <c r="IC33" s="198"/>
      <c r="ID33" s="281"/>
      <c r="IE33" s="198"/>
      <c r="IF33" s="281"/>
      <c r="IG33" s="198"/>
      <c r="IH33" s="281"/>
      <c r="II33" s="198"/>
      <c r="IJ33" s="281"/>
      <c r="IK33" s="198"/>
      <c r="IL33" s="281"/>
      <c r="IM33" s="198"/>
      <c r="IN33" s="281"/>
      <c r="IO33" s="198"/>
      <c r="IP33" s="281"/>
      <c r="IQ33" s="198"/>
      <c r="IR33" s="281"/>
      <c r="IS33" s="198"/>
      <c r="IT33" s="281"/>
      <c r="IU33" s="198"/>
      <c r="IV33" s="281"/>
      <c r="IW33" s="198"/>
      <c r="IX33" s="281"/>
      <c r="IY33" s="198"/>
      <c r="IZ33" s="177"/>
      <c r="JA33" s="281"/>
      <c r="JB33" s="198"/>
      <c r="JC33" s="281"/>
      <c r="JD33" s="198"/>
      <c r="JE33" s="177"/>
      <c r="JF33" s="281"/>
      <c r="JG33" s="198"/>
      <c r="JH33" s="281"/>
      <c r="JI33" s="198"/>
      <c r="JJ33" s="281"/>
      <c r="JK33" s="198"/>
      <c r="JL33" s="281"/>
      <c r="JM33" s="198"/>
      <c r="JN33" s="281"/>
      <c r="JO33" s="198"/>
      <c r="JP33" s="281"/>
      <c r="JQ33" s="198"/>
      <c r="JR33" s="281"/>
      <c r="JS33" s="198"/>
      <c r="JT33" s="281"/>
      <c r="JU33" s="198"/>
      <c r="JV33" s="281"/>
      <c r="JW33" s="198"/>
      <c r="JX33" s="281"/>
      <c r="JY33" s="198"/>
      <c r="JZ33" s="281"/>
      <c r="KA33" s="198"/>
      <c r="KB33" s="281"/>
      <c r="KC33" s="198"/>
      <c r="KD33" s="281"/>
      <c r="KE33" s="198"/>
      <c r="KF33" s="281"/>
      <c r="KG33" s="198"/>
      <c r="KH33" s="281"/>
      <c r="KI33" s="198"/>
      <c r="KJ33" s="281"/>
      <c r="KK33" s="198"/>
      <c r="KL33" s="281"/>
      <c r="KM33" s="198"/>
      <c r="KN33" s="281"/>
      <c r="KO33" s="198"/>
      <c r="KP33" s="281"/>
      <c r="KQ33" s="198"/>
      <c r="KR33" s="281"/>
      <c r="KS33" s="198"/>
      <c r="KT33" s="281"/>
      <c r="KU33" s="198"/>
      <c r="KV33" s="281"/>
      <c r="KW33" s="198"/>
      <c r="KX33" s="281"/>
      <c r="KY33" s="198"/>
      <c r="KZ33" s="281"/>
      <c r="LA33" s="198"/>
      <c r="LB33" s="281"/>
      <c r="LC33" s="198"/>
      <c r="LD33" s="281"/>
      <c r="LE33" s="198"/>
      <c r="LF33" s="281"/>
      <c r="LG33" s="198"/>
      <c r="LH33" s="281"/>
      <c r="LI33" s="198"/>
      <c r="LJ33" s="281"/>
      <c r="LK33" s="198"/>
      <c r="LL33" s="281"/>
      <c r="LM33" s="198"/>
      <c r="LN33" s="281"/>
      <c r="LO33" s="198"/>
      <c r="LP33" s="281"/>
      <c r="LQ33" s="198"/>
      <c r="LR33" s="281"/>
      <c r="LS33" s="198"/>
      <c r="LT33" s="281"/>
      <c r="LU33" s="198"/>
      <c r="LV33" s="281"/>
      <c r="LW33" s="198"/>
      <c r="LX33" s="281"/>
      <c r="LY33" s="198"/>
      <c r="LZ33" s="281"/>
      <c r="MA33" s="198"/>
      <c r="MB33" s="281"/>
      <c r="MC33" s="198"/>
      <c r="MD33" s="281"/>
      <c r="ME33" s="198"/>
      <c r="MF33" s="281"/>
      <c r="MG33" s="198"/>
      <c r="MH33" s="177"/>
      <c r="MI33" s="281"/>
      <c r="MJ33" s="198"/>
      <c r="MK33" s="281"/>
      <c r="ML33" s="198"/>
      <c r="MM33" s="281"/>
      <c r="MN33" s="198"/>
      <c r="MO33" s="281"/>
      <c r="MP33" s="198"/>
      <c r="MQ33" s="281"/>
      <c r="MR33" s="198"/>
      <c r="MS33" s="281"/>
      <c r="MT33" s="198"/>
      <c r="MU33" s="281"/>
      <c r="MV33" s="198"/>
      <c r="MW33" s="281"/>
      <c r="MX33" s="198"/>
      <c r="MY33" s="281"/>
      <c r="MZ33" s="198"/>
      <c r="NA33" s="281"/>
      <c r="NB33" s="198"/>
      <c r="NC33" s="281"/>
      <c r="ND33" s="198"/>
      <c r="NE33" s="281"/>
      <c r="NF33" s="198"/>
      <c r="NG33" s="281"/>
      <c r="NH33" s="198"/>
      <c r="NI33" s="281"/>
      <c r="NJ33" s="198"/>
      <c r="NK33" s="281"/>
      <c r="NL33" s="198"/>
      <c r="NM33" s="281"/>
      <c r="NN33" s="198"/>
      <c r="NO33" s="281"/>
      <c r="NP33" s="198"/>
      <c r="NQ33" s="281"/>
      <c r="NR33" s="198"/>
      <c r="NS33" s="281"/>
      <c r="NT33" s="198"/>
      <c r="NU33" s="281"/>
      <c r="NV33" s="198"/>
      <c r="NW33" s="281"/>
      <c r="NX33" s="198"/>
      <c r="NY33" s="281"/>
      <c r="NZ33" s="198"/>
      <c r="OA33" s="281"/>
      <c r="OB33" s="198"/>
      <c r="OC33" s="281"/>
      <c r="OD33" s="198"/>
      <c r="OE33" s="281"/>
      <c r="OF33" s="198"/>
      <c r="OG33" s="281"/>
      <c r="OH33" s="198"/>
      <c r="OI33" s="281"/>
      <c r="OJ33" s="198"/>
      <c r="OK33" s="281"/>
      <c r="OL33" s="198"/>
      <c r="OM33" s="281"/>
      <c r="ON33" s="198"/>
      <c r="OO33" s="281"/>
      <c r="OP33" s="198"/>
      <c r="OQ33" s="281"/>
      <c r="OR33" s="198"/>
      <c r="OS33" s="281"/>
      <c r="OT33" s="198"/>
      <c r="OU33" s="281"/>
      <c r="OV33" s="198"/>
      <c r="OW33" s="281"/>
      <c r="OX33" s="198"/>
      <c r="OY33" s="281"/>
      <c r="OZ33" s="198"/>
      <c r="PA33" s="281"/>
      <c r="PB33" s="198"/>
      <c r="PC33" s="281"/>
      <c r="PD33" s="198"/>
      <c r="PE33" s="281"/>
      <c r="PF33" s="198"/>
      <c r="PG33" s="281"/>
      <c r="PH33" s="198"/>
      <c r="PI33" s="281"/>
      <c r="PJ33" s="198"/>
      <c r="PK33" s="281"/>
      <c r="PL33" s="198"/>
      <c r="PM33" s="281"/>
      <c r="PN33" s="198"/>
      <c r="PO33" s="281"/>
      <c r="PP33" s="198"/>
      <c r="PR33" s="281"/>
      <c r="PS33" s="198"/>
      <c r="PT33" s="281"/>
      <c r="PU33" s="198"/>
      <c r="PV33" s="281"/>
      <c r="PW33" s="198"/>
      <c r="PX33" s="281"/>
      <c r="PY33" s="198"/>
      <c r="PZ33" s="281"/>
      <c r="QA33" s="198"/>
      <c r="QB33" s="281"/>
      <c r="QC33" s="198"/>
      <c r="QF33" s="281"/>
      <c r="QG33" s="198"/>
      <c r="QH33" s="281"/>
      <c r="QI33" s="198"/>
      <c r="QJ33" s="281"/>
      <c r="QK33" s="198"/>
      <c r="QL33" s="281"/>
      <c r="QM33" s="198"/>
      <c r="QN33" s="281"/>
      <c r="QO33" s="198"/>
      <c r="QP33" s="281"/>
      <c r="QQ33" s="198"/>
    </row>
    <row r="34" spans="1:459" x14ac:dyDescent="0.45">
      <c r="A34" s="871"/>
      <c r="B34" s="284" t="s">
        <v>341</v>
      </c>
      <c r="C34" s="181"/>
      <c r="D34" s="182"/>
      <c r="E34" s="177"/>
      <c r="F34" s="285"/>
      <c r="G34" s="192"/>
      <c r="H34" s="285"/>
      <c r="I34" s="192"/>
      <c r="J34" s="285"/>
      <c r="K34" s="192"/>
      <c r="L34" s="285"/>
      <c r="M34" s="192"/>
      <c r="N34" s="285"/>
      <c r="O34" s="192"/>
      <c r="P34" s="285"/>
      <c r="Q34" s="192"/>
      <c r="R34" s="285"/>
      <c r="S34" s="192"/>
      <c r="T34" s="285"/>
      <c r="U34" s="192"/>
      <c r="V34" s="285"/>
      <c r="W34" s="192"/>
      <c r="X34" s="285"/>
      <c r="Y34" s="192"/>
      <c r="Z34" s="285"/>
      <c r="AA34" s="192"/>
      <c r="AB34" s="285"/>
      <c r="AC34" s="192"/>
      <c r="AD34" s="285"/>
      <c r="AE34" s="192"/>
      <c r="AF34" s="285"/>
      <c r="AG34" s="192"/>
      <c r="AH34" s="285"/>
      <c r="AI34" s="192"/>
      <c r="AJ34" s="285"/>
      <c r="AK34" s="192"/>
      <c r="AL34" s="285"/>
      <c r="AM34" s="192"/>
      <c r="AN34" s="285"/>
      <c r="AO34" s="192"/>
      <c r="AP34" s="285"/>
      <c r="AQ34" s="192"/>
      <c r="AR34" s="285"/>
      <c r="AS34" s="192"/>
      <c r="AT34" s="285"/>
      <c r="AU34" s="192"/>
      <c r="AV34" s="285"/>
      <c r="AW34" s="192"/>
      <c r="AX34" s="285"/>
      <c r="AY34" s="192"/>
      <c r="AZ34" s="285"/>
      <c r="BA34" s="192"/>
      <c r="BB34" s="285"/>
      <c r="BC34" s="192"/>
      <c r="BD34" s="285"/>
      <c r="BE34" s="192"/>
      <c r="BF34" s="285"/>
      <c r="BG34" s="192"/>
      <c r="BH34" s="285"/>
      <c r="BI34" s="192"/>
      <c r="BJ34" s="285"/>
      <c r="BK34" s="192"/>
      <c r="BL34" s="286">
        <f t="shared" ref="BL34:CO34" si="302">BL35/BL31</f>
        <v>0.17127866771708677</v>
      </c>
      <c r="BM34" s="248">
        <f t="shared" si="302"/>
        <v>0.17127866771708675</v>
      </c>
      <c r="BN34" s="286">
        <f t="shared" si="302"/>
        <v>0.17127866771708677</v>
      </c>
      <c r="BO34" s="248">
        <f t="shared" si="302"/>
        <v>0.17127866771708675</v>
      </c>
      <c r="BP34" s="286">
        <f t="shared" si="302"/>
        <v>0.17127866771708677</v>
      </c>
      <c r="BQ34" s="248">
        <f t="shared" si="302"/>
        <v>0.17127866771708675</v>
      </c>
      <c r="BR34" s="286">
        <f t="shared" si="302"/>
        <v>0.17127866771708677</v>
      </c>
      <c r="BS34" s="248">
        <f t="shared" si="302"/>
        <v>0.17127866771708675</v>
      </c>
      <c r="BT34" s="286">
        <f t="shared" si="302"/>
        <v>0.17127866771708677</v>
      </c>
      <c r="BU34" s="248">
        <f t="shared" si="302"/>
        <v>0.17127866771708675</v>
      </c>
      <c r="BV34" s="286">
        <f t="shared" si="302"/>
        <v>0.17127866771708677</v>
      </c>
      <c r="BW34" s="248">
        <f t="shared" si="302"/>
        <v>0.17127866771708675</v>
      </c>
      <c r="BX34" s="286">
        <f t="shared" si="302"/>
        <v>0.17127866771708677</v>
      </c>
      <c r="BY34" s="248">
        <f t="shared" si="302"/>
        <v>0.17127866771708675</v>
      </c>
      <c r="BZ34" s="286">
        <f t="shared" si="302"/>
        <v>0.17127866771708677</v>
      </c>
      <c r="CA34" s="248">
        <f t="shared" si="302"/>
        <v>0.17127866771708675</v>
      </c>
      <c r="CB34" s="286">
        <f t="shared" si="302"/>
        <v>0.17127866771708677</v>
      </c>
      <c r="CC34" s="248">
        <f t="shared" si="302"/>
        <v>0.17127866771708675</v>
      </c>
      <c r="CD34" s="286">
        <f t="shared" si="302"/>
        <v>0.17127866771708677</v>
      </c>
      <c r="CE34" s="248">
        <f t="shared" si="302"/>
        <v>0.17127866771708675</v>
      </c>
      <c r="CF34" s="286">
        <f t="shared" si="302"/>
        <v>0.17127866771708677</v>
      </c>
      <c r="CG34" s="248">
        <f t="shared" si="302"/>
        <v>0.17127866771708675</v>
      </c>
      <c r="CH34" s="286">
        <f t="shared" si="302"/>
        <v>0.17127866771708677</v>
      </c>
      <c r="CI34" s="248">
        <f t="shared" si="302"/>
        <v>0.17127866771708675</v>
      </c>
      <c r="CJ34" s="286">
        <f t="shared" si="302"/>
        <v>0.17127866771708677</v>
      </c>
      <c r="CK34" s="248">
        <f t="shared" si="302"/>
        <v>0.17127866771708675</v>
      </c>
      <c r="CL34" s="286">
        <f t="shared" si="302"/>
        <v>0.17127866771708677</v>
      </c>
      <c r="CM34" s="248">
        <f t="shared" si="302"/>
        <v>0.17127866771708675</v>
      </c>
      <c r="CN34" s="287">
        <f t="shared" si="302"/>
        <v>0.18108258928571425</v>
      </c>
      <c r="CO34" s="288">
        <f t="shared" si="302"/>
        <v>0.18108258928571425</v>
      </c>
      <c r="CP34" s="286">
        <f>CP35/CP31</f>
        <v>0.12108258928571422</v>
      </c>
      <c r="CQ34" s="248">
        <f>CQ35/CQ31</f>
        <v>0.12108258928571421</v>
      </c>
      <c r="CR34" s="286">
        <f>CR35/CR31</f>
        <v>0.14983258928571427</v>
      </c>
      <c r="CS34" s="248">
        <f>CS35/CS31</f>
        <v>0.14983258928571425</v>
      </c>
      <c r="CT34" s="136"/>
      <c r="CU34" s="285"/>
      <c r="CV34" s="192"/>
      <c r="CW34" s="285"/>
      <c r="CX34" s="192"/>
      <c r="CY34" s="285"/>
      <c r="CZ34" s="192"/>
      <c r="DA34" s="285"/>
      <c r="DB34" s="192"/>
      <c r="DC34" s="285"/>
      <c r="DD34" s="192"/>
      <c r="DE34" s="285"/>
      <c r="DF34" s="192"/>
      <c r="DG34" s="285"/>
      <c r="DH34" s="192"/>
      <c r="DI34" s="285"/>
      <c r="DJ34" s="192"/>
      <c r="DK34" s="285"/>
      <c r="DL34" s="192"/>
      <c r="DM34" s="285"/>
      <c r="DN34" s="192"/>
      <c r="DO34" s="285"/>
      <c r="DP34" s="192"/>
      <c r="DQ34" s="285"/>
      <c r="DR34" s="192"/>
      <c r="DS34" s="285"/>
      <c r="DT34" s="192"/>
      <c r="DU34" s="285"/>
      <c r="DV34" s="192"/>
      <c r="DW34" s="285"/>
      <c r="DX34" s="192"/>
      <c r="DY34" s="285"/>
      <c r="DZ34" s="192"/>
      <c r="EA34" s="285"/>
      <c r="EB34" s="192"/>
      <c r="EC34" s="285"/>
      <c r="ED34" s="192"/>
      <c r="EE34" s="285"/>
      <c r="EF34" s="192"/>
      <c r="EG34" s="285"/>
      <c r="EH34" s="192"/>
      <c r="EI34" s="285"/>
      <c r="EJ34" s="192"/>
      <c r="EK34" s="286">
        <f t="shared" ref="EK34:FP34" si="303">EK35/EK31</f>
        <v>0.15562370888288557</v>
      </c>
      <c r="EL34" s="248">
        <f t="shared" si="303"/>
        <v>0.1556237088828856</v>
      </c>
      <c r="EM34" s="286">
        <f t="shared" si="303"/>
        <v>0.15562370888288557</v>
      </c>
      <c r="EN34" s="248">
        <f t="shared" si="303"/>
        <v>0.1556237088828856</v>
      </c>
      <c r="EO34" s="286">
        <f t="shared" si="303"/>
        <v>0.15562370888288557</v>
      </c>
      <c r="EP34" s="248">
        <f t="shared" si="303"/>
        <v>0.1556237088828856</v>
      </c>
      <c r="EQ34" s="286">
        <f t="shared" si="303"/>
        <v>0.15562370888288557</v>
      </c>
      <c r="ER34" s="248">
        <f t="shared" si="303"/>
        <v>0.1556237088828856</v>
      </c>
      <c r="ES34" s="286">
        <f t="shared" si="303"/>
        <v>0.15562370888288557</v>
      </c>
      <c r="ET34" s="248">
        <f t="shared" si="303"/>
        <v>0.1556237088828856</v>
      </c>
      <c r="EU34" s="286">
        <f t="shared" si="303"/>
        <v>0.15562370888288557</v>
      </c>
      <c r="EV34" s="248">
        <f t="shared" si="303"/>
        <v>0.1556237088828856</v>
      </c>
      <c r="EW34" s="286">
        <f t="shared" si="303"/>
        <v>0.15562370888288557</v>
      </c>
      <c r="EX34" s="248">
        <f t="shared" si="303"/>
        <v>0.1556237088828856</v>
      </c>
      <c r="EY34" s="286">
        <f t="shared" si="303"/>
        <v>0.15562370888288557</v>
      </c>
      <c r="EZ34" s="248">
        <f t="shared" si="303"/>
        <v>0.1556237088828856</v>
      </c>
      <c r="FA34" s="286">
        <f t="shared" si="303"/>
        <v>0.15562370888288557</v>
      </c>
      <c r="FB34" s="248">
        <f t="shared" si="303"/>
        <v>0.1556237088828856</v>
      </c>
      <c r="FC34" s="286">
        <f t="shared" si="303"/>
        <v>0.15562370888288557</v>
      </c>
      <c r="FD34" s="248">
        <f t="shared" si="303"/>
        <v>0.1556237088828856</v>
      </c>
      <c r="FE34" s="286">
        <f t="shared" si="303"/>
        <v>0.15562370888288557</v>
      </c>
      <c r="FF34" s="248">
        <f t="shared" si="303"/>
        <v>0.1556237088828856</v>
      </c>
      <c r="FG34" s="286">
        <f t="shared" si="303"/>
        <v>0.15562370888288557</v>
      </c>
      <c r="FH34" s="248">
        <f t="shared" si="303"/>
        <v>0.1556237088828856</v>
      </c>
      <c r="FI34" s="286">
        <f t="shared" si="303"/>
        <v>0.15562370888288557</v>
      </c>
      <c r="FJ34" s="248">
        <f t="shared" si="303"/>
        <v>0.1556237088828856</v>
      </c>
      <c r="FK34" s="286">
        <f t="shared" si="303"/>
        <v>0.15562370888288557</v>
      </c>
      <c r="FL34" s="248">
        <f t="shared" si="303"/>
        <v>0.1556237088828856</v>
      </c>
      <c r="FM34" s="286">
        <f t="shared" si="303"/>
        <v>0.12570917896835565</v>
      </c>
      <c r="FN34" s="248">
        <f t="shared" si="303"/>
        <v>0.12570917896835565</v>
      </c>
      <c r="FO34" s="286">
        <f t="shared" si="303"/>
        <v>0.12570917896835565</v>
      </c>
      <c r="FP34" s="248">
        <f t="shared" si="303"/>
        <v>0.12570917896835565</v>
      </c>
      <c r="FQ34" s="177"/>
      <c r="FR34" s="285"/>
      <c r="FS34" s="192"/>
      <c r="FT34" s="285"/>
      <c r="FU34" s="192"/>
      <c r="FV34" s="285"/>
      <c r="FW34" s="192"/>
      <c r="FX34" s="285"/>
      <c r="FY34" s="192"/>
      <c r="FZ34" s="285"/>
      <c r="GA34" s="192"/>
      <c r="GB34" s="285"/>
      <c r="GC34" s="192"/>
      <c r="GD34" s="285"/>
      <c r="GE34" s="192"/>
      <c r="GF34" s="285"/>
      <c r="GG34" s="192"/>
      <c r="GH34" s="285"/>
      <c r="GI34" s="192"/>
      <c r="GJ34" s="285"/>
      <c r="GK34" s="192"/>
      <c r="GL34" s="285"/>
      <c r="GM34" s="192"/>
      <c r="GN34" s="285"/>
      <c r="GO34" s="192"/>
      <c r="GP34" s="285"/>
      <c r="GQ34" s="192"/>
      <c r="GR34" s="285"/>
      <c r="GS34" s="192"/>
      <c r="GT34" s="285"/>
      <c r="GU34" s="192"/>
      <c r="GV34" s="285"/>
      <c r="GW34" s="192"/>
      <c r="GX34" s="285"/>
      <c r="GY34" s="192"/>
      <c r="GZ34" s="285"/>
      <c r="HA34" s="192"/>
      <c r="HB34" s="285"/>
      <c r="HC34" s="192"/>
      <c r="HD34" s="285"/>
      <c r="HE34" s="192"/>
      <c r="HF34" s="285"/>
      <c r="HG34" s="192"/>
      <c r="HH34" s="285"/>
      <c r="HI34" s="192"/>
      <c r="HJ34" s="285"/>
      <c r="HK34" s="192"/>
      <c r="HL34" s="285"/>
      <c r="HM34" s="192"/>
      <c r="HN34" s="285"/>
      <c r="HO34" s="192"/>
      <c r="HP34" s="285"/>
      <c r="HQ34" s="192"/>
      <c r="HR34" s="286">
        <f t="shared" ref="HR34:IY34" si="304">HR35/HR31</f>
        <v>0.17812966417910461</v>
      </c>
      <c r="HS34" s="248">
        <f t="shared" si="304"/>
        <v>0.17812966417910464</v>
      </c>
      <c r="HT34" s="286">
        <f t="shared" si="304"/>
        <v>0.17812966417910461</v>
      </c>
      <c r="HU34" s="248">
        <f t="shared" si="304"/>
        <v>0.17812966417910464</v>
      </c>
      <c r="HV34" s="286">
        <f t="shared" si="304"/>
        <v>0.17812966417910461</v>
      </c>
      <c r="HW34" s="248">
        <f t="shared" si="304"/>
        <v>0.17812966417910464</v>
      </c>
      <c r="HX34" s="286">
        <f t="shared" si="304"/>
        <v>0.17812966417910461</v>
      </c>
      <c r="HY34" s="248">
        <f t="shared" si="304"/>
        <v>0.17812966417910464</v>
      </c>
      <c r="HZ34" s="286">
        <f t="shared" si="304"/>
        <v>0.17812966417910461</v>
      </c>
      <c r="IA34" s="248">
        <f t="shared" si="304"/>
        <v>0.17812966417910464</v>
      </c>
      <c r="IB34" s="286">
        <f t="shared" si="304"/>
        <v>0.17812966417910461</v>
      </c>
      <c r="IC34" s="248">
        <f t="shared" si="304"/>
        <v>0.17812966417910464</v>
      </c>
      <c r="ID34" s="286">
        <f t="shared" si="304"/>
        <v>0.17812966417910461</v>
      </c>
      <c r="IE34" s="248">
        <f t="shared" si="304"/>
        <v>0.17812966417910464</v>
      </c>
      <c r="IF34" s="286">
        <f t="shared" si="304"/>
        <v>0.17812966417910461</v>
      </c>
      <c r="IG34" s="248">
        <f t="shared" si="304"/>
        <v>0.17812966417910464</v>
      </c>
      <c r="IH34" s="286">
        <f t="shared" si="304"/>
        <v>0.17812966417910461</v>
      </c>
      <c r="II34" s="248">
        <f t="shared" si="304"/>
        <v>0.17812966417910464</v>
      </c>
      <c r="IJ34" s="286">
        <f t="shared" si="304"/>
        <v>0.17812966417910461</v>
      </c>
      <c r="IK34" s="248">
        <f t="shared" si="304"/>
        <v>0.17812966417910464</v>
      </c>
      <c r="IL34" s="286">
        <f t="shared" si="304"/>
        <v>0.17812966417910461</v>
      </c>
      <c r="IM34" s="248">
        <f t="shared" si="304"/>
        <v>0.17812966417910464</v>
      </c>
      <c r="IN34" s="286">
        <f t="shared" si="304"/>
        <v>0.17812966417910461</v>
      </c>
      <c r="IO34" s="248">
        <f t="shared" si="304"/>
        <v>0.17812966417910464</v>
      </c>
      <c r="IP34" s="286">
        <f t="shared" si="304"/>
        <v>0.17812966417910461</v>
      </c>
      <c r="IQ34" s="248">
        <f t="shared" si="304"/>
        <v>0.17812966417910464</v>
      </c>
      <c r="IR34" s="286">
        <f t="shared" si="304"/>
        <v>0.17812966417910461</v>
      </c>
      <c r="IS34" s="248">
        <f t="shared" si="304"/>
        <v>0.17812966417910464</v>
      </c>
      <c r="IT34" s="286">
        <f t="shared" si="304"/>
        <v>0.17812966417910461</v>
      </c>
      <c r="IU34" s="248">
        <f t="shared" si="304"/>
        <v>0.17812966417910464</v>
      </c>
      <c r="IV34" s="286">
        <f t="shared" si="304"/>
        <v>0.13267511872455914</v>
      </c>
      <c r="IW34" s="248">
        <f t="shared" si="304"/>
        <v>0.13267511872455914</v>
      </c>
      <c r="IX34" s="286">
        <f t="shared" si="304"/>
        <v>0.17812966417910461</v>
      </c>
      <c r="IY34" s="248">
        <f t="shared" si="304"/>
        <v>0.17812966417910464</v>
      </c>
      <c r="IZ34" s="177"/>
      <c r="JA34" s="285"/>
      <c r="JB34" s="192"/>
      <c r="JC34" s="285"/>
      <c r="JD34" s="192"/>
      <c r="JE34" s="177"/>
      <c r="JF34" s="285"/>
      <c r="JG34" s="192"/>
      <c r="JH34" s="285"/>
      <c r="JI34" s="192"/>
      <c r="JJ34" s="285"/>
      <c r="JK34" s="192"/>
      <c r="JL34" s="285"/>
      <c r="JM34" s="192"/>
      <c r="JN34" s="285"/>
      <c r="JO34" s="192"/>
      <c r="JP34" s="285"/>
      <c r="JQ34" s="192"/>
      <c r="JR34" s="285"/>
      <c r="JS34" s="192"/>
      <c r="JT34" s="285"/>
      <c r="JU34" s="192"/>
      <c r="JV34" s="285"/>
      <c r="JW34" s="192"/>
      <c r="JX34" s="285"/>
      <c r="JY34" s="192"/>
      <c r="JZ34" s="285"/>
      <c r="KA34" s="192"/>
      <c r="KB34" s="285"/>
      <c r="KC34" s="192"/>
      <c r="KD34" s="285"/>
      <c r="KE34" s="192"/>
      <c r="KF34" s="285"/>
      <c r="KG34" s="192"/>
      <c r="KH34" s="285"/>
      <c r="KI34" s="192"/>
      <c r="KJ34" s="285"/>
      <c r="KK34" s="192"/>
      <c r="KL34" s="285"/>
      <c r="KM34" s="192"/>
      <c r="KN34" s="285"/>
      <c r="KO34" s="192"/>
      <c r="KP34" s="285"/>
      <c r="KQ34" s="192"/>
      <c r="KR34" s="285"/>
      <c r="KS34" s="192"/>
      <c r="KT34" s="285"/>
      <c r="KU34" s="192"/>
      <c r="KV34" s="285"/>
      <c r="KW34" s="192"/>
      <c r="KX34" s="285"/>
      <c r="KY34" s="192"/>
      <c r="KZ34" s="285"/>
      <c r="LA34" s="192"/>
      <c r="LB34" s="286">
        <f t="shared" ref="LB34:MG34" si="305">LB35/LB31</f>
        <v>0.1713237221494103</v>
      </c>
      <c r="LC34" s="248">
        <f t="shared" si="305"/>
        <v>0.17132372214941027</v>
      </c>
      <c r="LD34" s="286">
        <f t="shared" si="305"/>
        <v>0.1713237221494103</v>
      </c>
      <c r="LE34" s="248">
        <f t="shared" si="305"/>
        <v>0.17132372214941027</v>
      </c>
      <c r="LF34" s="286">
        <f t="shared" si="305"/>
        <v>0.1713237221494103</v>
      </c>
      <c r="LG34" s="248">
        <f t="shared" si="305"/>
        <v>0.17132372214941027</v>
      </c>
      <c r="LH34" s="286">
        <f t="shared" si="305"/>
        <v>0.1713237221494103</v>
      </c>
      <c r="LI34" s="248">
        <f t="shared" si="305"/>
        <v>0.17132372214941027</v>
      </c>
      <c r="LJ34" s="286">
        <f t="shared" si="305"/>
        <v>0.1713237221494103</v>
      </c>
      <c r="LK34" s="248">
        <f t="shared" si="305"/>
        <v>0.17132372214941027</v>
      </c>
      <c r="LL34" s="286">
        <f t="shared" si="305"/>
        <v>0.1713237221494103</v>
      </c>
      <c r="LM34" s="248">
        <f t="shared" si="305"/>
        <v>0.17132372214941027</v>
      </c>
      <c r="LN34" s="286">
        <f t="shared" si="305"/>
        <v>0.1713237221494103</v>
      </c>
      <c r="LO34" s="248">
        <f t="shared" si="305"/>
        <v>0.17132372214941027</v>
      </c>
      <c r="LP34" s="286">
        <f t="shared" si="305"/>
        <v>0.1713237221494103</v>
      </c>
      <c r="LQ34" s="248">
        <f t="shared" si="305"/>
        <v>0.17132372214941027</v>
      </c>
      <c r="LR34" s="286">
        <f t="shared" si="305"/>
        <v>0.1713237221494103</v>
      </c>
      <c r="LS34" s="248">
        <f t="shared" si="305"/>
        <v>0.17132372214941027</v>
      </c>
      <c r="LT34" s="286">
        <f t="shared" si="305"/>
        <v>0.1713237221494103</v>
      </c>
      <c r="LU34" s="248">
        <f t="shared" si="305"/>
        <v>0.17132372214941027</v>
      </c>
      <c r="LV34" s="286">
        <f t="shared" si="305"/>
        <v>0.1713237221494103</v>
      </c>
      <c r="LW34" s="248">
        <f t="shared" si="305"/>
        <v>0.17132372214941027</v>
      </c>
      <c r="LX34" s="286">
        <f t="shared" si="305"/>
        <v>0.1713237221494103</v>
      </c>
      <c r="LY34" s="248">
        <f t="shared" si="305"/>
        <v>0.17132372214941027</v>
      </c>
      <c r="LZ34" s="286">
        <f t="shared" si="305"/>
        <v>0.1713237221494103</v>
      </c>
      <c r="MA34" s="248">
        <f t="shared" si="305"/>
        <v>0.17132372214941027</v>
      </c>
      <c r="MB34" s="286">
        <f t="shared" si="305"/>
        <v>0.1713237221494103</v>
      </c>
      <c r="MC34" s="248">
        <f t="shared" si="305"/>
        <v>0.17132372214941027</v>
      </c>
      <c r="MD34" s="286">
        <f t="shared" si="305"/>
        <v>0.1713237221494103</v>
      </c>
      <c r="ME34" s="248">
        <f t="shared" si="305"/>
        <v>0.17132372214941027</v>
      </c>
      <c r="MF34" s="286">
        <f t="shared" si="305"/>
        <v>8.0886178042141404E-2</v>
      </c>
      <c r="MG34" s="248">
        <f t="shared" si="305"/>
        <v>8.0886178042141404E-2</v>
      </c>
      <c r="MH34" s="177"/>
      <c r="MI34" s="285"/>
      <c r="MJ34" s="192"/>
      <c r="MK34" s="285"/>
      <c r="ML34" s="192"/>
      <c r="MM34" s="285"/>
      <c r="MN34" s="192"/>
      <c r="MO34" s="285"/>
      <c r="MP34" s="192"/>
      <c r="MQ34" s="285"/>
      <c r="MR34" s="192"/>
      <c r="MS34" s="285"/>
      <c r="MT34" s="192"/>
      <c r="MU34" s="285"/>
      <c r="MV34" s="192"/>
      <c r="MW34" s="285"/>
      <c r="MX34" s="192"/>
      <c r="MY34" s="285"/>
      <c r="MZ34" s="192"/>
      <c r="NA34" s="285"/>
      <c r="NB34" s="192"/>
      <c r="NC34" s="285"/>
      <c r="ND34" s="192"/>
      <c r="NE34" s="285"/>
      <c r="NF34" s="192"/>
      <c r="NG34" s="285"/>
      <c r="NH34" s="192"/>
      <c r="NI34" s="285"/>
      <c r="NJ34" s="192"/>
      <c r="NK34" s="285"/>
      <c r="NL34" s="192"/>
      <c r="NM34" s="285"/>
      <c r="NN34" s="192"/>
      <c r="NO34" s="285"/>
      <c r="NP34" s="192"/>
      <c r="NQ34" s="285"/>
      <c r="NR34" s="192"/>
      <c r="NS34" s="285"/>
      <c r="NT34" s="192"/>
      <c r="NU34" s="285"/>
      <c r="NV34" s="192"/>
      <c r="NW34" s="285"/>
      <c r="NX34" s="192"/>
      <c r="NY34" s="285"/>
      <c r="NZ34" s="192"/>
      <c r="OA34" s="285"/>
      <c r="OB34" s="192"/>
      <c r="OC34" s="285"/>
      <c r="OD34" s="192"/>
      <c r="OE34" s="286">
        <f t="shared" ref="OE34:PP34" si="306">OE35/OE31</f>
        <v>0.2037647058823529</v>
      </c>
      <c r="OF34" s="248">
        <f t="shared" si="306"/>
        <v>0.2037647058823529</v>
      </c>
      <c r="OG34" s="286">
        <f t="shared" si="306"/>
        <v>0.2037647058823529</v>
      </c>
      <c r="OH34" s="248">
        <f t="shared" si="306"/>
        <v>0.2037647058823529</v>
      </c>
      <c r="OI34" s="286">
        <f t="shared" si="306"/>
        <v>0.2037647058823529</v>
      </c>
      <c r="OJ34" s="248">
        <f t="shared" si="306"/>
        <v>0.2037647058823529</v>
      </c>
      <c r="OK34" s="286">
        <f t="shared" si="306"/>
        <v>0.2037647058823529</v>
      </c>
      <c r="OL34" s="248">
        <f t="shared" si="306"/>
        <v>0.2037647058823529</v>
      </c>
      <c r="OM34" s="286">
        <f t="shared" si="306"/>
        <v>0.2037647058823529</v>
      </c>
      <c r="ON34" s="248">
        <f t="shared" si="306"/>
        <v>0.2037647058823529</v>
      </c>
      <c r="OO34" s="286">
        <f t="shared" si="306"/>
        <v>0.2037647058823529</v>
      </c>
      <c r="OP34" s="248">
        <f t="shared" si="306"/>
        <v>0.2037647058823529</v>
      </c>
      <c r="OQ34" s="286">
        <f t="shared" si="306"/>
        <v>0.2037647058823529</v>
      </c>
      <c r="OR34" s="248">
        <f t="shared" si="306"/>
        <v>0.2037647058823529</v>
      </c>
      <c r="OS34" s="286">
        <f t="shared" si="306"/>
        <v>0.2037647058823529</v>
      </c>
      <c r="OT34" s="248">
        <f t="shared" si="306"/>
        <v>0.2037647058823529</v>
      </c>
      <c r="OU34" s="286">
        <f t="shared" si="306"/>
        <v>0.2037647058823529</v>
      </c>
      <c r="OV34" s="248">
        <f t="shared" si="306"/>
        <v>0.2037647058823529</v>
      </c>
      <c r="OW34" s="286">
        <f t="shared" si="306"/>
        <v>0.2037647058823529</v>
      </c>
      <c r="OX34" s="248">
        <f t="shared" si="306"/>
        <v>0.2037647058823529</v>
      </c>
      <c r="OY34" s="286">
        <f t="shared" si="306"/>
        <v>0.2037647058823529</v>
      </c>
      <c r="OZ34" s="248">
        <f t="shared" si="306"/>
        <v>0.2037647058823529</v>
      </c>
      <c r="PA34" s="286">
        <f t="shared" si="306"/>
        <v>0.2037647058823529</v>
      </c>
      <c r="PB34" s="248">
        <f t="shared" si="306"/>
        <v>0.2037647058823529</v>
      </c>
      <c r="PC34" s="286">
        <f t="shared" si="306"/>
        <v>0.2037647058823529</v>
      </c>
      <c r="PD34" s="248">
        <f t="shared" si="306"/>
        <v>0.2037647058823529</v>
      </c>
      <c r="PE34" s="286">
        <f t="shared" si="306"/>
        <v>0.2037647058823529</v>
      </c>
      <c r="PF34" s="248">
        <f t="shared" si="306"/>
        <v>0.2037647058823529</v>
      </c>
      <c r="PG34" s="286">
        <f t="shared" si="306"/>
        <v>0.2037647058823529</v>
      </c>
      <c r="PH34" s="248">
        <f t="shared" si="306"/>
        <v>0.2037647058823529</v>
      </c>
      <c r="PI34" s="286">
        <f t="shared" si="306"/>
        <v>0.12239215686274492</v>
      </c>
      <c r="PJ34" s="248">
        <f t="shared" si="306"/>
        <v>0.12239215686274493</v>
      </c>
      <c r="PK34" s="286">
        <f t="shared" si="306"/>
        <v>0.1045964432284541</v>
      </c>
      <c r="PL34" s="248">
        <f t="shared" si="306"/>
        <v>0.1045964432284541</v>
      </c>
      <c r="PM34" s="286">
        <f t="shared" si="306"/>
        <v>0.1042647058823529</v>
      </c>
      <c r="PN34" s="248">
        <f t="shared" si="306"/>
        <v>0.1042647058823529</v>
      </c>
      <c r="PO34" s="286">
        <f t="shared" si="306"/>
        <v>8.0014705882352904E-2</v>
      </c>
      <c r="PP34" s="248">
        <f t="shared" si="306"/>
        <v>8.0014705882352904E-2</v>
      </c>
      <c r="PR34" s="285"/>
      <c r="PS34" s="192"/>
      <c r="PT34" s="285"/>
      <c r="PU34" s="192"/>
      <c r="PV34" s="285"/>
      <c r="PW34" s="192"/>
      <c r="PX34" s="285"/>
      <c r="PY34" s="192"/>
      <c r="PZ34" s="285"/>
      <c r="QA34" s="192"/>
      <c r="QB34" s="285"/>
      <c r="QC34" s="192"/>
      <c r="QF34" s="285"/>
      <c r="QG34" s="192"/>
      <c r="QH34" s="285"/>
      <c r="QI34" s="192"/>
      <c r="QJ34" s="285"/>
      <c r="QK34" s="192"/>
      <c r="QL34" s="285"/>
      <c r="QM34" s="192"/>
      <c r="QN34" s="285"/>
      <c r="QO34" s="192"/>
      <c r="QP34" s="285"/>
      <c r="QQ34" s="192"/>
    </row>
    <row r="35" spans="1:459" x14ac:dyDescent="0.45">
      <c r="A35" s="871"/>
      <c r="B35" s="180" t="s">
        <v>342</v>
      </c>
      <c r="C35" s="181"/>
      <c r="D35" s="182"/>
      <c r="E35" s="177"/>
      <c r="F35" s="285"/>
      <c r="G35" s="192"/>
      <c r="H35" s="285"/>
      <c r="I35" s="192"/>
      <c r="J35" s="285"/>
      <c r="K35" s="192"/>
      <c r="L35" s="285"/>
      <c r="M35" s="192"/>
      <c r="N35" s="285"/>
      <c r="O35" s="192"/>
      <c r="P35" s="285"/>
      <c r="Q35" s="192"/>
      <c r="R35" s="285"/>
      <c r="S35" s="192"/>
      <c r="T35" s="285"/>
      <c r="U35" s="192"/>
      <c r="V35" s="285"/>
      <c r="W35" s="192"/>
      <c r="X35" s="285"/>
      <c r="Y35" s="192"/>
      <c r="Z35" s="285"/>
      <c r="AA35" s="192"/>
      <c r="AB35" s="285"/>
      <c r="AC35" s="192"/>
      <c r="AD35" s="285"/>
      <c r="AE35" s="192"/>
      <c r="AF35" s="285"/>
      <c r="AG35" s="192"/>
      <c r="AH35" s="285"/>
      <c r="AI35" s="192"/>
      <c r="AJ35" s="285"/>
      <c r="AK35" s="192"/>
      <c r="AL35" s="285"/>
      <c r="AM35" s="192"/>
      <c r="AN35" s="285"/>
      <c r="AO35" s="192"/>
      <c r="AP35" s="285"/>
      <c r="AQ35" s="192"/>
      <c r="AR35" s="285"/>
      <c r="AS35" s="192"/>
      <c r="AT35" s="285"/>
      <c r="AU35" s="192"/>
      <c r="AV35" s="285"/>
      <c r="AW35" s="192"/>
      <c r="AX35" s="285"/>
      <c r="AY35" s="192"/>
      <c r="AZ35" s="285"/>
      <c r="BA35" s="192"/>
      <c r="BB35" s="285"/>
      <c r="BC35" s="192"/>
      <c r="BD35" s="285"/>
      <c r="BE35" s="192"/>
      <c r="BF35" s="285"/>
      <c r="BG35" s="192"/>
      <c r="BH35" s="285"/>
      <c r="BI35" s="192"/>
      <c r="BJ35" s="285"/>
      <c r="BK35" s="192"/>
      <c r="BL35" s="289">
        <f t="shared" ref="BL35" si="307">BL37-(BL30*0.5)</f>
        <v>2.1101531862745091</v>
      </c>
      <c r="BM35" s="188">
        <f t="shared" ref="BM35" si="308">BL35/BL10</f>
        <v>1.5986008986928097</v>
      </c>
      <c r="BN35" s="289">
        <f t="shared" ref="BN35" si="309">BN37-(BN30*0.5)</f>
        <v>2.1101531862745091</v>
      </c>
      <c r="BO35" s="188">
        <f t="shared" ref="BO35" si="310">BN35/BN10</f>
        <v>1.5986008986928097</v>
      </c>
      <c r="BP35" s="289">
        <f t="shared" ref="BP35" si="311">BP37-(BP30*0.5)</f>
        <v>2.1101531862745091</v>
      </c>
      <c r="BQ35" s="188">
        <f t="shared" ref="BQ35" si="312">BP35/BP10</f>
        <v>1.5986008986928097</v>
      </c>
      <c r="BR35" s="289">
        <f t="shared" ref="BR35" si="313">BR37-(BR30*0.5)</f>
        <v>2.1101531862745091</v>
      </c>
      <c r="BS35" s="188">
        <f t="shared" ref="BS35" si="314">BR35/BR10</f>
        <v>1.5986008986928097</v>
      </c>
      <c r="BT35" s="289">
        <f t="shared" ref="BT35" si="315">BT37-(BT30*0.5)</f>
        <v>2.1101531862745091</v>
      </c>
      <c r="BU35" s="188">
        <f t="shared" ref="BU35" si="316">BT35/BT10</f>
        <v>1.5986008986928097</v>
      </c>
      <c r="BV35" s="289">
        <f t="shared" ref="BV35" si="317">BV37-(BV30*0.5)</f>
        <v>2.1101531862745091</v>
      </c>
      <c r="BW35" s="188">
        <f t="shared" ref="BW35" si="318">BV35/BV10</f>
        <v>1.5986008986928097</v>
      </c>
      <c r="BX35" s="289">
        <f t="shared" ref="BX35" si="319">BX37-(BX30*0.5)</f>
        <v>2.1101531862745091</v>
      </c>
      <c r="BY35" s="188">
        <f t="shared" ref="BY35" si="320">BX35/BX10</f>
        <v>1.5986008986928097</v>
      </c>
      <c r="BZ35" s="289">
        <f t="shared" ref="BZ35" si="321">BZ37-(BZ30*0.5)</f>
        <v>2.1101531862745091</v>
      </c>
      <c r="CA35" s="188">
        <f t="shared" ref="CA35" si="322">BZ35/BZ10</f>
        <v>1.5986008986928097</v>
      </c>
      <c r="CB35" s="289">
        <f t="shared" ref="CB35" si="323">CB37-(CB30*0.5)</f>
        <v>2.1101531862745091</v>
      </c>
      <c r="CC35" s="188">
        <f t="shared" ref="CC35" si="324">CB35/CB10</f>
        <v>1.5986008986928097</v>
      </c>
      <c r="CD35" s="289">
        <f t="shared" ref="CD35" si="325">CD37-(CD30*0.5)</f>
        <v>2.1101531862745091</v>
      </c>
      <c r="CE35" s="188">
        <f t="shared" ref="CE35" si="326">CD35/CD10</f>
        <v>1.5986008986928097</v>
      </c>
      <c r="CF35" s="289">
        <f t="shared" ref="CF35" si="327">CF37-(CF30*0.5)</f>
        <v>2.1101531862745091</v>
      </c>
      <c r="CG35" s="188">
        <f t="shared" ref="CG35" si="328">CF35/CF10</f>
        <v>1.5986008986928097</v>
      </c>
      <c r="CH35" s="289">
        <f t="shared" ref="CH35" si="329">CH37-(CH30*0.5)</f>
        <v>2.1101531862745091</v>
      </c>
      <c r="CI35" s="188">
        <f t="shared" ref="CI35" si="330">CH35/CH10</f>
        <v>1.5986008986928097</v>
      </c>
      <c r="CJ35" s="289">
        <f t="shared" ref="CJ35" si="331">CJ37-(CJ30*0.5)</f>
        <v>2.1101531862745091</v>
      </c>
      <c r="CK35" s="188">
        <f t="shared" ref="CK35" si="332">CJ35/CJ10</f>
        <v>1.5986008986928097</v>
      </c>
      <c r="CL35" s="289">
        <f t="shared" ref="CL35" si="333">CL37-(CL30*0.5)</f>
        <v>2.1101531862745091</v>
      </c>
      <c r="CM35" s="188">
        <f t="shared" ref="CM35" si="334">CL35/CL10</f>
        <v>1.5986008986928097</v>
      </c>
      <c r="CN35" s="290">
        <f>CN37-(CN30-CN77)</f>
        <v>2.2309374999999996</v>
      </c>
      <c r="CO35" s="291">
        <f t="shared" ref="CO35" si="335">CN35/CN10</f>
        <v>1.6901041666666663</v>
      </c>
      <c r="CP35" s="289">
        <f>CP37-(CP30*0.5)</f>
        <v>1.4917374999999993</v>
      </c>
      <c r="CQ35" s="188">
        <f>CP35/CP10</f>
        <v>1.130104166666666</v>
      </c>
      <c r="CR35" s="289">
        <f>CR37-(CR30*0.5)</f>
        <v>1.8459374999999998</v>
      </c>
      <c r="CS35" s="188">
        <f>CR35/CR10</f>
        <v>1.3984374999999998</v>
      </c>
      <c r="CT35" s="136"/>
      <c r="CU35" s="285"/>
      <c r="CV35" s="192"/>
      <c r="CW35" s="285"/>
      <c r="CX35" s="192"/>
      <c r="CY35" s="285"/>
      <c r="CZ35" s="192"/>
      <c r="DA35" s="285"/>
      <c r="DB35" s="192"/>
      <c r="DC35" s="285"/>
      <c r="DD35" s="192"/>
      <c r="DE35" s="285"/>
      <c r="DF35" s="192"/>
      <c r="DG35" s="285"/>
      <c r="DH35" s="192"/>
      <c r="DI35" s="285"/>
      <c r="DJ35" s="192"/>
      <c r="DK35" s="285"/>
      <c r="DL35" s="192"/>
      <c r="DM35" s="285"/>
      <c r="DN35" s="192"/>
      <c r="DO35" s="285"/>
      <c r="DP35" s="192"/>
      <c r="DQ35" s="285"/>
      <c r="DR35" s="192"/>
      <c r="DS35" s="285"/>
      <c r="DT35" s="192"/>
      <c r="DU35" s="285"/>
      <c r="DV35" s="192"/>
      <c r="DW35" s="285"/>
      <c r="DX35" s="192"/>
      <c r="DY35" s="285"/>
      <c r="DZ35" s="192"/>
      <c r="EA35" s="285"/>
      <c r="EB35" s="192"/>
      <c r="EC35" s="285"/>
      <c r="ED35" s="192"/>
      <c r="EE35" s="285"/>
      <c r="EF35" s="192"/>
      <c r="EG35" s="285"/>
      <c r="EH35" s="192"/>
      <c r="EI35" s="285"/>
      <c r="EJ35" s="192"/>
      <c r="EK35" s="289">
        <f t="shared" ref="EK35" si="336">EK37-(EK30*0.5)</f>
        <v>2.7078525345622086</v>
      </c>
      <c r="EL35" s="188">
        <f t="shared" ref="EL35" si="337">EK35/EK10</f>
        <v>2.0514034352744006</v>
      </c>
      <c r="EM35" s="289">
        <f t="shared" ref="EM35" si="338">EM37-(EM30*0.5)</f>
        <v>2.7078525345622086</v>
      </c>
      <c r="EN35" s="188">
        <f t="shared" ref="EN35" si="339">EM35/EM10</f>
        <v>2.0514034352744006</v>
      </c>
      <c r="EO35" s="289">
        <f t="shared" ref="EO35" si="340">EO37-(EO30*0.5)</f>
        <v>2.7078525345622086</v>
      </c>
      <c r="EP35" s="188">
        <f t="shared" ref="EP35" si="341">EO35/EO10</f>
        <v>2.0514034352744006</v>
      </c>
      <c r="EQ35" s="289">
        <f t="shared" ref="EQ35" si="342">EQ37-(EQ30*0.5)</f>
        <v>2.7078525345622086</v>
      </c>
      <c r="ER35" s="188">
        <f t="shared" ref="ER35" si="343">EQ35/EQ10</f>
        <v>2.0514034352744006</v>
      </c>
      <c r="ES35" s="289">
        <f t="shared" ref="ES35" si="344">ES37-(ES30*0.5)</f>
        <v>2.7078525345622086</v>
      </c>
      <c r="ET35" s="188">
        <f t="shared" ref="ET35" si="345">ES35/ES10</f>
        <v>2.0514034352744006</v>
      </c>
      <c r="EU35" s="289">
        <f t="shared" ref="EU35" si="346">EU37-(EU30*0.5)</f>
        <v>2.7078525345622086</v>
      </c>
      <c r="EV35" s="188">
        <f t="shared" ref="EV35" si="347">EU35/EU10</f>
        <v>2.0514034352744006</v>
      </c>
      <c r="EW35" s="289">
        <f t="shared" ref="EW35" si="348">EW37-(EW30*0.5)</f>
        <v>2.7078525345622086</v>
      </c>
      <c r="EX35" s="188">
        <f t="shared" ref="EX35" si="349">EW35/EW10</f>
        <v>2.0514034352744006</v>
      </c>
      <c r="EY35" s="289">
        <f t="shared" ref="EY35" si="350">EY37-(EY30*0.5)</f>
        <v>2.7078525345622086</v>
      </c>
      <c r="EZ35" s="188">
        <f t="shared" ref="EZ35" si="351">EY35/EY10</f>
        <v>2.0514034352744006</v>
      </c>
      <c r="FA35" s="289">
        <f t="shared" ref="FA35" si="352">FA37-(FA30*0.5)</f>
        <v>2.7078525345622086</v>
      </c>
      <c r="FB35" s="188">
        <f t="shared" ref="FB35" si="353">FA35/FA10</f>
        <v>2.0514034352744006</v>
      </c>
      <c r="FC35" s="289">
        <f t="shared" ref="FC35" si="354">FC37-(FC30*0.5)</f>
        <v>2.7078525345622086</v>
      </c>
      <c r="FD35" s="188">
        <f t="shared" ref="FD35" si="355">FC35/FC10</f>
        <v>2.0514034352744006</v>
      </c>
      <c r="FE35" s="289">
        <f t="shared" ref="FE35" si="356">FE37-(FE30*0.5)</f>
        <v>2.7078525345622086</v>
      </c>
      <c r="FF35" s="188">
        <f t="shared" ref="FF35" si="357">FE35/FE10</f>
        <v>2.0514034352744006</v>
      </c>
      <c r="FG35" s="289">
        <f t="shared" ref="FG35" si="358">FG37-(FG30*0.5)</f>
        <v>2.7078525345622086</v>
      </c>
      <c r="FH35" s="188">
        <f t="shared" ref="FH35" si="359">FG35/FG10</f>
        <v>2.0514034352744006</v>
      </c>
      <c r="FI35" s="289">
        <f t="shared" ref="FI35" si="360">FI37-(FI30*0.5)</f>
        <v>2.7078525345622086</v>
      </c>
      <c r="FJ35" s="188">
        <f t="shared" ref="FJ35" si="361">FI35/FI10</f>
        <v>2.0514034352744006</v>
      </c>
      <c r="FK35" s="289">
        <f t="shared" ref="FK35" si="362">FK37-(FK30*0.5)</f>
        <v>2.7078525345622086</v>
      </c>
      <c r="FL35" s="188">
        <f t="shared" ref="FL35" si="363">FK35/FK10</f>
        <v>2.0514034352744006</v>
      </c>
      <c r="FM35" s="289">
        <f t="shared" ref="FM35" si="364">FM37-(FM30*0.5)</f>
        <v>2.1873397140493882</v>
      </c>
      <c r="FN35" s="188">
        <f t="shared" ref="FN35" si="365">FM35/FM10</f>
        <v>1.6570755409465061</v>
      </c>
      <c r="FO35" s="289">
        <f t="shared" ref="FO35" si="366">FO37-(FO30*0.5)</f>
        <v>2.1873397140493882</v>
      </c>
      <c r="FP35" s="188">
        <f t="shared" ref="FP35" si="367">FO35/FO10</f>
        <v>1.6570755409465061</v>
      </c>
      <c r="FQ35" s="177"/>
      <c r="FR35" s="285"/>
      <c r="FS35" s="192"/>
      <c r="FT35" s="285"/>
      <c r="FU35" s="192"/>
      <c r="FV35" s="285"/>
      <c r="FW35" s="192"/>
      <c r="FX35" s="285"/>
      <c r="FY35" s="192"/>
      <c r="FZ35" s="285"/>
      <c r="GA35" s="192"/>
      <c r="GB35" s="285"/>
      <c r="GC35" s="192"/>
      <c r="GD35" s="285"/>
      <c r="GE35" s="192"/>
      <c r="GF35" s="285"/>
      <c r="GG35" s="192"/>
      <c r="GH35" s="285"/>
      <c r="GI35" s="192"/>
      <c r="GJ35" s="285"/>
      <c r="GK35" s="192"/>
      <c r="GL35" s="285"/>
      <c r="GM35" s="192"/>
      <c r="GN35" s="285"/>
      <c r="GO35" s="192"/>
      <c r="GP35" s="285"/>
      <c r="GQ35" s="192"/>
      <c r="GR35" s="285"/>
      <c r="GS35" s="192"/>
      <c r="GT35" s="285"/>
      <c r="GU35" s="192"/>
      <c r="GV35" s="285"/>
      <c r="GW35" s="192"/>
      <c r="GX35" s="285"/>
      <c r="GY35" s="192"/>
      <c r="GZ35" s="285"/>
      <c r="HA35" s="192"/>
      <c r="HB35" s="285"/>
      <c r="HC35" s="192"/>
      <c r="HD35" s="285"/>
      <c r="HE35" s="192"/>
      <c r="HF35" s="285"/>
      <c r="HG35" s="192"/>
      <c r="HH35" s="285"/>
      <c r="HI35" s="192"/>
      <c r="HJ35" s="285"/>
      <c r="HK35" s="192"/>
      <c r="HL35" s="285"/>
      <c r="HM35" s="192"/>
      <c r="HN35" s="285"/>
      <c r="HO35" s="192"/>
      <c r="HP35" s="285"/>
      <c r="HQ35" s="192"/>
      <c r="HR35" s="289">
        <f t="shared" ref="HR35:IV35" si="368">HR37-(HR30*0.5)</f>
        <v>2.3869375000000019</v>
      </c>
      <c r="HS35" s="188">
        <f t="shared" ref="HS35:IW35" si="369">HR35/HR10</f>
        <v>1.8082859848484862</v>
      </c>
      <c r="HT35" s="289">
        <f t="shared" si="368"/>
        <v>2.3869375000000019</v>
      </c>
      <c r="HU35" s="188">
        <f t="shared" si="369"/>
        <v>1.8082859848484862</v>
      </c>
      <c r="HV35" s="289">
        <f t="shared" si="368"/>
        <v>2.3869375000000019</v>
      </c>
      <c r="HW35" s="188">
        <f t="shared" si="369"/>
        <v>1.8082859848484862</v>
      </c>
      <c r="HX35" s="289">
        <f t="shared" si="368"/>
        <v>2.3869375000000019</v>
      </c>
      <c r="HY35" s="188">
        <f t="shared" si="369"/>
        <v>1.8082859848484862</v>
      </c>
      <c r="HZ35" s="289">
        <f t="shared" si="368"/>
        <v>2.3869375000000019</v>
      </c>
      <c r="IA35" s="188">
        <f t="shared" si="369"/>
        <v>1.8082859848484862</v>
      </c>
      <c r="IB35" s="289">
        <f t="shared" si="368"/>
        <v>2.3869375000000019</v>
      </c>
      <c r="IC35" s="188">
        <f t="shared" si="369"/>
        <v>1.8082859848484862</v>
      </c>
      <c r="ID35" s="289">
        <f t="shared" si="368"/>
        <v>2.3869375000000019</v>
      </c>
      <c r="IE35" s="188">
        <f t="shared" si="369"/>
        <v>1.8082859848484862</v>
      </c>
      <c r="IF35" s="289">
        <f t="shared" si="368"/>
        <v>2.3869375000000019</v>
      </c>
      <c r="IG35" s="188">
        <f t="shared" si="369"/>
        <v>1.8082859848484862</v>
      </c>
      <c r="IH35" s="289">
        <f t="shared" si="368"/>
        <v>2.3869375000000019</v>
      </c>
      <c r="II35" s="188">
        <f t="shared" si="369"/>
        <v>1.8082859848484862</v>
      </c>
      <c r="IJ35" s="289">
        <f t="shared" si="368"/>
        <v>2.3869375000000019</v>
      </c>
      <c r="IK35" s="188">
        <f t="shared" si="369"/>
        <v>1.8082859848484862</v>
      </c>
      <c r="IL35" s="289">
        <f t="shared" si="368"/>
        <v>2.3869375000000019</v>
      </c>
      <c r="IM35" s="188">
        <f t="shared" si="369"/>
        <v>1.8082859848484862</v>
      </c>
      <c r="IN35" s="289">
        <f t="shared" si="368"/>
        <v>2.3869375000000019</v>
      </c>
      <c r="IO35" s="188">
        <f t="shared" si="369"/>
        <v>1.8082859848484862</v>
      </c>
      <c r="IP35" s="289">
        <f t="shared" si="368"/>
        <v>2.3869375000000019</v>
      </c>
      <c r="IQ35" s="188">
        <f t="shared" si="369"/>
        <v>1.8082859848484862</v>
      </c>
      <c r="IR35" s="289">
        <f t="shared" si="368"/>
        <v>2.3869375000000019</v>
      </c>
      <c r="IS35" s="188">
        <f t="shared" si="369"/>
        <v>1.8082859848484862</v>
      </c>
      <c r="IT35" s="289">
        <f t="shared" si="368"/>
        <v>2.3869375000000019</v>
      </c>
      <c r="IU35" s="188">
        <f t="shared" si="369"/>
        <v>1.8082859848484862</v>
      </c>
      <c r="IV35" s="289">
        <f t="shared" si="368"/>
        <v>1.7778465909090926</v>
      </c>
      <c r="IW35" s="188">
        <f t="shared" si="369"/>
        <v>1.3468534779614336</v>
      </c>
      <c r="IX35" s="289">
        <f>IX37</f>
        <v>2.3869375000000019</v>
      </c>
      <c r="IY35" s="188">
        <f t="shared" ref="IY35" si="370">IX35/IX10</f>
        <v>1.8082859848484862</v>
      </c>
      <c r="IZ35" s="177"/>
      <c r="JA35" s="285"/>
      <c r="JB35" s="192"/>
      <c r="JC35" s="285"/>
      <c r="JD35" s="192"/>
      <c r="JE35" s="177"/>
      <c r="JF35" s="285"/>
      <c r="JG35" s="192"/>
      <c r="JH35" s="285"/>
      <c r="JI35" s="192"/>
      <c r="JJ35" s="285"/>
      <c r="JK35" s="192"/>
      <c r="JL35" s="285"/>
      <c r="JM35" s="192"/>
      <c r="JN35" s="285"/>
      <c r="JO35" s="192"/>
      <c r="JP35" s="285"/>
      <c r="JQ35" s="192"/>
      <c r="JR35" s="285"/>
      <c r="JS35" s="192"/>
      <c r="JT35" s="285"/>
      <c r="JU35" s="192"/>
      <c r="JV35" s="285"/>
      <c r="JW35" s="192"/>
      <c r="JX35" s="285"/>
      <c r="JY35" s="192"/>
      <c r="JZ35" s="285"/>
      <c r="KA35" s="192"/>
      <c r="KB35" s="285"/>
      <c r="KC35" s="192"/>
      <c r="KD35" s="285"/>
      <c r="KE35" s="192"/>
      <c r="KF35" s="285"/>
      <c r="KG35" s="192"/>
      <c r="KH35" s="285"/>
      <c r="KI35" s="192"/>
      <c r="KJ35" s="285"/>
      <c r="KK35" s="192"/>
      <c r="KL35" s="285"/>
      <c r="KM35" s="192"/>
      <c r="KN35" s="285"/>
      <c r="KO35" s="192"/>
      <c r="KP35" s="285"/>
      <c r="KQ35" s="192"/>
      <c r="KR35" s="285"/>
      <c r="KS35" s="192"/>
      <c r="KT35" s="285"/>
      <c r="KU35" s="192"/>
      <c r="KV35" s="285"/>
      <c r="KW35" s="192"/>
      <c r="KX35" s="285"/>
      <c r="KY35" s="192"/>
      <c r="KZ35" s="285"/>
      <c r="LA35" s="192"/>
      <c r="LB35" s="289">
        <f t="shared" ref="LB35" si="371">LB37-(LB30-LB77)</f>
        <v>1.8674285714285723</v>
      </c>
      <c r="LC35" s="188">
        <f t="shared" ref="LC35" si="372">LB35/LB10</f>
        <v>1.4147186147186153</v>
      </c>
      <c r="LD35" s="289">
        <f t="shared" ref="LD35" si="373">LD37-(LD30-LD77)</f>
        <v>1.8674285714285723</v>
      </c>
      <c r="LE35" s="188">
        <f t="shared" ref="LE35" si="374">LD35/LD10</f>
        <v>1.4147186147186153</v>
      </c>
      <c r="LF35" s="289">
        <f t="shared" ref="LF35" si="375">LF37-(LF30-LF77)</f>
        <v>1.8674285714285723</v>
      </c>
      <c r="LG35" s="188">
        <f t="shared" ref="LG35" si="376">LF35/LF10</f>
        <v>1.4147186147186153</v>
      </c>
      <c r="LH35" s="289">
        <f t="shared" ref="LH35" si="377">LH37-(LH30-LH77)</f>
        <v>1.8674285714285723</v>
      </c>
      <c r="LI35" s="188">
        <f t="shared" ref="LI35" si="378">LH35/LH10</f>
        <v>1.4147186147186153</v>
      </c>
      <c r="LJ35" s="289">
        <f t="shared" ref="LJ35" si="379">LJ37-(LJ30-LJ77)</f>
        <v>1.8674285714285723</v>
      </c>
      <c r="LK35" s="188">
        <f t="shared" ref="LK35" si="380">LJ35/LJ10</f>
        <v>1.4147186147186153</v>
      </c>
      <c r="LL35" s="289">
        <f t="shared" ref="LL35" si="381">LL37-(LL30-LL77)</f>
        <v>1.8674285714285723</v>
      </c>
      <c r="LM35" s="188">
        <f t="shared" ref="LM35" si="382">LL35/LL10</f>
        <v>1.4147186147186153</v>
      </c>
      <c r="LN35" s="289">
        <f t="shared" ref="LN35" si="383">LN37-(LN30-LN77)</f>
        <v>1.8674285714285723</v>
      </c>
      <c r="LO35" s="188">
        <f t="shared" ref="LO35" si="384">LN35/LN10</f>
        <v>1.4147186147186153</v>
      </c>
      <c r="LP35" s="289">
        <f t="shared" ref="LP35" si="385">LP37-(LP30-LP77)</f>
        <v>1.8674285714285723</v>
      </c>
      <c r="LQ35" s="188">
        <f t="shared" ref="LQ35" si="386">LP35/LP10</f>
        <v>1.4147186147186153</v>
      </c>
      <c r="LR35" s="289">
        <f t="shared" ref="LR35" si="387">LR37-(LR30-LR77)</f>
        <v>1.8674285714285723</v>
      </c>
      <c r="LS35" s="188">
        <f t="shared" ref="LS35" si="388">LR35/LR10</f>
        <v>1.4147186147186153</v>
      </c>
      <c r="LT35" s="289">
        <f t="shared" ref="LT35" si="389">LT37-(LT30-LT77)</f>
        <v>1.8674285714285723</v>
      </c>
      <c r="LU35" s="188">
        <f t="shared" ref="LU35" si="390">LT35/LT10</f>
        <v>1.4147186147186153</v>
      </c>
      <c r="LV35" s="289">
        <f t="shared" ref="LV35" si="391">LV37-(LV30-LV77)</f>
        <v>1.8674285714285723</v>
      </c>
      <c r="LW35" s="188">
        <f t="shared" ref="LW35" si="392">LV35/LV10</f>
        <v>1.4147186147186153</v>
      </c>
      <c r="LX35" s="289">
        <f t="shared" ref="LX35" si="393">LX37-(LX30-LX77)</f>
        <v>1.8674285714285723</v>
      </c>
      <c r="LY35" s="188">
        <f t="shared" ref="LY35" si="394">LX35/LX10</f>
        <v>1.4147186147186153</v>
      </c>
      <c r="LZ35" s="289">
        <f t="shared" ref="LZ35" si="395">LZ37-(LZ30-LZ77)</f>
        <v>1.8674285714285723</v>
      </c>
      <c r="MA35" s="188">
        <f t="shared" ref="MA35" si="396">LZ35/LZ10</f>
        <v>1.4147186147186153</v>
      </c>
      <c r="MB35" s="289">
        <f t="shared" ref="MB35" si="397">MB37-(MB30-MB77)</f>
        <v>1.8674285714285723</v>
      </c>
      <c r="MC35" s="188">
        <f t="shared" ref="MC35" si="398">MB35/MB10</f>
        <v>1.4147186147186153</v>
      </c>
      <c r="MD35" s="289">
        <f>MD37-(MD30-MD77)</f>
        <v>1.8674285714285723</v>
      </c>
      <c r="ME35" s="188">
        <f t="shared" ref="ME35" si="399">MD35/MD10</f>
        <v>1.4147186147186153</v>
      </c>
      <c r="MF35" s="289">
        <f>MF37-(MF30-MF77)</f>
        <v>0.88165934065934137</v>
      </c>
      <c r="MG35" s="188">
        <f t="shared" ref="MG35" si="400">MF35/MF10</f>
        <v>0.66792374292374346</v>
      </c>
      <c r="MH35" s="177"/>
      <c r="MI35" s="285"/>
      <c r="MJ35" s="192"/>
      <c r="MK35" s="285"/>
      <c r="ML35" s="192"/>
      <c r="MM35" s="285"/>
      <c r="MN35" s="192"/>
      <c r="MO35" s="285"/>
      <c r="MP35" s="192"/>
      <c r="MQ35" s="285"/>
      <c r="MR35" s="192"/>
      <c r="MS35" s="285"/>
      <c r="MT35" s="192"/>
      <c r="MU35" s="285"/>
      <c r="MV35" s="192"/>
      <c r="MW35" s="285"/>
      <c r="MX35" s="192"/>
      <c r="MY35" s="285"/>
      <c r="MZ35" s="192"/>
      <c r="NA35" s="285"/>
      <c r="NB35" s="192"/>
      <c r="NC35" s="285"/>
      <c r="ND35" s="192"/>
      <c r="NE35" s="285"/>
      <c r="NF35" s="192"/>
      <c r="NG35" s="285"/>
      <c r="NH35" s="192"/>
      <c r="NI35" s="285"/>
      <c r="NJ35" s="192"/>
      <c r="NK35" s="285"/>
      <c r="NL35" s="192"/>
      <c r="NM35" s="285"/>
      <c r="NN35" s="192"/>
      <c r="NO35" s="285"/>
      <c r="NP35" s="192"/>
      <c r="NQ35" s="285"/>
      <c r="NR35" s="192"/>
      <c r="NS35" s="285"/>
      <c r="NT35" s="192"/>
      <c r="NU35" s="285"/>
      <c r="NV35" s="192"/>
      <c r="NW35" s="285"/>
      <c r="NX35" s="192"/>
      <c r="NY35" s="285"/>
      <c r="NZ35" s="192"/>
      <c r="OA35" s="285"/>
      <c r="OB35" s="192"/>
      <c r="OC35" s="285"/>
      <c r="OD35" s="192"/>
      <c r="OE35" s="289">
        <f t="shared" ref="OE35" si="401">OE37-(OE30-OE77)</f>
        <v>2.1395294117647055</v>
      </c>
      <c r="OF35" s="188">
        <f t="shared" ref="OF35:PN35" si="402">OE35/OE10</f>
        <v>1.6208556149732616</v>
      </c>
      <c r="OG35" s="289">
        <f t="shared" ref="OG35" si="403">OG37-(OG30-OG77)</f>
        <v>2.1395294117647055</v>
      </c>
      <c r="OH35" s="188">
        <f t="shared" si="402"/>
        <v>1.6208556149732616</v>
      </c>
      <c r="OI35" s="289">
        <f t="shared" ref="OI35" si="404">OI37-(OI30-OI77)</f>
        <v>2.1395294117647055</v>
      </c>
      <c r="OJ35" s="188">
        <f t="shared" si="402"/>
        <v>1.6208556149732616</v>
      </c>
      <c r="OK35" s="289">
        <f t="shared" ref="OK35" si="405">OK37-(OK30-OK77)</f>
        <v>2.1395294117647055</v>
      </c>
      <c r="OL35" s="188">
        <f t="shared" si="402"/>
        <v>1.6208556149732616</v>
      </c>
      <c r="OM35" s="289">
        <f t="shared" ref="OM35" si="406">OM37-(OM30-OM77)</f>
        <v>2.1395294117647055</v>
      </c>
      <c r="ON35" s="188">
        <f t="shared" si="402"/>
        <v>1.6208556149732616</v>
      </c>
      <c r="OO35" s="289">
        <f t="shared" ref="OO35" si="407">OO37-(OO30-OO77)</f>
        <v>2.1395294117647055</v>
      </c>
      <c r="OP35" s="188">
        <f t="shared" si="402"/>
        <v>1.6208556149732616</v>
      </c>
      <c r="OQ35" s="289">
        <f t="shared" ref="OQ35" si="408">OQ37-(OQ30-OQ77)</f>
        <v>2.1395294117647055</v>
      </c>
      <c r="OR35" s="188">
        <f t="shared" si="402"/>
        <v>1.6208556149732616</v>
      </c>
      <c r="OS35" s="289">
        <f t="shared" ref="OS35" si="409">OS37-(OS30-OS77)</f>
        <v>2.1395294117647055</v>
      </c>
      <c r="OT35" s="188">
        <f t="shared" si="402"/>
        <v>1.6208556149732616</v>
      </c>
      <c r="OU35" s="289">
        <f t="shared" ref="OU35" si="410">OU37-(OU30-OU77)</f>
        <v>2.1395294117647055</v>
      </c>
      <c r="OV35" s="188">
        <f t="shared" si="402"/>
        <v>1.6208556149732616</v>
      </c>
      <c r="OW35" s="289">
        <f t="shared" ref="OW35" si="411">OW37-(OW30-OW77)</f>
        <v>2.1395294117647055</v>
      </c>
      <c r="OX35" s="188">
        <f t="shared" si="402"/>
        <v>1.6208556149732616</v>
      </c>
      <c r="OY35" s="289">
        <f t="shared" ref="OY35" si="412">OY37-(OY30-OY77)</f>
        <v>2.1395294117647055</v>
      </c>
      <c r="OZ35" s="188">
        <f t="shared" si="402"/>
        <v>1.6208556149732616</v>
      </c>
      <c r="PA35" s="289">
        <f t="shared" ref="PA35" si="413">PA37-(PA30-PA77)</f>
        <v>2.1395294117647055</v>
      </c>
      <c r="PB35" s="188">
        <f t="shared" si="402"/>
        <v>1.6208556149732616</v>
      </c>
      <c r="PC35" s="289">
        <f t="shared" ref="PC35" si="414">PC37-(PC30-PC77)</f>
        <v>2.1395294117647055</v>
      </c>
      <c r="PD35" s="188">
        <f t="shared" si="402"/>
        <v>1.6208556149732616</v>
      </c>
      <c r="PE35" s="289">
        <f t="shared" ref="PE35" si="415">PE37-(PE30-PE77)</f>
        <v>2.1395294117647055</v>
      </c>
      <c r="PF35" s="188">
        <f t="shared" si="402"/>
        <v>1.6208556149732616</v>
      </c>
      <c r="PG35" s="289">
        <f t="shared" ref="PG35" si="416">PG37-(PG30-PG77)</f>
        <v>2.1395294117647055</v>
      </c>
      <c r="PH35" s="188">
        <f t="shared" ref="PH35" si="417">PG35/PG10</f>
        <v>1.6208556149732616</v>
      </c>
      <c r="PI35" s="289">
        <f t="shared" ref="PI35" si="418">PI37-(PI30-PI77)</f>
        <v>1.1015294117647043</v>
      </c>
      <c r="PJ35" s="188">
        <f t="shared" si="402"/>
        <v>0.83449197860962443</v>
      </c>
      <c r="PK35" s="289">
        <f t="shared" ref="PK35" si="419">PK37-(PK30-PK77)</f>
        <v>0.89952941176470524</v>
      </c>
      <c r="PL35" s="188">
        <f t="shared" si="402"/>
        <v>0.68146167557932213</v>
      </c>
      <c r="PM35" s="289">
        <f t="shared" ref="PM35:PO35" si="420">PM37-(PM30-PM77)</f>
        <v>1.0947794117647054</v>
      </c>
      <c r="PN35" s="188">
        <f t="shared" si="402"/>
        <v>0.82937834224598894</v>
      </c>
      <c r="PO35" s="289">
        <f t="shared" si="420"/>
        <v>0.84015441176470551</v>
      </c>
      <c r="PP35" s="188">
        <f t="shared" ref="PP35" si="421">PO35/PO10</f>
        <v>0.63648061497326169</v>
      </c>
      <c r="PR35" s="285"/>
      <c r="PS35" s="192"/>
      <c r="PT35" s="285"/>
      <c r="PU35" s="192"/>
      <c r="PV35" s="285"/>
      <c r="PW35" s="192"/>
      <c r="PX35" s="285"/>
      <c r="PY35" s="192"/>
      <c r="PZ35" s="285"/>
      <c r="QA35" s="192"/>
      <c r="QB35" s="285"/>
      <c r="QC35" s="192"/>
      <c r="QF35" s="285"/>
      <c r="QG35" s="192"/>
      <c r="QH35" s="285"/>
      <c r="QI35" s="192"/>
      <c r="QJ35" s="285"/>
      <c r="QK35" s="192"/>
      <c r="QL35" s="285"/>
      <c r="QM35" s="192"/>
      <c r="QN35" s="285"/>
      <c r="QO35" s="192"/>
      <c r="QP35" s="285"/>
      <c r="QQ35" s="192"/>
    </row>
    <row r="36" spans="1:459" x14ac:dyDescent="0.45">
      <c r="A36" s="871"/>
      <c r="B36" s="284" t="s">
        <v>343</v>
      </c>
      <c r="C36" s="245"/>
      <c r="D36" s="246"/>
      <c r="E36" s="231"/>
      <c r="F36" s="286">
        <f>(F31-F38)/F31</f>
        <v>0.19474594465648856</v>
      </c>
      <c r="G36" s="248">
        <f>(G31-G38)/G31</f>
        <v>0.29674479166666656</v>
      </c>
      <c r="H36" s="286">
        <f>(H31-H38)/H31</f>
        <v>0.19474594465648856</v>
      </c>
      <c r="I36" s="248">
        <f>(I31-I38)/I31</f>
        <v>0.29674479166666656</v>
      </c>
      <c r="J36" s="286">
        <f t="shared" ref="J36:BK36" si="422">(J31-J39)/J31</f>
        <v>0.25057251908396938</v>
      </c>
      <c r="K36" s="248">
        <f t="shared" si="422"/>
        <v>0.34549999999999992</v>
      </c>
      <c r="L36" s="286">
        <f t="shared" si="422"/>
        <v>0.25057251908396938</v>
      </c>
      <c r="M36" s="248">
        <f t="shared" si="422"/>
        <v>0.34549999999999992</v>
      </c>
      <c r="N36" s="286">
        <f t="shared" si="422"/>
        <v>0.20648854961832058</v>
      </c>
      <c r="O36" s="248">
        <f t="shared" si="422"/>
        <v>0.30699999999999983</v>
      </c>
      <c r="P36" s="286">
        <f t="shared" si="422"/>
        <v>0.22214285714285695</v>
      </c>
      <c r="Q36" s="248">
        <f t="shared" si="422"/>
        <v>0.31937499999999996</v>
      </c>
      <c r="R36" s="286">
        <f t="shared" si="422"/>
        <v>0.22214285714285695</v>
      </c>
      <c r="S36" s="248">
        <f t="shared" si="422"/>
        <v>0.31937499999999996</v>
      </c>
      <c r="T36" s="286">
        <f t="shared" si="422"/>
        <v>0.17499999999999993</v>
      </c>
      <c r="U36" s="248">
        <f t="shared" si="422"/>
        <v>0.27812500000000001</v>
      </c>
      <c r="V36" s="286">
        <f t="shared" si="422"/>
        <v>0.20344827586206893</v>
      </c>
      <c r="W36" s="248">
        <f t="shared" si="422"/>
        <v>0.29999999999999988</v>
      </c>
      <c r="X36" s="286">
        <f t="shared" si="422"/>
        <v>0.20571428571428566</v>
      </c>
      <c r="Y36" s="248">
        <f t="shared" si="422"/>
        <v>0.30499999999999988</v>
      </c>
      <c r="Z36" s="286">
        <f t="shared" si="422"/>
        <v>0.20571428571428566</v>
      </c>
      <c r="AA36" s="248">
        <f t="shared" si="422"/>
        <v>0.30499999999999988</v>
      </c>
      <c r="AB36" s="286">
        <f t="shared" si="422"/>
        <v>0.20571428571428566</v>
      </c>
      <c r="AC36" s="248">
        <f t="shared" si="422"/>
        <v>0.30499999999999988</v>
      </c>
      <c r="AD36" s="286">
        <f t="shared" si="422"/>
        <v>0.19642857142857142</v>
      </c>
      <c r="AE36" s="248">
        <f t="shared" si="422"/>
        <v>0.19642857142857148</v>
      </c>
      <c r="AF36" s="286">
        <f t="shared" si="422"/>
        <v>0.14772727272727273</v>
      </c>
      <c r="AG36" s="248">
        <f t="shared" si="422"/>
        <v>0.25</v>
      </c>
      <c r="AH36" s="286">
        <f t="shared" si="422"/>
        <v>0.19642857142857142</v>
      </c>
      <c r="AI36" s="248">
        <f t="shared" si="422"/>
        <v>0.29285714285714282</v>
      </c>
      <c r="AJ36" s="286">
        <f t="shared" si="422"/>
        <v>0.19642857142857142</v>
      </c>
      <c r="AK36" s="248">
        <f t="shared" si="422"/>
        <v>0.29285714285714282</v>
      </c>
      <c r="AL36" s="286">
        <f t="shared" si="422"/>
        <v>0.19642857142857142</v>
      </c>
      <c r="AM36" s="248">
        <f t="shared" si="422"/>
        <v>0.29285714285714282</v>
      </c>
      <c r="AN36" s="286">
        <f t="shared" si="422"/>
        <v>0.19642857142857142</v>
      </c>
      <c r="AO36" s="248">
        <f t="shared" si="422"/>
        <v>0.29285714285714282</v>
      </c>
      <c r="AP36" s="286">
        <f t="shared" si="422"/>
        <v>0.19642857142857142</v>
      </c>
      <c r="AQ36" s="248">
        <f t="shared" si="422"/>
        <v>0.29285714285714282</v>
      </c>
      <c r="AR36" s="286">
        <f t="shared" si="422"/>
        <v>0.19642857142857142</v>
      </c>
      <c r="AS36" s="248">
        <f t="shared" si="422"/>
        <v>0.19642857142857148</v>
      </c>
      <c r="AT36" s="286">
        <f t="shared" si="422"/>
        <v>0.19642857142857142</v>
      </c>
      <c r="AU36" s="248">
        <f t="shared" si="422"/>
        <v>0.19642857142857148</v>
      </c>
      <c r="AV36" s="286">
        <f t="shared" si="422"/>
        <v>0.19642857142857142</v>
      </c>
      <c r="AW36" s="248">
        <f t="shared" si="422"/>
        <v>0.19642857142857148</v>
      </c>
      <c r="AX36" s="286">
        <f t="shared" si="422"/>
        <v>0.19642857142857142</v>
      </c>
      <c r="AY36" s="248">
        <f t="shared" si="422"/>
        <v>0.19642857142857148</v>
      </c>
      <c r="AZ36" s="286">
        <f t="shared" si="422"/>
        <v>0.19642857142857142</v>
      </c>
      <c r="BA36" s="248">
        <f t="shared" si="422"/>
        <v>0.19642857142857148</v>
      </c>
      <c r="BB36" s="286">
        <f t="shared" si="422"/>
        <v>0.19642857142857142</v>
      </c>
      <c r="BC36" s="248">
        <f t="shared" si="422"/>
        <v>0.19642857142857148</v>
      </c>
      <c r="BD36" s="286">
        <f t="shared" si="422"/>
        <v>0.19642857142857142</v>
      </c>
      <c r="BE36" s="248">
        <f t="shared" si="422"/>
        <v>0.19642857142857148</v>
      </c>
      <c r="BF36" s="286">
        <f t="shared" si="422"/>
        <v>0.19642857142857142</v>
      </c>
      <c r="BG36" s="248">
        <f t="shared" si="422"/>
        <v>0.19642857142857148</v>
      </c>
      <c r="BH36" s="286">
        <f t="shared" si="422"/>
        <v>0.19642857142857142</v>
      </c>
      <c r="BI36" s="248">
        <f t="shared" si="422"/>
        <v>0.19642857142857148</v>
      </c>
      <c r="BJ36" s="286">
        <f t="shared" si="422"/>
        <v>0.19642857142857142</v>
      </c>
      <c r="BK36" s="248">
        <f t="shared" si="422"/>
        <v>0.19642857142857148</v>
      </c>
      <c r="BL36" s="286">
        <f t="shared" ref="BL36:CO36" si="423">(BL31-BL38)/BL31</f>
        <v>0.18108258928571425</v>
      </c>
      <c r="BM36" s="248">
        <f t="shared" si="423"/>
        <v>0.1810825892857143</v>
      </c>
      <c r="BN36" s="286">
        <f t="shared" si="423"/>
        <v>0.18108258928571425</v>
      </c>
      <c r="BO36" s="248">
        <f t="shared" si="423"/>
        <v>0.1810825892857143</v>
      </c>
      <c r="BP36" s="286">
        <f t="shared" si="423"/>
        <v>0.18108258928571425</v>
      </c>
      <c r="BQ36" s="248">
        <f t="shared" si="423"/>
        <v>0.1810825892857143</v>
      </c>
      <c r="BR36" s="286">
        <f t="shared" si="423"/>
        <v>0.18108258928571425</v>
      </c>
      <c r="BS36" s="248">
        <f t="shared" si="423"/>
        <v>0.1810825892857143</v>
      </c>
      <c r="BT36" s="286">
        <f t="shared" si="423"/>
        <v>0.18108258928571425</v>
      </c>
      <c r="BU36" s="248">
        <f t="shared" si="423"/>
        <v>0.1810825892857143</v>
      </c>
      <c r="BV36" s="286">
        <f t="shared" si="423"/>
        <v>0.18108258928571425</v>
      </c>
      <c r="BW36" s="248">
        <f t="shared" si="423"/>
        <v>0.1810825892857143</v>
      </c>
      <c r="BX36" s="286">
        <f t="shared" si="423"/>
        <v>0.18108258928571425</v>
      </c>
      <c r="BY36" s="248">
        <f t="shared" si="423"/>
        <v>0.1810825892857143</v>
      </c>
      <c r="BZ36" s="286">
        <f t="shared" si="423"/>
        <v>0.18108258928571425</v>
      </c>
      <c r="CA36" s="248">
        <f t="shared" si="423"/>
        <v>0.1810825892857143</v>
      </c>
      <c r="CB36" s="286">
        <f t="shared" si="423"/>
        <v>0.18108258928571425</v>
      </c>
      <c r="CC36" s="248">
        <f t="shared" si="423"/>
        <v>0.1810825892857143</v>
      </c>
      <c r="CD36" s="286">
        <f t="shared" si="423"/>
        <v>0.18108258928571425</v>
      </c>
      <c r="CE36" s="248">
        <f t="shared" si="423"/>
        <v>0.1810825892857143</v>
      </c>
      <c r="CF36" s="286">
        <f t="shared" si="423"/>
        <v>0.18108258928571425</v>
      </c>
      <c r="CG36" s="248">
        <f t="shared" si="423"/>
        <v>0.1810825892857143</v>
      </c>
      <c r="CH36" s="286">
        <f t="shared" si="423"/>
        <v>0.18108258928571425</v>
      </c>
      <c r="CI36" s="248">
        <f t="shared" si="423"/>
        <v>0.1810825892857143</v>
      </c>
      <c r="CJ36" s="286">
        <f t="shared" si="423"/>
        <v>0.18108258928571425</v>
      </c>
      <c r="CK36" s="248">
        <f t="shared" si="423"/>
        <v>0.1810825892857143</v>
      </c>
      <c r="CL36" s="286">
        <f t="shared" si="423"/>
        <v>0.18108258928571425</v>
      </c>
      <c r="CM36" s="248">
        <f t="shared" si="423"/>
        <v>0.1810825892857143</v>
      </c>
      <c r="CN36" s="286">
        <f t="shared" si="423"/>
        <v>0.18108258928571425</v>
      </c>
      <c r="CO36" s="248">
        <f t="shared" si="423"/>
        <v>0.1810825892857143</v>
      </c>
      <c r="CP36" s="286">
        <f>(CP31-CP38)/CP31</f>
        <v>0.18108258928571425</v>
      </c>
      <c r="CQ36" s="248">
        <f>(CQ31-CQ38)/CQ31</f>
        <v>0.1810825892857143</v>
      </c>
      <c r="CR36" s="286">
        <f>(CR31-CR38)/CR31</f>
        <v>0.18108258928571425</v>
      </c>
      <c r="CS36" s="248">
        <f>(CS31-CS38)/CS31</f>
        <v>0.1810825892857143</v>
      </c>
      <c r="CT36" s="249"/>
      <c r="CU36" s="286">
        <f t="shared" ref="CU36:FF36" si="424">(CU31-CU38)/CU31</f>
        <v>0.18913210445468501</v>
      </c>
      <c r="CV36" s="248">
        <f t="shared" si="424"/>
        <v>0.18913210445468506</v>
      </c>
      <c r="CW36" s="286">
        <f t="shared" si="424"/>
        <v>0.18913210445468501</v>
      </c>
      <c r="CX36" s="248">
        <f t="shared" si="424"/>
        <v>0.18913210445468506</v>
      </c>
      <c r="CY36" s="286">
        <f t="shared" si="424"/>
        <v>0.16413210445468507</v>
      </c>
      <c r="CZ36" s="248">
        <f t="shared" si="424"/>
        <v>0.16413210445468515</v>
      </c>
      <c r="DA36" s="286">
        <f t="shared" si="424"/>
        <v>0.16465946590297864</v>
      </c>
      <c r="DB36" s="248">
        <f t="shared" si="424"/>
        <v>0.16465946590297861</v>
      </c>
      <c r="DC36" s="286">
        <f t="shared" si="424"/>
        <v>0.15562370888288557</v>
      </c>
      <c r="DD36" s="248">
        <f t="shared" si="424"/>
        <v>0.15562370888288554</v>
      </c>
      <c r="DE36" s="286">
        <f t="shared" si="424"/>
        <v>0.1044493882091212</v>
      </c>
      <c r="DF36" s="248">
        <f t="shared" si="424"/>
        <v>0.1044493882091212</v>
      </c>
      <c r="DG36" s="286">
        <f t="shared" si="424"/>
        <v>0.15562370888288557</v>
      </c>
      <c r="DH36" s="248">
        <f t="shared" si="424"/>
        <v>0.15562370888288554</v>
      </c>
      <c r="DI36" s="286">
        <f t="shared" si="424"/>
        <v>0.15562370888288557</v>
      </c>
      <c r="DJ36" s="248">
        <f t="shared" si="424"/>
        <v>0.15562370888288554</v>
      </c>
      <c r="DK36" s="286">
        <f t="shared" si="424"/>
        <v>0.15562370888288557</v>
      </c>
      <c r="DL36" s="248">
        <f t="shared" si="424"/>
        <v>0.15562370888288554</v>
      </c>
      <c r="DM36" s="286">
        <f t="shared" si="424"/>
        <v>0.15562370888288557</v>
      </c>
      <c r="DN36" s="248">
        <f t="shared" si="424"/>
        <v>0.15562370888288554</v>
      </c>
      <c r="DO36" s="286">
        <f t="shared" si="424"/>
        <v>0.15562370888288557</v>
      </c>
      <c r="DP36" s="248">
        <f t="shared" si="424"/>
        <v>0.15562370888288554</v>
      </c>
      <c r="DQ36" s="286">
        <f t="shared" si="424"/>
        <v>0.15562370888288557</v>
      </c>
      <c r="DR36" s="248">
        <f t="shared" si="424"/>
        <v>0.15562370888288554</v>
      </c>
      <c r="DS36" s="286">
        <f t="shared" si="424"/>
        <v>0.15562370888288557</v>
      </c>
      <c r="DT36" s="248">
        <f t="shared" si="424"/>
        <v>0.15562370888288554</v>
      </c>
      <c r="DU36" s="286">
        <f t="shared" si="424"/>
        <v>0.15562370888288557</v>
      </c>
      <c r="DV36" s="248">
        <f t="shared" si="424"/>
        <v>0.15562370888288554</v>
      </c>
      <c r="DW36" s="286">
        <f t="shared" si="424"/>
        <v>0.15562370888288557</v>
      </c>
      <c r="DX36" s="248">
        <f t="shared" si="424"/>
        <v>0.15562370888288554</v>
      </c>
      <c r="DY36" s="286">
        <f t="shared" si="424"/>
        <v>0.15562370888288557</v>
      </c>
      <c r="DZ36" s="248">
        <f t="shared" si="424"/>
        <v>0.15562370888288554</v>
      </c>
      <c r="EA36" s="286">
        <f t="shared" si="424"/>
        <v>0.15562370888288557</v>
      </c>
      <c r="EB36" s="248">
        <f t="shared" si="424"/>
        <v>0.15562370888288554</v>
      </c>
      <c r="EC36" s="286">
        <f t="shared" si="424"/>
        <v>0.15562370888288557</v>
      </c>
      <c r="ED36" s="248">
        <f t="shared" si="424"/>
        <v>0.15562370888288554</v>
      </c>
      <c r="EE36" s="286">
        <f t="shared" si="424"/>
        <v>0.15562370888288557</v>
      </c>
      <c r="EF36" s="248">
        <f t="shared" si="424"/>
        <v>0.15562370888288554</v>
      </c>
      <c r="EG36" s="286">
        <f t="shared" si="424"/>
        <v>0.15562370888288557</v>
      </c>
      <c r="EH36" s="248">
        <f t="shared" si="424"/>
        <v>0.15562370888288554</v>
      </c>
      <c r="EI36" s="286">
        <f t="shared" si="424"/>
        <v>0.15562370888288557</v>
      </c>
      <c r="EJ36" s="248">
        <f t="shared" si="424"/>
        <v>0.15562370888288554</v>
      </c>
      <c r="EK36" s="286">
        <f t="shared" si="424"/>
        <v>0.15562370888288557</v>
      </c>
      <c r="EL36" s="248">
        <f t="shared" si="424"/>
        <v>0.15562370888288554</v>
      </c>
      <c r="EM36" s="286">
        <f t="shared" si="424"/>
        <v>0.15562370888288557</v>
      </c>
      <c r="EN36" s="248">
        <f t="shared" si="424"/>
        <v>0.15562370888288554</v>
      </c>
      <c r="EO36" s="286">
        <f t="shared" si="424"/>
        <v>0.15562370888288557</v>
      </c>
      <c r="EP36" s="248">
        <f t="shared" si="424"/>
        <v>0.15562370888288554</v>
      </c>
      <c r="EQ36" s="286">
        <f t="shared" si="424"/>
        <v>0.15562370888288557</v>
      </c>
      <c r="ER36" s="248">
        <f t="shared" si="424"/>
        <v>0.15562370888288554</v>
      </c>
      <c r="ES36" s="286">
        <f t="shared" si="424"/>
        <v>0.15562370888288557</v>
      </c>
      <c r="ET36" s="248">
        <f t="shared" si="424"/>
        <v>0.15562370888288554</v>
      </c>
      <c r="EU36" s="286">
        <f t="shared" si="424"/>
        <v>0.15562370888288557</v>
      </c>
      <c r="EV36" s="248">
        <f t="shared" si="424"/>
        <v>0.15562370888288554</v>
      </c>
      <c r="EW36" s="286">
        <f t="shared" si="424"/>
        <v>0.15562370888288557</v>
      </c>
      <c r="EX36" s="248">
        <f t="shared" si="424"/>
        <v>0.15562370888288554</v>
      </c>
      <c r="EY36" s="286">
        <f t="shared" si="424"/>
        <v>0.15562370888288557</v>
      </c>
      <c r="EZ36" s="248">
        <f t="shared" si="424"/>
        <v>0.15562370888288554</v>
      </c>
      <c r="FA36" s="286">
        <f t="shared" si="424"/>
        <v>0.15562370888288557</v>
      </c>
      <c r="FB36" s="248">
        <f t="shared" si="424"/>
        <v>0.15562370888288554</v>
      </c>
      <c r="FC36" s="286">
        <f t="shared" si="424"/>
        <v>0.15562370888288557</v>
      </c>
      <c r="FD36" s="248">
        <f t="shared" si="424"/>
        <v>0.15562370888288554</v>
      </c>
      <c r="FE36" s="286">
        <f t="shared" si="424"/>
        <v>0.15562370888288557</v>
      </c>
      <c r="FF36" s="248">
        <f t="shared" si="424"/>
        <v>0.15562370888288554</v>
      </c>
      <c r="FG36" s="286">
        <f t="shared" ref="FG36:FP36" si="425">(FG31-FG38)/FG31</f>
        <v>0.15562370888288557</v>
      </c>
      <c r="FH36" s="248">
        <f t="shared" si="425"/>
        <v>0.15562370888288554</v>
      </c>
      <c r="FI36" s="286">
        <f t="shared" si="425"/>
        <v>0.15562370888288557</v>
      </c>
      <c r="FJ36" s="248">
        <f t="shared" si="425"/>
        <v>0.15562370888288554</v>
      </c>
      <c r="FK36" s="286">
        <f t="shared" si="425"/>
        <v>0.15562370888288557</v>
      </c>
      <c r="FL36" s="248">
        <f t="shared" si="425"/>
        <v>0.15562370888288554</v>
      </c>
      <c r="FM36" s="286">
        <f t="shared" si="425"/>
        <v>0.15562370888288557</v>
      </c>
      <c r="FN36" s="248">
        <f t="shared" si="425"/>
        <v>0.15562370888288554</v>
      </c>
      <c r="FO36" s="286">
        <f t="shared" si="425"/>
        <v>0.15562370888288557</v>
      </c>
      <c r="FP36" s="248">
        <f t="shared" si="425"/>
        <v>0.15562370888288554</v>
      </c>
      <c r="FQ36" s="231"/>
      <c r="FR36" s="286">
        <f t="shared" ref="FR36:IC36" si="426">(FR31-FR39)/FR31</f>
        <v>0.25057251908396938</v>
      </c>
      <c r="FS36" s="248">
        <f t="shared" si="426"/>
        <v>0.34549999999999992</v>
      </c>
      <c r="FT36" s="286">
        <f t="shared" si="426"/>
        <v>0.20648854961832058</v>
      </c>
      <c r="FU36" s="248">
        <f t="shared" si="426"/>
        <v>0.30699999999999983</v>
      </c>
      <c r="FV36" s="286">
        <f t="shared" si="426"/>
        <v>0.22214285714285695</v>
      </c>
      <c r="FW36" s="248">
        <f t="shared" si="426"/>
        <v>0.31937499999999996</v>
      </c>
      <c r="FX36" s="286">
        <f t="shared" si="426"/>
        <v>0.22214285714285695</v>
      </c>
      <c r="FY36" s="248">
        <f t="shared" si="426"/>
        <v>0.31937499999999996</v>
      </c>
      <c r="FZ36" s="286">
        <f t="shared" si="426"/>
        <v>0.17499999999999993</v>
      </c>
      <c r="GA36" s="248">
        <f t="shared" si="426"/>
        <v>0.27812500000000001</v>
      </c>
      <c r="GB36" s="286">
        <f t="shared" si="426"/>
        <v>0.20344827586206893</v>
      </c>
      <c r="GC36" s="248">
        <f t="shared" si="426"/>
        <v>0.29999999999999988</v>
      </c>
      <c r="GD36" s="286">
        <f t="shared" si="426"/>
        <v>0.20571428571428566</v>
      </c>
      <c r="GE36" s="248">
        <f t="shared" si="426"/>
        <v>0.30499999999999988</v>
      </c>
      <c r="GF36" s="286">
        <f t="shared" si="426"/>
        <v>0.20571428571428566</v>
      </c>
      <c r="GG36" s="248">
        <f t="shared" si="426"/>
        <v>0.30499999999999988</v>
      </c>
      <c r="GH36" s="286">
        <f t="shared" si="426"/>
        <v>0.20571428571428566</v>
      </c>
      <c r="GI36" s="248">
        <f t="shared" si="426"/>
        <v>0.30499999999999988</v>
      </c>
      <c r="GJ36" s="286">
        <f t="shared" si="426"/>
        <v>0.19223880597014928</v>
      </c>
      <c r="GK36" s="248">
        <f t="shared" si="426"/>
        <v>0.19223880597014925</v>
      </c>
      <c r="GL36" s="286">
        <f t="shared" si="426"/>
        <v>0.14328358208955236</v>
      </c>
      <c r="GM36" s="248">
        <f t="shared" si="426"/>
        <v>0.24473684210526325</v>
      </c>
      <c r="GN36" s="286">
        <f t="shared" si="426"/>
        <v>0.19223880597014928</v>
      </c>
      <c r="GO36" s="248">
        <f t="shared" si="426"/>
        <v>0.28789473684210526</v>
      </c>
      <c r="GP36" s="286">
        <f t="shared" si="426"/>
        <v>0.19223880597014928</v>
      </c>
      <c r="GQ36" s="248">
        <f t="shared" si="426"/>
        <v>0.28789473684210526</v>
      </c>
      <c r="GR36" s="286">
        <f t="shared" si="426"/>
        <v>0.19223880597014928</v>
      </c>
      <c r="GS36" s="248">
        <f t="shared" si="426"/>
        <v>0.28789473684210526</v>
      </c>
      <c r="GT36" s="286">
        <f t="shared" si="426"/>
        <v>0.19223880597014928</v>
      </c>
      <c r="GU36" s="248">
        <f t="shared" si="426"/>
        <v>0.28789473684210526</v>
      </c>
      <c r="GV36" s="286">
        <f t="shared" si="426"/>
        <v>0.19223880597014928</v>
      </c>
      <c r="GW36" s="248">
        <f t="shared" si="426"/>
        <v>0.28789473684210526</v>
      </c>
      <c r="GX36" s="286">
        <f t="shared" si="426"/>
        <v>0.19223880597014928</v>
      </c>
      <c r="GY36" s="248">
        <f t="shared" si="426"/>
        <v>0.19223880597014925</v>
      </c>
      <c r="GZ36" s="286">
        <f t="shared" si="426"/>
        <v>0.19223880597014928</v>
      </c>
      <c r="HA36" s="248">
        <f t="shared" si="426"/>
        <v>0.19223880597014925</v>
      </c>
      <c r="HB36" s="286">
        <f t="shared" si="426"/>
        <v>0.19223880597014928</v>
      </c>
      <c r="HC36" s="248">
        <f t="shared" si="426"/>
        <v>0.19223880597014925</v>
      </c>
      <c r="HD36" s="286">
        <f t="shared" si="426"/>
        <v>0.19223880597014928</v>
      </c>
      <c r="HE36" s="248">
        <f t="shared" si="426"/>
        <v>0.19223880597014925</v>
      </c>
      <c r="HF36" s="286">
        <f t="shared" si="426"/>
        <v>0.19223880597014928</v>
      </c>
      <c r="HG36" s="248">
        <f t="shared" si="426"/>
        <v>0.19223880597014925</v>
      </c>
      <c r="HH36" s="286">
        <f t="shared" si="426"/>
        <v>0.19223880597014928</v>
      </c>
      <c r="HI36" s="248">
        <f t="shared" si="426"/>
        <v>0.19223880597014925</v>
      </c>
      <c r="HJ36" s="286">
        <f t="shared" si="426"/>
        <v>0.19223880597014928</v>
      </c>
      <c r="HK36" s="248">
        <f t="shared" si="426"/>
        <v>0.19223880597014925</v>
      </c>
      <c r="HL36" s="286">
        <f t="shared" si="426"/>
        <v>0.19223880597014928</v>
      </c>
      <c r="HM36" s="248">
        <f t="shared" si="426"/>
        <v>0.19223880597014925</v>
      </c>
      <c r="HN36" s="286">
        <f t="shared" si="426"/>
        <v>0.19223880597014928</v>
      </c>
      <c r="HO36" s="248">
        <f t="shared" si="426"/>
        <v>0.19223880597014925</v>
      </c>
      <c r="HP36" s="286">
        <f t="shared" si="426"/>
        <v>0.19223880597014928</v>
      </c>
      <c r="HQ36" s="248">
        <f t="shared" si="426"/>
        <v>0.19223880597014925</v>
      </c>
      <c r="HR36" s="286">
        <f t="shared" si="426"/>
        <v>0.19223880597014928</v>
      </c>
      <c r="HS36" s="248">
        <f t="shared" si="426"/>
        <v>0.19223880597014925</v>
      </c>
      <c r="HT36" s="286">
        <f t="shared" si="426"/>
        <v>0.19223880597014928</v>
      </c>
      <c r="HU36" s="248">
        <f t="shared" si="426"/>
        <v>0.19223880597014925</v>
      </c>
      <c r="HV36" s="286">
        <f t="shared" si="426"/>
        <v>0.19223880597014928</v>
      </c>
      <c r="HW36" s="248">
        <f t="shared" si="426"/>
        <v>0.19223880597014925</v>
      </c>
      <c r="HX36" s="286">
        <f t="shared" si="426"/>
        <v>0.19223880597014928</v>
      </c>
      <c r="HY36" s="248">
        <f t="shared" si="426"/>
        <v>0.19223880597014925</v>
      </c>
      <c r="HZ36" s="286">
        <f t="shared" si="426"/>
        <v>0.19223880597014928</v>
      </c>
      <c r="IA36" s="248">
        <f t="shared" si="426"/>
        <v>0.19223880597014925</v>
      </c>
      <c r="IB36" s="286">
        <f t="shared" si="426"/>
        <v>0.19223880597014928</v>
      </c>
      <c r="IC36" s="248">
        <f t="shared" si="426"/>
        <v>0.19223880597014925</v>
      </c>
      <c r="ID36" s="286">
        <f t="shared" ref="ID36:IY36" si="427">(ID31-ID39)/ID31</f>
        <v>0.19223880597014928</v>
      </c>
      <c r="IE36" s="248">
        <f t="shared" si="427"/>
        <v>0.19223880597014925</v>
      </c>
      <c r="IF36" s="286">
        <f t="shared" si="427"/>
        <v>0.19223880597014928</v>
      </c>
      <c r="IG36" s="248">
        <f t="shared" si="427"/>
        <v>0.19223880597014925</v>
      </c>
      <c r="IH36" s="286">
        <f t="shared" si="427"/>
        <v>0.19223880597014928</v>
      </c>
      <c r="II36" s="248">
        <f t="shared" si="427"/>
        <v>0.19223880597014925</v>
      </c>
      <c r="IJ36" s="286">
        <f t="shared" si="427"/>
        <v>0.19223880597014928</v>
      </c>
      <c r="IK36" s="248">
        <f t="shared" si="427"/>
        <v>0.19223880597014925</v>
      </c>
      <c r="IL36" s="286">
        <f t="shared" si="427"/>
        <v>0.19223880597014928</v>
      </c>
      <c r="IM36" s="248">
        <f t="shared" si="427"/>
        <v>0.19223880597014925</v>
      </c>
      <c r="IN36" s="286">
        <f t="shared" si="427"/>
        <v>0.19223880597014928</v>
      </c>
      <c r="IO36" s="248">
        <f t="shared" si="427"/>
        <v>0.19223880597014925</v>
      </c>
      <c r="IP36" s="286">
        <f t="shared" si="427"/>
        <v>0.19223880597014928</v>
      </c>
      <c r="IQ36" s="248">
        <f t="shared" si="427"/>
        <v>0.19223880597014925</v>
      </c>
      <c r="IR36" s="286">
        <f t="shared" si="427"/>
        <v>0.19223880597014928</v>
      </c>
      <c r="IS36" s="248">
        <f t="shared" si="427"/>
        <v>0.19223880597014925</v>
      </c>
      <c r="IT36" s="286">
        <f t="shared" si="427"/>
        <v>0.19223880597014928</v>
      </c>
      <c r="IU36" s="248">
        <f t="shared" si="427"/>
        <v>0.19223880597014925</v>
      </c>
      <c r="IV36" s="286">
        <f t="shared" si="427"/>
        <v>0.19223880597014928</v>
      </c>
      <c r="IW36" s="248">
        <f t="shared" si="427"/>
        <v>0.19223880597014925</v>
      </c>
      <c r="IX36" s="286">
        <f t="shared" si="427"/>
        <v>0.19223880597014928</v>
      </c>
      <c r="IY36" s="248">
        <f t="shared" si="427"/>
        <v>0.19223880597014925</v>
      </c>
      <c r="IZ36" s="231"/>
      <c r="JA36" s="286">
        <f>(JA31-JA39)/JA31</f>
        <v>0.1547692307692308</v>
      </c>
      <c r="JB36" s="248">
        <f>(JB31-JB39)/JB31</f>
        <v>0.15476923076923085</v>
      </c>
      <c r="JC36" s="286">
        <f>(JC31-JC39)/JC31</f>
        <v>0.1547692307692308</v>
      </c>
      <c r="JD36" s="248">
        <f>(JD31-JD39)/JD31</f>
        <v>0.15476923076923085</v>
      </c>
      <c r="JE36" s="231"/>
      <c r="JF36" s="286">
        <f t="shared" ref="JF36:LQ36" si="428">(JF31-JF39)/JF31</f>
        <v>0.2487804878048781</v>
      </c>
      <c r="JG36" s="248">
        <f t="shared" si="428"/>
        <v>0.24878048780487805</v>
      </c>
      <c r="JH36" s="286">
        <f t="shared" si="428"/>
        <v>0.20182926829268283</v>
      </c>
      <c r="JI36" s="248">
        <f t="shared" si="428"/>
        <v>0.20182926829268286</v>
      </c>
      <c r="JJ36" s="286">
        <f t="shared" si="428"/>
        <v>0.21908396946564879</v>
      </c>
      <c r="JK36" s="248">
        <f t="shared" si="428"/>
        <v>0.21908396946564884</v>
      </c>
      <c r="JL36" s="286">
        <f t="shared" si="428"/>
        <v>0.21908396946564879</v>
      </c>
      <c r="JM36" s="248">
        <f t="shared" si="428"/>
        <v>0.21908396946564884</v>
      </c>
      <c r="JN36" s="286">
        <f t="shared" si="428"/>
        <v>0.15610687022900754</v>
      </c>
      <c r="JO36" s="248">
        <f t="shared" si="428"/>
        <v>0.15610687022900763</v>
      </c>
      <c r="JP36" s="286">
        <f t="shared" si="428"/>
        <v>0.18862385321100908</v>
      </c>
      <c r="JQ36" s="248">
        <f t="shared" si="428"/>
        <v>0.18862385321100916</v>
      </c>
      <c r="JR36" s="286">
        <f t="shared" si="428"/>
        <v>0.18862385321100908</v>
      </c>
      <c r="JS36" s="248">
        <f t="shared" si="428"/>
        <v>0.18862385321100916</v>
      </c>
      <c r="JT36" s="286">
        <f t="shared" si="428"/>
        <v>0.18862385321100908</v>
      </c>
      <c r="JU36" s="248">
        <f t="shared" si="428"/>
        <v>0.18862385321100916</v>
      </c>
      <c r="JV36" s="286">
        <f t="shared" si="428"/>
        <v>0.13944954128440379</v>
      </c>
      <c r="JW36" s="248">
        <f t="shared" si="428"/>
        <v>0.13944954128440373</v>
      </c>
      <c r="JX36" s="286">
        <f t="shared" si="428"/>
        <v>0.18862385321100908</v>
      </c>
      <c r="JY36" s="248">
        <f t="shared" si="428"/>
        <v>0.18862385321100916</v>
      </c>
      <c r="JZ36" s="286">
        <f t="shared" si="428"/>
        <v>0.18862385321100908</v>
      </c>
      <c r="KA36" s="248">
        <f t="shared" si="428"/>
        <v>0.18862385321100916</v>
      </c>
      <c r="KB36" s="286">
        <f t="shared" si="428"/>
        <v>0.18862385321100908</v>
      </c>
      <c r="KC36" s="248">
        <f t="shared" si="428"/>
        <v>0.18862385321100916</v>
      </c>
      <c r="KD36" s="286">
        <f t="shared" si="428"/>
        <v>0.18862385321100908</v>
      </c>
      <c r="KE36" s="248">
        <f t="shared" si="428"/>
        <v>0.18862385321100916</v>
      </c>
      <c r="KF36" s="286">
        <f t="shared" si="428"/>
        <v>0.18862385321100908</v>
      </c>
      <c r="KG36" s="248">
        <f t="shared" si="428"/>
        <v>0.18862385321100916</v>
      </c>
      <c r="KH36" s="286">
        <f t="shared" si="428"/>
        <v>0.18862385321100908</v>
      </c>
      <c r="KI36" s="248">
        <f t="shared" si="428"/>
        <v>0.18862385321100916</v>
      </c>
      <c r="KJ36" s="286">
        <f t="shared" si="428"/>
        <v>0.18862385321100908</v>
      </c>
      <c r="KK36" s="248">
        <f t="shared" si="428"/>
        <v>0.18862385321100916</v>
      </c>
      <c r="KL36" s="286">
        <f t="shared" si="428"/>
        <v>0.18862385321100908</v>
      </c>
      <c r="KM36" s="248">
        <f t="shared" si="428"/>
        <v>0.18862385321100916</v>
      </c>
      <c r="KN36" s="286">
        <f t="shared" si="428"/>
        <v>0.18862385321100908</v>
      </c>
      <c r="KO36" s="248">
        <f t="shared" si="428"/>
        <v>0.18862385321100916</v>
      </c>
      <c r="KP36" s="286">
        <f t="shared" si="428"/>
        <v>0.18862385321100908</v>
      </c>
      <c r="KQ36" s="248">
        <f t="shared" si="428"/>
        <v>0.18862385321100916</v>
      </c>
      <c r="KR36" s="286">
        <f t="shared" si="428"/>
        <v>0.18862385321100908</v>
      </c>
      <c r="KS36" s="248">
        <f t="shared" si="428"/>
        <v>0.18862385321100916</v>
      </c>
      <c r="KT36" s="286">
        <f t="shared" si="428"/>
        <v>0.18862385321100908</v>
      </c>
      <c r="KU36" s="248">
        <f t="shared" si="428"/>
        <v>0.18862385321100916</v>
      </c>
      <c r="KV36" s="286">
        <f t="shared" si="428"/>
        <v>0.18862385321100908</v>
      </c>
      <c r="KW36" s="248">
        <f t="shared" si="428"/>
        <v>0.18862385321100916</v>
      </c>
      <c r="KX36" s="286">
        <f t="shared" si="428"/>
        <v>0.18862385321100908</v>
      </c>
      <c r="KY36" s="248">
        <f t="shared" si="428"/>
        <v>0.18862385321100916</v>
      </c>
      <c r="KZ36" s="286">
        <f t="shared" si="428"/>
        <v>0.18862385321100908</v>
      </c>
      <c r="LA36" s="248">
        <f t="shared" si="428"/>
        <v>0.18862385321100916</v>
      </c>
      <c r="LB36" s="286">
        <f t="shared" si="428"/>
        <v>0.18862385321100908</v>
      </c>
      <c r="LC36" s="248">
        <f t="shared" si="428"/>
        <v>0.18862385321100916</v>
      </c>
      <c r="LD36" s="286">
        <f t="shared" si="428"/>
        <v>0.18862385321100908</v>
      </c>
      <c r="LE36" s="248">
        <f t="shared" si="428"/>
        <v>0.18862385321100916</v>
      </c>
      <c r="LF36" s="286">
        <f t="shared" si="428"/>
        <v>0.18862385321100908</v>
      </c>
      <c r="LG36" s="248">
        <f t="shared" si="428"/>
        <v>0.18862385321100916</v>
      </c>
      <c r="LH36" s="286">
        <f t="shared" si="428"/>
        <v>0.18862385321100908</v>
      </c>
      <c r="LI36" s="248">
        <f t="shared" si="428"/>
        <v>0.18862385321100916</v>
      </c>
      <c r="LJ36" s="286">
        <f t="shared" si="428"/>
        <v>0.18862385321100908</v>
      </c>
      <c r="LK36" s="248">
        <f t="shared" si="428"/>
        <v>0.18862385321100916</v>
      </c>
      <c r="LL36" s="286">
        <f t="shared" si="428"/>
        <v>0.18862385321100908</v>
      </c>
      <c r="LM36" s="248">
        <f t="shared" si="428"/>
        <v>0.18862385321100916</v>
      </c>
      <c r="LN36" s="286">
        <f t="shared" si="428"/>
        <v>0.18862385321100908</v>
      </c>
      <c r="LO36" s="248">
        <f t="shared" si="428"/>
        <v>0.18862385321100916</v>
      </c>
      <c r="LP36" s="286">
        <f t="shared" si="428"/>
        <v>0.18862385321100908</v>
      </c>
      <c r="LQ36" s="248">
        <f t="shared" si="428"/>
        <v>0.18862385321100916</v>
      </c>
      <c r="LR36" s="286">
        <f t="shared" ref="LR36:ME36" si="429">(LR31-LR39)/LR31</f>
        <v>0.18862385321100908</v>
      </c>
      <c r="LS36" s="248">
        <f t="shared" si="429"/>
        <v>0.18862385321100916</v>
      </c>
      <c r="LT36" s="286">
        <f t="shared" si="429"/>
        <v>0.18862385321100908</v>
      </c>
      <c r="LU36" s="248">
        <f t="shared" si="429"/>
        <v>0.18862385321100916</v>
      </c>
      <c r="LV36" s="286">
        <f t="shared" si="429"/>
        <v>0.18862385321100908</v>
      </c>
      <c r="LW36" s="248">
        <f t="shared" si="429"/>
        <v>0.18862385321100916</v>
      </c>
      <c r="LX36" s="286">
        <f t="shared" si="429"/>
        <v>0.18862385321100908</v>
      </c>
      <c r="LY36" s="248">
        <f t="shared" si="429"/>
        <v>0.18862385321100916</v>
      </c>
      <c r="LZ36" s="286">
        <f t="shared" si="429"/>
        <v>0.18862385321100908</v>
      </c>
      <c r="MA36" s="248">
        <f t="shared" si="429"/>
        <v>0.18862385321100916</v>
      </c>
      <c r="MB36" s="286">
        <f t="shared" si="429"/>
        <v>0.18862385321100908</v>
      </c>
      <c r="MC36" s="248">
        <f t="shared" si="429"/>
        <v>0.18862385321100916</v>
      </c>
      <c r="MD36" s="286">
        <f t="shared" si="429"/>
        <v>0.18862385321100908</v>
      </c>
      <c r="ME36" s="248">
        <f t="shared" si="429"/>
        <v>0.18862385321100916</v>
      </c>
      <c r="MF36" s="286">
        <f>(MF31-MF38)/MF31</f>
        <v>0.1713237221494103</v>
      </c>
      <c r="MG36" s="248">
        <f>(MG31-MG38)/MG31</f>
        <v>0.17132372214941027</v>
      </c>
      <c r="MH36" s="231"/>
      <c r="MI36" s="286">
        <f t="shared" ref="MI36:OD36" si="430">(MI31-MI39)/MI31</f>
        <v>0.29874999999999996</v>
      </c>
      <c r="MJ36" s="248">
        <f t="shared" si="430"/>
        <v>0.3975515463917525</v>
      </c>
      <c r="MK36" s="286">
        <f t="shared" si="430"/>
        <v>0.30071428571428566</v>
      </c>
      <c r="ML36" s="248">
        <f t="shared" si="430"/>
        <v>0.36920103092783496</v>
      </c>
      <c r="MM36" s="286">
        <f t="shared" si="430"/>
        <v>0.2614285714285714</v>
      </c>
      <c r="MN36" s="248">
        <f t="shared" si="430"/>
        <v>0.33376288659793807</v>
      </c>
      <c r="MO36" s="286">
        <f t="shared" si="430"/>
        <v>0.2614285714285714</v>
      </c>
      <c r="MP36" s="248">
        <f t="shared" si="430"/>
        <v>0.33376288659793807</v>
      </c>
      <c r="MQ36" s="286">
        <f t="shared" si="430"/>
        <v>0.19857142857142859</v>
      </c>
      <c r="MR36" s="248">
        <f t="shared" si="430"/>
        <v>0.27706185567010305</v>
      </c>
      <c r="MS36" s="286">
        <f t="shared" si="430"/>
        <v>0.25</v>
      </c>
      <c r="MT36" s="248">
        <f t="shared" si="430"/>
        <v>0.31958762886597941</v>
      </c>
      <c r="MU36" s="286">
        <f t="shared" si="430"/>
        <v>0.252</v>
      </c>
      <c r="MV36" s="248">
        <f t="shared" si="430"/>
        <v>0.33267248215701828</v>
      </c>
      <c r="MW36" s="286">
        <f t="shared" si="430"/>
        <v>0.22057142857142847</v>
      </c>
      <c r="MX36" s="248">
        <f t="shared" si="430"/>
        <v>0.29690721649484519</v>
      </c>
      <c r="MY36" s="286">
        <f t="shared" si="430"/>
        <v>0.17333333333333337</v>
      </c>
      <c r="MZ36" s="248">
        <f t="shared" si="430"/>
        <v>0.25429553264604815</v>
      </c>
      <c r="NA36" s="286">
        <f t="shared" si="430"/>
        <v>0.22057142857142847</v>
      </c>
      <c r="NB36" s="248">
        <f t="shared" si="430"/>
        <v>0.29690721649484519</v>
      </c>
      <c r="NC36" s="286">
        <f t="shared" si="430"/>
        <v>0.22057142857142847</v>
      </c>
      <c r="ND36" s="248">
        <f t="shared" si="430"/>
        <v>0.29690721649484519</v>
      </c>
      <c r="NE36" s="286">
        <f t="shared" si="430"/>
        <v>0.22057142857142847</v>
      </c>
      <c r="NF36" s="248">
        <f t="shared" si="430"/>
        <v>0.29690721649484519</v>
      </c>
      <c r="NG36" s="286">
        <f t="shared" si="430"/>
        <v>0.22057142857142847</v>
      </c>
      <c r="NH36" s="248">
        <f t="shared" si="430"/>
        <v>0.29690721649484519</v>
      </c>
      <c r="NI36" s="286">
        <f t="shared" si="430"/>
        <v>0.22057142857142847</v>
      </c>
      <c r="NJ36" s="248">
        <f t="shared" si="430"/>
        <v>0.29690721649484519</v>
      </c>
      <c r="NK36" s="286">
        <f t="shared" si="430"/>
        <v>0.22057142857142847</v>
      </c>
      <c r="NL36" s="248">
        <f t="shared" si="430"/>
        <v>0.29690721649484519</v>
      </c>
      <c r="NM36" s="286">
        <f t="shared" si="430"/>
        <v>0.22057142857142847</v>
      </c>
      <c r="NN36" s="248">
        <f t="shared" si="430"/>
        <v>0.2205714285714285</v>
      </c>
      <c r="NO36" s="286">
        <f t="shared" si="430"/>
        <v>0.22057142857142847</v>
      </c>
      <c r="NP36" s="248">
        <f t="shared" si="430"/>
        <v>0.2205714285714285</v>
      </c>
      <c r="NQ36" s="286">
        <f t="shared" si="430"/>
        <v>0.22057142857142847</v>
      </c>
      <c r="NR36" s="248">
        <f t="shared" si="430"/>
        <v>0.2205714285714285</v>
      </c>
      <c r="NS36" s="286">
        <f t="shared" si="430"/>
        <v>0.22057142857142847</v>
      </c>
      <c r="NT36" s="248">
        <f t="shared" si="430"/>
        <v>0.2205714285714285</v>
      </c>
      <c r="NU36" s="286">
        <f t="shared" si="430"/>
        <v>0.22057142857142847</v>
      </c>
      <c r="NV36" s="248">
        <f t="shared" si="430"/>
        <v>0.2205714285714285</v>
      </c>
      <c r="NW36" s="286">
        <f t="shared" si="430"/>
        <v>0.22057142857142847</v>
      </c>
      <c r="NX36" s="248">
        <f t="shared" si="430"/>
        <v>0.2205714285714285</v>
      </c>
      <c r="NY36" s="286">
        <f t="shared" si="430"/>
        <v>0.22057142857142847</v>
      </c>
      <c r="NZ36" s="248">
        <f t="shared" si="430"/>
        <v>0.2205714285714285</v>
      </c>
      <c r="OA36" s="286">
        <f t="shared" si="430"/>
        <v>0.22057142857142847</v>
      </c>
      <c r="OB36" s="248">
        <f t="shared" si="430"/>
        <v>0.2205714285714285</v>
      </c>
      <c r="OC36" s="286">
        <f t="shared" si="430"/>
        <v>0.22057142857142847</v>
      </c>
      <c r="OD36" s="248">
        <f t="shared" si="430"/>
        <v>0.2205714285714285</v>
      </c>
      <c r="OE36" s="286">
        <f t="shared" ref="OE36:PP36" si="431">(OE31-OE38)/OE31</f>
        <v>0.2037647058823529</v>
      </c>
      <c r="OF36" s="248">
        <f t="shared" si="431"/>
        <v>0.20376470588235288</v>
      </c>
      <c r="OG36" s="286">
        <f t="shared" si="431"/>
        <v>0.2037647058823529</v>
      </c>
      <c r="OH36" s="248">
        <f t="shared" si="431"/>
        <v>0.20376470588235288</v>
      </c>
      <c r="OI36" s="286">
        <f t="shared" si="431"/>
        <v>0.2037647058823529</v>
      </c>
      <c r="OJ36" s="248">
        <f t="shared" si="431"/>
        <v>0.20376470588235288</v>
      </c>
      <c r="OK36" s="286">
        <f t="shared" si="431"/>
        <v>0.2037647058823529</v>
      </c>
      <c r="OL36" s="248">
        <f t="shared" si="431"/>
        <v>0.20376470588235288</v>
      </c>
      <c r="OM36" s="286">
        <f t="shared" si="431"/>
        <v>0.2037647058823529</v>
      </c>
      <c r="ON36" s="248">
        <f t="shared" si="431"/>
        <v>0.20376470588235288</v>
      </c>
      <c r="OO36" s="286">
        <f t="shared" si="431"/>
        <v>0.2037647058823529</v>
      </c>
      <c r="OP36" s="248">
        <f t="shared" si="431"/>
        <v>0.20376470588235288</v>
      </c>
      <c r="OQ36" s="286">
        <f t="shared" si="431"/>
        <v>0.2037647058823529</v>
      </c>
      <c r="OR36" s="248">
        <f t="shared" si="431"/>
        <v>0.20376470588235288</v>
      </c>
      <c r="OS36" s="286">
        <f t="shared" si="431"/>
        <v>0.2037647058823529</v>
      </c>
      <c r="OT36" s="248">
        <f t="shared" si="431"/>
        <v>0.20376470588235288</v>
      </c>
      <c r="OU36" s="286">
        <f t="shared" si="431"/>
        <v>0.2037647058823529</v>
      </c>
      <c r="OV36" s="248">
        <f t="shared" si="431"/>
        <v>0.20376470588235288</v>
      </c>
      <c r="OW36" s="286">
        <f t="shared" si="431"/>
        <v>0.2037647058823529</v>
      </c>
      <c r="OX36" s="248">
        <f t="shared" si="431"/>
        <v>0.20376470588235288</v>
      </c>
      <c r="OY36" s="286">
        <f t="shared" si="431"/>
        <v>0.2037647058823529</v>
      </c>
      <c r="OZ36" s="248">
        <f t="shared" si="431"/>
        <v>0.20376470588235288</v>
      </c>
      <c r="PA36" s="286">
        <f t="shared" si="431"/>
        <v>0.2037647058823529</v>
      </c>
      <c r="PB36" s="248">
        <f t="shared" si="431"/>
        <v>0.20376470588235288</v>
      </c>
      <c r="PC36" s="286">
        <f t="shared" si="431"/>
        <v>0.2037647058823529</v>
      </c>
      <c r="PD36" s="248">
        <f t="shared" si="431"/>
        <v>0.20376470588235288</v>
      </c>
      <c r="PE36" s="286">
        <f t="shared" si="431"/>
        <v>0.2037647058823529</v>
      </c>
      <c r="PF36" s="248">
        <f t="shared" si="431"/>
        <v>0.20376470588235288</v>
      </c>
      <c r="PG36" s="286">
        <f t="shared" si="431"/>
        <v>0.2037647058823529</v>
      </c>
      <c r="PH36" s="248">
        <f t="shared" si="431"/>
        <v>0.20376470588235288</v>
      </c>
      <c r="PI36" s="286">
        <f t="shared" si="431"/>
        <v>0.12239215686274492</v>
      </c>
      <c r="PJ36" s="248">
        <f t="shared" si="431"/>
        <v>0.12239215686274492</v>
      </c>
      <c r="PK36" s="286">
        <f t="shared" si="431"/>
        <v>0.1045964432284541</v>
      </c>
      <c r="PL36" s="248">
        <f t="shared" si="431"/>
        <v>0.10459644322845407</v>
      </c>
      <c r="PM36" s="286">
        <f t="shared" si="431"/>
        <v>0.2037647058823529</v>
      </c>
      <c r="PN36" s="248">
        <f t="shared" si="431"/>
        <v>0.20376470588235288</v>
      </c>
      <c r="PO36" s="286">
        <f t="shared" si="431"/>
        <v>0.2037647058823529</v>
      </c>
      <c r="PP36" s="248">
        <f t="shared" si="431"/>
        <v>0.20376470588235288</v>
      </c>
      <c r="PQ36" s="236"/>
      <c r="PR36" s="286">
        <f t="shared" ref="PR36:QC36" si="432">(PR31-PR39)/PR31</f>
        <v>0.18599999999999994</v>
      </c>
      <c r="PS36" s="248">
        <f t="shared" si="432"/>
        <v>0.18599999999999989</v>
      </c>
      <c r="PT36" s="286">
        <f t="shared" si="432"/>
        <v>0.18599999999999994</v>
      </c>
      <c r="PU36" s="248">
        <f t="shared" si="432"/>
        <v>0.18599999999999989</v>
      </c>
      <c r="PV36" s="286">
        <f t="shared" si="432"/>
        <v>0.19333333333333325</v>
      </c>
      <c r="PW36" s="248">
        <f t="shared" si="432"/>
        <v>0.19333333333333325</v>
      </c>
      <c r="PX36" s="286">
        <f t="shared" si="432"/>
        <v>0.19333333333333325</v>
      </c>
      <c r="PY36" s="248">
        <f t="shared" si="432"/>
        <v>0.19333333333333325</v>
      </c>
      <c r="PZ36" s="286">
        <f t="shared" si="432"/>
        <v>0.23499999999999993</v>
      </c>
      <c r="QA36" s="248">
        <f t="shared" si="432"/>
        <v>0.23499999999999996</v>
      </c>
      <c r="QB36" s="286">
        <f t="shared" si="432"/>
        <v>0.23499999999999993</v>
      </c>
      <c r="QC36" s="248">
        <f t="shared" si="432"/>
        <v>0.23499999999999996</v>
      </c>
      <c r="QD36" s="236"/>
      <c r="QE36" s="236"/>
      <c r="QF36" s="286">
        <f t="shared" ref="QF36:QQ36" si="433">(QF31-QF39)/QF31</f>
        <v>0.18599999999999994</v>
      </c>
      <c r="QG36" s="248">
        <f t="shared" si="433"/>
        <v>0.18599999999999989</v>
      </c>
      <c r="QH36" s="286">
        <f t="shared" si="433"/>
        <v>0.18599999999999994</v>
      </c>
      <c r="QI36" s="248">
        <f t="shared" si="433"/>
        <v>0.18599999999999989</v>
      </c>
      <c r="QJ36" s="286">
        <f t="shared" si="433"/>
        <v>0.19333333333333325</v>
      </c>
      <c r="QK36" s="248">
        <f t="shared" si="433"/>
        <v>0.19333333333333325</v>
      </c>
      <c r="QL36" s="286">
        <f t="shared" si="433"/>
        <v>0.19333333333333325</v>
      </c>
      <c r="QM36" s="248">
        <f t="shared" si="433"/>
        <v>0.19333333333333325</v>
      </c>
      <c r="QN36" s="286">
        <f t="shared" si="433"/>
        <v>0.19333333333333341</v>
      </c>
      <c r="QO36" s="248">
        <f t="shared" si="433"/>
        <v>0.19333333333333336</v>
      </c>
      <c r="QP36" s="286">
        <f t="shared" si="433"/>
        <v>0.19333333333333341</v>
      </c>
      <c r="QQ36" s="248">
        <f t="shared" si="433"/>
        <v>0.19333333333333336</v>
      </c>
    </row>
    <row r="37" spans="1:459" x14ac:dyDescent="0.45">
      <c r="A37" s="871"/>
      <c r="B37" s="180" t="s">
        <v>344</v>
      </c>
      <c r="C37" s="181"/>
      <c r="D37" s="199"/>
      <c r="E37" s="186"/>
      <c r="F37" s="292">
        <f t="shared" ref="F37:BQ37" si="434">F31-F38</f>
        <v>2.0409375000000001</v>
      </c>
      <c r="G37" s="188">
        <f t="shared" si="434"/>
        <v>2.697679924242423</v>
      </c>
      <c r="H37" s="292">
        <f t="shared" si="434"/>
        <v>2.0409375000000001</v>
      </c>
      <c r="I37" s="188">
        <f t="shared" si="434"/>
        <v>2.697679924242423</v>
      </c>
      <c r="J37" s="292">
        <f t="shared" si="434"/>
        <v>2.4369374999999991</v>
      </c>
      <c r="K37" s="188">
        <f t="shared" si="434"/>
        <v>2.9976799242424228</v>
      </c>
      <c r="L37" s="292">
        <f t="shared" si="434"/>
        <v>2.4369374999999991</v>
      </c>
      <c r="M37" s="188">
        <f t="shared" si="434"/>
        <v>2.9976799242424228</v>
      </c>
      <c r="N37" s="292">
        <f t="shared" si="434"/>
        <v>1.9749374999999993</v>
      </c>
      <c r="O37" s="188">
        <f t="shared" si="434"/>
        <v>2.6476799242424223</v>
      </c>
      <c r="P37" s="292">
        <f t="shared" si="434"/>
        <v>2.2989374999999974</v>
      </c>
      <c r="Q37" s="188">
        <f t="shared" si="434"/>
        <v>2.9537405303030297</v>
      </c>
      <c r="R37" s="292">
        <f t="shared" si="434"/>
        <v>2.2989374999999974</v>
      </c>
      <c r="S37" s="188">
        <f t="shared" si="434"/>
        <v>2.9537405303030297</v>
      </c>
      <c r="T37" s="292">
        <f t="shared" si="434"/>
        <v>1.7709374999999987</v>
      </c>
      <c r="U37" s="188">
        <f t="shared" si="434"/>
        <v>2.5537405303030303</v>
      </c>
      <c r="V37" s="292">
        <f t="shared" si="434"/>
        <v>2.1709374999999991</v>
      </c>
      <c r="W37" s="188">
        <f t="shared" si="434"/>
        <v>2.8567708333333313</v>
      </c>
      <c r="X37" s="292">
        <f t="shared" si="434"/>
        <v>2.1869374999999991</v>
      </c>
      <c r="Y37" s="188">
        <f t="shared" si="434"/>
        <v>2.9067708333333311</v>
      </c>
      <c r="Z37" s="292">
        <f t="shared" si="434"/>
        <v>2.1869374999999991</v>
      </c>
      <c r="AA37" s="188">
        <f t="shared" si="434"/>
        <v>2.9067708333333311</v>
      </c>
      <c r="AB37" s="292">
        <f t="shared" si="434"/>
        <v>2.1869374999999991</v>
      </c>
      <c r="AC37" s="188">
        <f t="shared" si="434"/>
        <v>2.9067708333333311</v>
      </c>
      <c r="AD37" s="292">
        <f t="shared" si="434"/>
        <v>2.2309374999999996</v>
      </c>
      <c r="AE37" s="188">
        <f t="shared" si="434"/>
        <v>1.690104166666667</v>
      </c>
      <c r="AF37" s="292">
        <f t="shared" si="434"/>
        <v>1.6194791666666664</v>
      </c>
      <c r="AG37" s="188">
        <f t="shared" si="434"/>
        <v>2.356770833333333</v>
      </c>
      <c r="AH37" s="292">
        <f t="shared" si="434"/>
        <v>2.2309374999999996</v>
      </c>
      <c r="AI37" s="188">
        <f t="shared" si="434"/>
        <v>2.9628314393939386</v>
      </c>
      <c r="AJ37" s="292">
        <f t="shared" si="434"/>
        <v>2.2309374999999996</v>
      </c>
      <c r="AK37" s="188">
        <f t="shared" si="434"/>
        <v>2.9628314393939386</v>
      </c>
      <c r="AL37" s="292">
        <f t="shared" si="434"/>
        <v>2.2309374999999996</v>
      </c>
      <c r="AM37" s="188">
        <f t="shared" si="434"/>
        <v>2.9628314393939386</v>
      </c>
      <c r="AN37" s="292">
        <f t="shared" si="434"/>
        <v>2.2309374999999996</v>
      </c>
      <c r="AO37" s="188">
        <f t="shared" si="434"/>
        <v>2.9628314393939386</v>
      </c>
      <c r="AP37" s="292">
        <f t="shared" si="434"/>
        <v>2.2309374999999996</v>
      </c>
      <c r="AQ37" s="188">
        <f t="shared" si="434"/>
        <v>2.9628314393939386</v>
      </c>
      <c r="AR37" s="292">
        <f t="shared" si="434"/>
        <v>2.2309374999999996</v>
      </c>
      <c r="AS37" s="188">
        <f t="shared" si="434"/>
        <v>1.690104166666667</v>
      </c>
      <c r="AT37" s="292">
        <f t="shared" si="434"/>
        <v>2.2309374999999996</v>
      </c>
      <c r="AU37" s="188">
        <f t="shared" si="434"/>
        <v>1.690104166666667</v>
      </c>
      <c r="AV37" s="292">
        <f t="shared" si="434"/>
        <v>2.2309374999999996</v>
      </c>
      <c r="AW37" s="188">
        <f t="shared" si="434"/>
        <v>1.690104166666667</v>
      </c>
      <c r="AX37" s="292">
        <f t="shared" si="434"/>
        <v>2.2309374999999996</v>
      </c>
      <c r="AY37" s="188">
        <f t="shared" si="434"/>
        <v>1.690104166666667</v>
      </c>
      <c r="AZ37" s="292">
        <f t="shared" si="434"/>
        <v>2.2309374999999996</v>
      </c>
      <c r="BA37" s="188">
        <f t="shared" si="434"/>
        <v>1.690104166666667</v>
      </c>
      <c r="BB37" s="292">
        <f t="shared" si="434"/>
        <v>2.2309374999999996</v>
      </c>
      <c r="BC37" s="188">
        <f t="shared" si="434"/>
        <v>1.690104166666667</v>
      </c>
      <c r="BD37" s="292">
        <f t="shared" si="434"/>
        <v>2.2309374999999996</v>
      </c>
      <c r="BE37" s="188">
        <f t="shared" si="434"/>
        <v>1.690104166666667</v>
      </c>
      <c r="BF37" s="292">
        <f t="shared" si="434"/>
        <v>2.2309374999999996</v>
      </c>
      <c r="BG37" s="188">
        <f t="shared" si="434"/>
        <v>1.690104166666667</v>
      </c>
      <c r="BH37" s="292">
        <f t="shared" si="434"/>
        <v>2.2309374999999996</v>
      </c>
      <c r="BI37" s="188">
        <f t="shared" si="434"/>
        <v>1.690104166666667</v>
      </c>
      <c r="BJ37" s="292">
        <f t="shared" si="434"/>
        <v>2.2309374999999996</v>
      </c>
      <c r="BK37" s="188">
        <f t="shared" si="434"/>
        <v>1.690104166666667</v>
      </c>
      <c r="BL37" s="292">
        <f t="shared" si="434"/>
        <v>2.2309374999999996</v>
      </c>
      <c r="BM37" s="188">
        <f t="shared" si="434"/>
        <v>1.690104166666667</v>
      </c>
      <c r="BN37" s="292">
        <f t="shared" si="434"/>
        <v>2.2309374999999996</v>
      </c>
      <c r="BO37" s="188">
        <f t="shared" si="434"/>
        <v>1.690104166666667</v>
      </c>
      <c r="BP37" s="292">
        <f t="shared" si="434"/>
        <v>2.2309374999999996</v>
      </c>
      <c r="BQ37" s="188">
        <f t="shared" si="434"/>
        <v>1.690104166666667</v>
      </c>
      <c r="BR37" s="292">
        <f t="shared" ref="BR37:CS37" si="435">BR31-BR38</f>
        <v>2.2309374999999996</v>
      </c>
      <c r="BS37" s="188">
        <f t="shared" si="435"/>
        <v>1.690104166666667</v>
      </c>
      <c r="BT37" s="292">
        <f t="shared" si="435"/>
        <v>2.2309374999999996</v>
      </c>
      <c r="BU37" s="188">
        <f t="shared" si="435"/>
        <v>1.690104166666667</v>
      </c>
      <c r="BV37" s="292">
        <f t="shared" si="435"/>
        <v>2.2309374999999996</v>
      </c>
      <c r="BW37" s="188">
        <f t="shared" si="435"/>
        <v>1.690104166666667</v>
      </c>
      <c r="BX37" s="292">
        <f t="shared" si="435"/>
        <v>2.2309374999999996</v>
      </c>
      <c r="BY37" s="188">
        <f t="shared" si="435"/>
        <v>1.690104166666667</v>
      </c>
      <c r="BZ37" s="292">
        <f t="shared" si="435"/>
        <v>2.2309374999999996</v>
      </c>
      <c r="CA37" s="188">
        <f t="shared" si="435"/>
        <v>1.690104166666667</v>
      </c>
      <c r="CB37" s="292">
        <f t="shared" si="435"/>
        <v>2.2309374999999996</v>
      </c>
      <c r="CC37" s="188">
        <f t="shared" si="435"/>
        <v>1.690104166666667</v>
      </c>
      <c r="CD37" s="292">
        <f t="shared" si="435"/>
        <v>2.2309374999999996</v>
      </c>
      <c r="CE37" s="188">
        <f t="shared" si="435"/>
        <v>1.690104166666667</v>
      </c>
      <c r="CF37" s="292">
        <f t="shared" si="435"/>
        <v>2.2309374999999996</v>
      </c>
      <c r="CG37" s="188">
        <f t="shared" si="435"/>
        <v>1.690104166666667</v>
      </c>
      <c r="CH37" s="292">
        <f t="shared" si="435"/>
        <v>2.2309374999999996</v>
      </c>
      <c r="CI37" s="188">
        <f t="shared" si="435"/>
        <v>1.690104166666667</v>
      </c>
      <c r="CJ37" s="292">
        <f t="shared" si="435"/>
        <v>2.2309374999999996</v>
      </c>
      <c r="CK37" s="188">
        <f t="shared" si="435"/>
        <v>1.690104166666667</v>
      </c>
      <c r="CL37" s="292">
        <f t="shared" si="435"/>
        <v>2.2309374999999996</v>
      </c>
      <c r="CM37" s="188">
        <f t="shared" si="435"/>
        <v>1.690104166666667</v>
      </c>
      <c r="CN37" s="292">
        <f t="shared" si="435"/>
        <v>2.2309374999999996</v>
      </c>
      <c r="CO37" s="188">
        <f t="shared" si="435"/>
        <v>1.690104166666667</v>
      </c>
      <c r="CP37" s="292">
        <f t="shared" si="435"/>
        <v>2.2309374999999996</v>
      </c>
      <c r="CQ37" s="188">
        <f t="shared" si="435"/>
        <v>1.690104166666667</v>
      </c>
      <c r="CR37" s="292">
        <f t="shared" si="435"/>
        <v>2.2309374999999996</v>
      </c>
      <c r="CS37" s="188">
        <f t="shared" si="435"/>
        <v>1.690104166666667</v>
      </c>
      <c r="CT37" s="201"/>
      <c r="CU37" s="292">
        <f t="shared" ref="CU37:FF37" si="436">CU31-CU38</f>
        <v>2.9958525345622107</v>
      </c>
      <c r="CV37" s="188">
        <f t="shared" si="436"/>
        <v>2.2695852534562206</v>
      </c>
      <c r="CW37" s="292">
        <f t="shared" si="436"/>
        <v>2.9958525345622107</v>
      </c>
      <c r="CX37" s="188">
        <f t="shared" si="436"/>
        <v>2.2695852534562206</v>
      </c>
      <c r="CY37" s="292">
        <f t="shared" si="436"/>
        <v>2.5998525345622117</v>
      </c>
      <c r="CZ37" s="188">
        <f t="shared" si="436"/>
        <v>1.9695852534562217</v>
      </c>
      <c r="DA37" s="292">
        <f t="shared" si="436"/>
        <v>2.6098525345622114</v>
      </c>
      <c r="DB37" s="188">
        <f t="shared" si="436"/>
        <v>1.9771610110319777</v>
      </c>
      <c r="DC37" s="292">
        <f t="shared" si="436"/>
        <v>2.7078525345622086</v>
      </c>
      <c r="DD37" s="188">
        <f t="shared" si="436"/>
        <v>2.0514034352744002</v>
      </c>
      <c r="DE37" s="292">
        <f t="shared" si="436"/>
        <v>1.8174193548387088</v>
      </c>
      <c r="DF37" s="188">
        <f t="shared" si="436"/>
        <v>1.2981566820276491</v>
      </c>
      <c r="DG37" s="292">
        <f t="shared" si="436"/>
        <v>2.7078525345622086</v>
      </c>
      <c r="DH37" s="188">
        <f t="shared" si="436"/>
        <v>2.0514034352744002</v>
      </c>
      <c r="DI37" s="292">
        <f t="shared" si="436"/>
        <v>2.7078525345622086</v>
      </c>
      <c r="DJ37" s="188">
        <f t="shared" si="436"/>
        <v>2.0514034352744002</v>
      </c>
      <c r="DK37" s="292">
        <f t="shared" si="436"/>
        <v>2.7078525345622086</v>
      </c>
      <c r="DL37" s="188">
        <f t="shared" si="436"/>
        <v>2.0514034352744002</v>
      </c>
      <c r="DM37" s="292">
        <f t="shared" si="436"/>
        <v>2.7078525345622086</v>
      </c>
      <c r="DN37" s="188">
        <f t="shared" si="436"/>
        <v>2.0514034352744002</v>
      </c>
      <c r="DO37" s="292">
        <f t="shared" si="436"/>
        <v>2.7078525345622086</v>
      </c>
      <c r="DP37" s="188">
        <f t="shared" si="436"/>
        <v>2.0514034352744002</v>
      </c>
      <c r="DQ37" s="292">
        <f t="shared" si="436"/>
        <v>2.7078525345622086</v>
      </c>
      <c r="DR37" s="188">
        <f t="shared" si="436"/>
        <v>2.0514034352744002</v>
      </c>
      <c r="DS37" s="292">
        <f t="shared" si="436"/>
        <v>2.7078525345622086</v>
      </c>
      <c r="DT37" s="188">
        <f t="shared" si="436"/>
        <v>2.0514034352744002</v>
      </c>
      <c r="DU37" s="292">
        <f t="shared" si="436"/>
        <v>2.7078525345622086</v>
      </c>
      <c r="DV37" s="188">
        <f t="shared" si="436"/>
        <v>2.0514034352744002</v>
      </c>
      <c r="DW37" s="292">
        <f t="shared" si="436"/>
        <v>2.7078525345622086</v>
      </c>
      <c r="DX37" s="188">
        <f t="shared" si="436"/>
        <v>2.0514034352744002</v>
      </c>
      <c r="DY37" s="292">
        <f t="shared" si="436"/>
        <v>2.7078525345622086</v>
      </c>
      <c r="DZ37" s="188">
        <f t="shared" si="436"/>
        <v>2.0514034352744002</v>
      </c>
      <c r="EA37" s="292">
        <f t="shared" si="436"/>
        <v>2.7078525345622086</v>
      </c>
      <c r="EB37" s="188">
        <f t="shared" si="436"/>
        <v>2.0514034352744002</v>
      </c>
      <c r="EC37" s="292">
        <f t="shared" si="436"/>
        <v>2.7078525345622086</v>
      </c>
      <c r="ED37" s="188">
        <f t="shared" si="436"/>
        <v>2.0514034352744002</v>
      </c>
      <c r="EE37" s="292">
        <f t="shared" si="436"/>
        <v>2.7078525345622086</v>
      </c>
      <c r="EF37" s="188">
        <f t="shared" si="436"/>
        <v>2.0514034352744002</v>
      </c>
      <c r="EG37" s="292">
        <f t="shared" si="436"/>
        <v>2.7078525345622086</v>
      </c>
      <c r="EH37" s="188">
        <f t="shared" si="436"/>
        <v>2.0514034352744002</v>
      </c>
      <c r="EI37" s="292">
        <f t="shared" si="436"/>
        <v>2.7078525345622086</v>
      </c>
      <c r="EJ37" s="188">
        <f t="shared" si="436"/>
        <v>2.0514034352744002</v>
      </c>
      <c r="EK37" s="292">
        <f t="shared" si="436"/>
        <v>2.7078525345622086</v>
      </c>
      <c r="EL37" s="188">
        <f t="shared" si="436"/>
        <v>2.0514034352744002</v>
      </c>
      <c r="EM37" s="292">
        <f t="shared" si="436"/>
        <v>2.7078525345622086</v>
      </c>
      <c r="EN37" s="188">
        <f t="shared" si="436"/>
        <v>2.0514034352744002</v>
      </c>
      <c r="EO37" s="292">
        <f t="shared" si="436"/>
        <v>2.7078525345622086</v>
      </c>
      <c r="EP37" s="188">
        <f t="shared" si="436"/>
        <v>2.0514034352744002</v>
      </c>
      <c r="EQ37" s="292">
        <f t="shared" si="436"/>
        <v>2.7078525345622086</v>
      </c>
      <c r="ER37" s="188">
        <f t="shared" si="436"/>
        <v>2.0514034352744002</v>
      </c>
      <c r="ES37" s="292">
        <f t="shared" si="436"/>
        <v>2.7078525345622086</v>
      </c>
      <c r="ET37" s="188">
        <f t="shared" si="436"/>
        <v>2.0514034352744002</v>
      </c>
      <c r="EU37" s="292">
        <f t="shared" si="436"/>
        <v>2.7078525345622086</v>
      </c>
      <c r="EV37" s="188">
        <f t="shared" si="436"/>
        <v>2.0514034352744002</v>
      </c>
      <c r="EW37" s="292">
        <f t="shared" si="436"/>
        <v>2.7078525345622086</v>
      </c>
      <c r="EX37" s="188">
        <f t="shared" si="436"/>
        <v>2.0514034352744002</v>
      </c>
      <c r="EY37" s="292">
        <f t="shared" si="436"/>
        <v>2.7078525345622086</v>
      </c>
      <c r="EZ37" s="188">
        <f t="shared" si="436"/>
        <v>2.0514034352744002</v>
      </c>
      <c r="FA37" s="292">
        <f t="shared" si="436"/>
        <v>2.7078525345622086</v>
      </c>
      <c r="FB37" s="188">
        <f t="shared" si="436"/>
        <v>2.0514034352744002</v>
      </c>
      <c r="FC37" s="292">
        <f t="shared" si="436"/>
        <v>2.7078525345622086</v>
      </c>
      <c r="FD37" s="188">
        <f t="shared" si="436"/>
        <v>2.0514034352744002</v>
      </c>
      <c r="FE37" s="292">
        <f t="shared" si="436"/>
        <v>2.7078525345622086</v>
      </c>
      <c r="FF37" s="188">
        <f t="shared" si="436"/>
        <v>2.0514034352744002</v>
      </c>
      <c r="FG37" s="292">
        <f t="shared" ref="FG37:FP37" si="437">FG31-FG38</f>
        <v>2.7078525345622086</v>
      </c>
      <c r="FH37" s="188">
        <f t="shared" si="437"/>
        <v>2.0514034352744002</v>
      </c>
      <c r="FI37" s="292">
        <f t="shared" si="437"/>
        <v>2.7078525345622086</v>
      </c>
      <c r="FJ37" s="188">
        <f t="shared" si="437"/>
        <v>2.0514034352744002</v>
      </c>
      <c r="FK37" s="292">
        <f t="shared" si="437"/>
        <v>2.7078525345622086</v>
      </c>
      <c r="FL37" s="188">
        <f t="shared" si="437"/>
        <v>2.0514034352744002</v>
      </c>
      <c r="FM37" s="292">
        <f t="shared" si="437"/>
        <v>2.7078525345622086</v>
      </c>
      <c r="FN37" s="188">
        <f t="shared" si="437"/>
        <v>2.0514034352744002</v>
      </c>
      <c r="FO37" s="292">
        <f t="shared" si="437"/>
        <v>2.7078525345622086</v>
      </c>
      <c r="FP37" s="188">
        <f t="shared" si="437"/>
        <v>2.0514034352744002</v>
      </c>
      <c r="FQ37" s="186"/>
      <c r="FR37" s="292">
        <f t="shared" ref="FR37:IC37" si="438">FR31-FR38</f>
        <v>2.4369374999999991</v>
      </c>
      <c r="FS37" s="188">
        <f t="shared" si="438"/>
        <v>2.9976799242424228</v>
      </c>
      <c r="FT37" s="292">
        <f t="shared" si="438"/>
        <v>1.9749374999999993</v>
      </c>
      <c r="FU37" s="188">
        <f t="shared" si="438"/>
        <v>2.6476799242424223</v>
      </c>
      <c r="FV37" s="292">
        <f t="shared" si="438"/>
        <v>2.2989374999999974</v>
      </c>
      <c r="FW37" s="188">
        <f t="shared" si="438"/>
        <v>2.9537405303030297</v>
      </c>
      <c r="FX37" s="292">
        <f t="shared" si="438"/>
        <v>2.2989374999999974</v>
      </c>
      <c r="FY37" s="188">
        <f t="shared" si="438"/>
        <v>2.9537405303030297</v>
      </c>
      <c r="FZ37" s="292">
        <f t="shared" si="438"/>
        <v>1.7709374999999987</v>
      </c>
      <c r="GA37" s="188">
        <f t="shared" si="438"/>
        <v>2.5537405303030303</v>
      </c>
      <c r="GB37" s="292">
        <f t="shared" si="438"/>
        <v>2.1709374999999991</v>
      </c>
      <c r="GC37" s="188">
        <f t="shared" si="438"/>
        <v>2.8567708333333313</v>
      </c>
      <c r="GD37" s="292">
        <f t="shared" si="438"/>
        <v>2.1869374999999991</v>
      </c>
      <c r="GE37" s="188">
        <f t="shared" si="438"/>
        <v>2.9067708333333311</v>
      </c>
      <c r="GF37" s="292">
        <f t="shared" si="438"/>
        <v>2.1869374999999991</v>
      </c>
      <c r="GG37" s="188">
        <f t="shared" si="438"/>
        <v>2.9067708333333311</v>
      </c>
      <c r="GH37" s="292">
        <f t="shared" si="438"/>
        <v>2.1869374999999991</v>
      </c>
      <c r="GI37" s="188">
        <f t="shared" si="438"/>
        <v>2.9067708333333311</v>
      </c>
      <c r="GJ37" s="292">
        <f t="shared" si="438"/>
        <v>2.3869375000000019</v>
      </c>
      <c r="GK37" s="188">
        <f t="shared" si="438"/>
        <v>1.8082859848484851</v>
      </c>
      <c r="GL37" s="292">
        <f t="shared" si="438"/>
        <v>1.7194791666666696</v>
      </c>
      <c r="GM37" s="188">
        <f t="shared" si="438"/>
        <v>2.5139136904761923</v>
      </c>
      <c r="GN37" s="292">
        <f t="shared" si="438"/>
        <v>2.3869375000000019</v>
      </c>
      <c r="GO37" s="188">
        <f t="shared" si="438"/>
        <v>3.1719223484848484</v>
      </c>
      <c r="GP37" s="292">
        <f t="shared" si="438"/>
        <v>2.3869375000000019</v>
      </c>
      <c r="GQ37" s="188">
        <f t="shared" si="438"/>
        <v>3.1719223484848484</v>
      </c>
      <c r="GR37" s="292">
        <f t="shared" si="438"/>
        <v>2.3869375000000019</v>
      </c>
      <c r="GS37" s="188">
        <f t="shared" si="438"/>
        <v>3.1719223484848484</v>
      </c>
      <c r="GT37" s="292">
        <f t="shared" si="438"/>
        <v>2.3869375000000019</v>
      </c>
      <c r="GU37" s="188">
        <f t="shared" si="438"/>
        <v>3.1719223484848484</v>
      </c>
      <c r="GV37" s="292">
        <f t="shared" si="438"/>
        <v>2.3869375000000019</v>
      </c>
      <c r="GW37" s="188">
        <f t="shared" si="438"/>
        <v>3.1719223484848484</v>
      </c>
      <c r="GX37" s="292">
        <f t="shared" si="438"/>
        <v>2.3869375000000019</v>
      </c>
      <c r="GY37" s="188">
        <f t="shared" si="438"/>
        <v>1.8082859848484851</v>
      </c>
      <c r="GZ37" s="292">
        <f t="shared" si="438"/>
        <v>2.3869375000000019</v>
      </c>
      <c r="HA37" s="188">
        <f t="shared" si="438"/>
        <v>1.8082859848484851</v>
      </c>
      <c r="HB37" s="292">
        <f t="shared" si="438"/>
        <v>2.3869375000000019</v>
      </c>
      <c r="HC37" s="188">
        <f t="shared" si="438"/>
        <v>1.8082859848484851</v>
      </c>
      <c r="HD37" s="292">
        <f t="shared" si="438"/>
        <v>2.3869375000000019</v>
      </c>
      <c r="HE37" s="188">
        <f t="shared" si="438"/>
        <v>1.8082859848484851</v>
      </c>
      <c r="HF37" s="292">
        <f t="shared" si="438"/>
        <v>2.3869375000000019</v>
      </c>
      <c r="HG37" s="188">
        <f t="shared" si="438"/>
        <v>1.8082859848484851</v>
      </c>
      <c r="HH37" s="292">
        <f t="shared" si="438"/>
        <v>2.3869375000000019</v>
      </c>
      <c r="HI37" s="188">
        <f t="shared" si="438"/>
        <v>1.8082859848484851</v>
      </c>
      <c r="HJ37" s="292">
        <f t="shared" si="438"/>
        <v>2.3869375000000019</v>
      </c>
      <c r="HK37" s="188">
        <f t="shared" si="438"/>
        <v>1.8082859848484851</v>
      </c>
      <c r="HL37" s="292">
        <f t="shared" si="438"/>
        <v>2.3869375000000019</v>
      </c>
      <c r="HM37" s="188">
        <f t="shared" si="438"/>
        <v>1.8082859848484851</v>
      </c>
      <c r="HN37" s="292">
        <f t="shared" si="438"/>
        <v>2.3869375000000019</v>
      </c>
      <c r="HO37" s="188">
        <f t="shared" si="438"/>
        <v>1.8082859848484851</v>
      </c>
      <c r="HP37" s="292">
        <f t="shared" si="438"/>
        <v>2.3869375000000019</v>
      </c>
      <c r="HQ37" s="188">
        <f t="shared" si="438"/>
        <v>1.8082859848484851</v>
      </c>
      <c r="HR37" s="292">
        <f t="shared" si="438"/>
        <v>2.3869375000000019</v>
      </c>
      <c r="HS37" s="188">
        <f t="shared" si="438"/>
        <v>1.8082859848484851</v>
      </c>
      <c r="HT37" s="292">
        <f t="shared" si="438"/>
        <v>2.3869375000000019</v>
      </c>
      <c r="HU37" s="188">
        <f t="shared" si="438"/>
        <v>1.8082859848484851</v>
      </c>
      <c r="HV37" s="292">
        <f t="shared" si="438"/>
        <v>2.3869375000000019</v>
      </c>
      <c r="HW37" s="188">
        <f t="shared" si="438"/>
        <v>1.8082859848484851</v>
      </c>
      <c r="HX37" s="292">
        <f t="shared" si="438"/>
        <v>2.3869375000000019</v>
      </c>
      <c r="HY37" s="188">
        <f t="shared" si="438"/>
        <v>1.8082859848484851</v>
      </c>
      <c r="HZ37" s="292">
        <f t="shared" si="438"/>
        <v>2.3869375000000019</v>
      </c>
      <c r="IA37" s="188">
        <f t="shared" si="438"/>
        <v>1.8082859848484851</v>
      </c>
      <c r="IB37" s="292">
        <f t="shared" si="438"/>
        <v>2.3869375000000019</v>
      </c>
      <c r="IC37" s="188">
        <f t="shared" si="438"/>
        <v>1.8082859848484851</v>
      </c>
      <c r="ID37" s="292">
        <f t="shared" ref="ID37:IY37" si="439">ID31-ID38</f>
        <v>2.3869375000000019</v>
      </c>
      <c r="IE37" s="188">
        <f t="shared" si="439"/>
        <v>1.8082859848484851</v>
      </c>
      <c r="IF37" s="292">
        <f t="shared" si="439"/>
        <v>2.3869375000000019</v>
      </c>
      <c r="IG37" s="188">
        <f t="shared" si="439"/>
        <v>1.8082859848484851</v>
      </c>
      <c r="IH37" s="292">
        <f t="shared" si="439"/>
        <v>2.3869375000000019</v>
      </c>
      <c r="II37" s="188">
        <f t="shared" si="439"/>
        <v>1.8082859848484851</v>
      </c>
      <c r="IJ37" s="292">
        <f t="shared" si="439"/>
        <v>2.3869375000000019</v>
      </c>
      <c r="IK37" s="188">
        <f t="shared" si="439"/>
        <v>1.8082859848484851</v>
      </c>
      <c r="IL37" s="292">
        <f t="shared" si="439"/>
        <v>2.3869375000000019</v>
      </c>
      <c r="IM37" s="188">
        <f t="shared" si="439"/>
        <v>1.8082859848484851</v>
      </c>
      <c r="IN37" s="292">
        <f t="shared" si="439"/>
        <v>2.3869375000000019</v>
      </c>
      <c r="IO37" s="188">
        <f t="shared" si="439"/>
        <v>1.8082859848484851</v>
      </c>
      <c r="IP37" s="292">
        <f t="shared" si="439"/>
        <v>2.3869375000000019</v>
      </c>
      <c r="IQ37" s="188">
        <f t="shared" si="439"/>
        <v>1.8082859848484851</v>
      </c>
      <c r="IR37" s="292">
        <f t="shared" si="439"/>
        <v>2.3869375000000019</v>
      </c>
      <c r="IS37" s="188">
        <f t="shared" si="439"/>
        <v>1.8082859848484851</v>
      </c>
      <c r="IT37" s="292">
        <f t="shared" si="439"/>
        <v>2.3869375000000019</v>
      </c>
      <c r="IU37" s="188">
        <f t="shared" si="439"/>
        <v>1.8082859848484851</v>
      </c>
      <c r="IV37" s="292">
        <f t="shared" si="439"/>
        <v>2.3869375000000019</v>
      </c>
      <c r="IW37" s="188">
        <f t="shared" si="439"/>
        <v>1.8082859848484851</v>
      </c>
      <c r="IX37" s="292">
        <f t="shared" si="439"/>
        <v>2.3869375000000019</v>
      </c>
      <c r="IY37" s="188">
        <f t="shared" si="439"/>
        <v>1.8082859848484851</v>
      </c>
      <c r="IZ37" s="186"/>
      <c r="JA37" s="292">
        <f>JA31-JA38</f>
        <v>1.8200729166666676</v>
      </c>
      <c r="JB37" s="188">
        <f>JB31-JB38</f>
        <v>1.3582633706467675</v>
      </c>
      <c r="JC37" s="292">
        <f>JC31-JC38</f>
        <v>1.8200729166666676</v>
      </c>
      <c r="JD37" s="188">
        <f>JD31-JD38</f>
        <v>1.3582633706467675</v>
      </c>
      <c r="JE37" s="186"/>
      <c r="JF37" s="292">
        <f t="shared" ref="JF37:LQ37" si="440">JF31-JF38</f>
        <v>2.2751428571428578</v>
      </c>
      <c r="JG37" s="188">
        <f t="shared" si="440"/>
        <v>1.723593073593074</v>
      </c>
      <c r="JH37" s="292">
        <f t="shared" si="440"/>
        <v>1.8131428571428572</v>
      </c>
      <c r="JI37" s="188">
        <f t="shared" si="440"/>
        <v>1.3735930735930735</v>
      </c>
      <c r="JJ37" s="292">
        <f t="shared" si="440"/>
        <v>2.1231428571428577</v>
      </c>
      <c r="JK37" s="188">
        <f t="shared" si="440"/>
        <v>1.6084415584415588</v>
      </c>
      <c r="JL37" s="292">
        <f t="shared" si="440"/>
        <v>2.1231428571428577</v>
      </c>
      <c r="JM37" s="188">
        <f t="shared" si="440"/>
        <v>1.6084415584415588</v>
      </c>
      <c r="JN37" s="292">
        <f t="shared" si="440"/>
        <v>1.4631428571428575</v>
      </c>
      <c r="JO37" s="188">
        <f t="shared" si="440"/>
        <v>1.1084415584415588</v>
      </c>
      <c r="JP37" s="292">
        <f t="shared" si="440"/>
        <v>1.8831428571428575</v>
      </c>
      <c r="JQ37" s="188">
        <f t="shared" si="440"/>
        <v>1.4266233766233771</v>
      </c>
      <c r="JR37" s="292">
        <f t="shared" si="440"/>
        <v>1.8831428571428575</v>
      </c>
      <c r="JS37" s="188">
        <f t="shared" si="440"/>
        <v>1.4266233766233771</v>
      </c>
      <c r="JT37" s="292">
        <f t="shared" si="440"/>
        <v>1.8831428571428575</v>
      </c>
      <c r="JU37" s="188">
        <f t="shared" si="440"/>
        <v>1.4266233766233771</v>
      </c>
      <c r="JV37" s="292">
        <f t="shared" si="440"/>
        <v>1.3200000000000021</v>
      </c>
      <c r="JW37" s="188">
        <f t="shared" si="440"/>
        <v>0.94285714285714395</v>
      </c>
      <c r="JX37" s="292">
        <f t="shared" si="440"/>
        <v>1.8674285714285723</v>
      </c>
      <c r="JY37" s="188">
        <f t="shared" si="440"/>
        <v>1.4147186147186153</v>
      </c>
      <c r="JZ37" s="292">
        <f t="shared" si="440"/>
        <v>1.8674285714285723</v>
      </c>
      <c r="KA37" s="188">
        <f t="shared" si="440"/>
        <v>1.4147186147186153</v>
      </c>
      <c r="KB37" s="292">
        <f t="shared" si="440"/>
        <v>1.8674285714285723</v>
      </c>
      <c r="KC37" s="188">
        <f t="shared" si="440"/>
        <v>1.4147186147186153</v>
      </c>
      <c r="KD37" s="292">
        <f t="shared" si="440"/>
        <v>1.8674285714285723</v>
      </c>
      <c r="KE37" s="188">
        <f t="shared" si="440"/>
        <v>1.4147186147186153</v>
      </c>
      <c r="KF37" s="292">
        <f t="shared" si="440"/>
        <v>1.8674285714285723</v>
      </c>
      <c r="KG37" s="188">
        <f t="shared" si="440"/>
        <v>1.4147186147186153</v>
      </c>
      <c r="KH37" s="292">
        <f t="shared" si="440"/>
        <v>1.8674285714285723</v>
      </c>
      <c r="KI37" s="188">
        <f t="shared" si="440"/>
        <v>1.4147186147186153</v>
      </c>
      <c r="KJ37" s="292">
        <f t="shared" si="440"/>
        <v>1.8674285714285723</v>
      </c>
      <c r="KK37" s="188">
        <f t="shared" si="440"/>
        <v>1.4147186147186153</v>
      </c>
      <c r="KL37" s="292">
        <f t="shared" si="440"/>
        <v>1.8674285714285723</v>
      </c>
      <c r="KM37" s="188">
        <f t="shared" si="440"/>
        <v>1.4147186147186153</v>
      </c>
      <c r="KN37" s="292">
        <f t="shared" si="440"/>
        <v>1.8674285714285723</v>
      </c>
      <c r="KO37" s="188">
        <f t="shared" si="440"/>
        <v>1.4147186147186153</v>
      </c>
      <c r="KP37" s="292">
        <f t="shared" si="440"/>
        <v>1.8674285714285723</v>
      </c>
      <c r="KQ37" s="188">
        <f t="shared" si="440"/>
        <v>1.4147186147186153</v>
      </c>
      <c r="KR37" s="292">
        <f t="shared" si="440"/>
        <v>1.8674285714285723</v>
      </c>
      <c r="KS37" s="188">
        <f t="shared" si="440"/>
        <v>1.4147186147186153</v>
      </c>
      <c r="KT37" s="292">
        <f t="shared" si="440"/>
        <v>1.8674285714285723</v>
      </c>
      <c r="KU37" s="188">
        <f t="shared" si="440"/>
        <v>1.4147186147186153</v>
      </c>
      <c r="KV37" s="292">
        <f t="shared" si="440"/>
        <v>1.8674285714285723</v>
      </c>
      <c r="KW37" s="188">
        <f t="shared" si="440"/>
        <v>1.4147186147186153</v>
      </c>
      <c r="KX37" s="292">
        <f t="shared" si="440"/>
        <v>1.8674285714285723</v>
      </c>
      <c r="KY37" s="188">
        <f t="shared" si="440"/>
        <v>1.4147186147186153</v>
      </c>
      <c r="KZ37" s="292">
        <f t="shared" si="440"/>
        <v>1.8674285714285723</v>
      </c>
      <c r="LA37" s="188">
        <f t="shared" si="440"/>
        <v>1.4147186147186153</v>
      </c>
      <c r="LB37" s="292">
        <f t="shared" si="440"/>
        <v>1.8674285714285723</v>
      </c>
      <c r="LC37" s="188">
        <f t="shared" si="440"/>
        <v>1.4147186147186153</v>
      </c>
      <c r="LD37" s="292">
        <f t="shared" si="440"/>
        <v>1.8674285714285723</v>
      </c>
      <c r="LE37" s="188">
        <f t="shared" si="440"/>
        <v>1.4147186147186153</v>
      </c>
      <c r="LF37" s="292">
        <f t="shared" si="440"/>
        <v>1.8674285714285723</v>
      </c>
      <c r="LG37" s="188">
        <f t="shared" si="440"/>
        <v>1.4147186147186153</v>
      </c>
      <c r="LH37" s="292">
        <f t="shared" si="440"/>
        <v>1.8674285714285723</v>
      </c>
      <c r="LI37" s="188">
        <f t="shared" si="440"/>
        <v>1.4147186147186153</v>
      </c>
      <c r="LJ37" s="292">
        <f t="shared" si="440"/>
        <v>1.8674285714285723</v>
      </c>
      <c r="LK37" s="188">
        <f t="shared" si="440"/>
        <v>1.4147186147186153</v>
      </c>
      <c r="LL37" s="292">
        <f t="shared" si="440"/>
        <v>1.8674285714285723</v>
      </c>
      <c r="LM37" s="188">
        <f t="shared" si="440"/>
        <v>1.4147186147186153</v>
      </c>
      <c r="LN37" s="292">
        <f t="shared" si="440"/>
        <v>1.8674285714285723</v>
      </c>
      <c r="LO37" s="188">
        <f t="shared" si="440"/>
        <v>1.4147186147186153</v>
      </c>
      <c r="LP37" s="292">
        <f t="shared" si="440"/>
        <v>1.8674285714285723</v>
      </c>
      <c r="LQ37" s="188">
        <f t="shared" si="440"/>
        <v>1.4147186147186153</v>
      </c>
      <c r="LR37" s="292">
        <f t="shared" ref="LR37:MG37" si="441">LR31-LR38</f>
        <v>1.8674285714285723</v>
      </c>
      <c r="LS37" s="188">
        <f t="shared" si="441"/>
        <v>1.4147186147186153</v>
      </c>
      <c r="LT37" s="292">
        <f t="shared" si="441"/>
        <v>1.8674285714285723</v>
      </c>
      <c r="LU37" s="188">
        <f t="shared" si="441"/>
        <v>1.4147186147186153</v>
      </c>
      <c r="LV37" s="292">
        <f t="shared" si="441"/>
        <v>1.8674285714285723</v>
      </c>
      <c r="LW37" s="188">
        <f t="shared" si="441"/>
        <v>1.4147186147186153</v>
      </c>
      <c r="LX37" s="292">
        <f t="shared" si="441"/>
        <v>1.8674285714285723</v>
      </c>
      <c r="LY37" s="188">
        <f t="shared" si="441"/>
        <v>1.4147186147186153</v>
      </c>
      <c r="LZ37" s="292">
        <f t="shared" si="441"/>
        <v>1.8674285714285723</v>
      </c>
      <c r="MA37" s="188">
        <f t="shared" si="441"/>
        <v>1.4147186147186153</v>
      </c>
      <c r="MB37" s="292">
        <f t="shared" si="441"/>
        <v>1.8674285714285723</v>
      </c>
      <c r="MC37" s="188">
        <f t="shared" si="441"/>
        <v>1.4147186147186153</v>
      </c>
      <c r="MD37" s="292">
        <f t="shared" si="441"/>
        <v>1.8674285714285723</v>
      </c>
      <c r="ME37" s="188">
        <f t="shared" si="441"/>
        <v>1.4147186147186153</v>
      </c>
      <c r="MF37" s="292">
        <f t="shared" si="441"/>
        <v>1.8674285714285723</v>
      </c>
      <c r="MG37" s="188">
        <f t="shared" si="441"/>
        <v>1.4147186147186153</v>
      </c>
      <c r="MH37" s="186"/>
      <c r="MI37" s="292">
        <f t="shared" ref="MI37:OT37" si="442">MI31-MI38</f>
        <v>2.2135294117647053</v>
      </c>
      <c r="MJ37" s="188">
        <f t="shared" si="442"/>
        <v>2.6708556149732612</v>
      </c>
      <c r="MK37" s="292">
        <f t="shared" si="442"/>
        <v>2.3495294117647054</v>
      </c>
      <c r="ML37" s="188">
        <f t="shared" si="442"/>
        <v>2.470855614973261</v>
      </c>
      <c r="MM37" s="292">
        <f t="shared" si="442"/>
        <v>2.0195294117647054</v>
      </c>
      <c r="MN37" s="188">
        <f t="shared" si="442"/>
        <v>2.220855614973261</v>
      </c>
      <c r="MO37" s="292">
        <f t="shared" si="442"/>
        <v>2.0195294117647054</v>
      </c>
      <c r="MP37" s="188">
        <f t="shared" si="442"/>
        <v>2.220855614973261</v>
      </c>
      <c r="MQ37" s="292">
        <f t="shared" si="442"/>
        <v>1.4915294117647067</v>
      </c>
      <c r="MR37" s="188">
        <f t="shared" si="442"/>
        <v>1.8208556149732615</v>
      </c>
      <c r="MS37" s="292">
        <f t="shared" si="442"/>
        <v>2.0235294117647058</v>
      </c>
      <c r="MT37" s="188">
        <f t="shared" si="442"/>
        <v>2.214795008912656</v>
      </c>
      <c r="MU37" s="292">
        <f t="shared" si="442"/>
        <v>2.0915294117647063</v>
      </c>
      <c r="MV37" s="188">
        <f t="shared" si="442"/>
        <v>2.4087344028520503</v>
      </c>
      <c r="MW37" s="292">
        <f t="shared" si="442"/>
        <v>2.1395294117647055</v>
      </c>
      <c r="MX37" s="188">
        <f t="shared" si="442"/>
        <v>2.4844919786096238</v>
      </c>
      <c r="MY37" s="292">
        <f t="shared" si="442"/>
        <v>1.6328342245989305</v>
      </c>
      <c r="MZ37" s="188">
        <f t="shared" si="442"/>
        <v>1.9805958747135222</v>
      </c>
      <c r="NA37" s="292">
        <f t="shared" si="442"/>
        <v>2.1395294117647055</v>
      </c>
      <c r="NB37" s="188">
        <f t="shared" si="442"/>
        <v>2.4844919786096238</v>
      </c>
      <c r="NC37" s="292">
        <f t="shared" si="442"/>
        <v>2.1395294117647055</v>
      </c>
      <c r="ND37" s="188">
        <f t="shared" si="442"/>
        <v>2.4844919786096238</v>
      </c>
      <c r="NE37" s="292">
        <f t="shared" si="442"/>
        <v>2.1395294117647055</v>
      </c>
      <c r="NF37" s="188">
        <f t="shared" si="442"/>
        <v>2.4844919786096238</v>
      </c>
      <c r="NG37" s="292">
        <f t="shared" si="442"/>
        <v>2.1395294117647055</v>
      </c>
      <c r="NH37" s="188">
        <f t="shared" si="442"/>
        <v>2.4844919786096238</v>
      </c>
      <c r="NI37" s="292">
        <f t="shared" si="442"/>
        <v>2.1395294117647055</v>
      </c>
      <c r="NJ37" s="188">
        <f t="shared" si="442"/>
        <v>2.4844919786096238</v>
      </c>
      <c r="NK37" s="292">
        <f t="shared" si="442"/>
        <v>2.1395294117647055</v>
      </c>
      <c r="NL37" s="188">
        <f t="shared" si="442"/>
        <v>2.4844919786096238</v>
      </c>
      <c r="NM37" s="292">
        <f t="shared" si="442"/>
        <v>2.1395294117647055</v>
      </c>
      <c r="NN37" s="188">
        <f t="shared" si="442"/>
        <v>1.6208556149732614</v>
      </c>
      <c r="NO37" s="292">
        <f t="shared" si="442"/>
        <v>2.1395294117647055</v>
      </c>
      <c r="NP37" s="188">
        <f t="shared" si="442"/>
        <v>1.6208556149732614</v>
      </c>
      <c r="NQ37" s="292">
        <f t="shared" si="442"/>
        <v>2.1395294117647055</v>
      </c>
      <c r="NR37" s="188">
        <f t="shared" si="442"/>
        <v>1.6208556149732614</v>
      </c>
      <c r="NS37" s="292">
        <f t="shared" si="442"/>
        <v>2.1395294117647055</v>
      </c>
      <c r="NT37" s="188">
        <f t="shared" si="442"/>
        <v>1.6208556149732614</v>
      </c>
      <c r="NU37" s="292">
        <f t="shared" si="442"/>
        <v>2.1395294117647055</v>
      </c>
      <c r="NV37" s="188">
        <f t="shared" si="442"/>
        <v>1.6208556149732614</v>
      </c>
      <c r="NW37" s="292">
        <f t="shared" si="442"/>
        <v>2.1395294117647055</v>
      </c>
      <c r="NX37" s="188">
        <f t="shared" si="442"/>
        <v>1.6208556149732614</v>
      </c>
      <c r="NY37" s="292">
        <f t="shared" si="442"/>
        <v>2.1395294117647055</v>
      </c>
      <c r="NZ37" s="188">
        <f t="shared" si="442"/>
        <v>1.6208556149732614</v>
      </c>
      <c r="OA37" s="292">
        <f t="shared" si="442"/>
        <v>2.1395294117647055</v>
      </c>
      <c r="OB37" s="188">
        <f t="shared" si="442"/>
        <v>1.6208556149732614</v>
      </c>
      <c r="OC37" s="292">
        <f t="shared" si="442"/>
        <v>2.1395294117647055</v>
      </c>
      <c r="OD37" s="188">
        <f t="shared" si="442"/>
        <v>1.6208556149732614</v>
      </c>
      <c r="OE37" s="292">
        <f t="shared" si="442"/>
        <v>2.1395294117647055</v>
      </c>
      <c r="OF37" s="188">
        <f t="shared" si="442"/>
        <v>1.6208556149732614</v>
      </c>
      <c r="OG37" s="292">
        <f t="shared" si="442"/>
        <v>2.1395294117647055</v>
      </c>
      <c r="OH37" s="188">
        <f t="shared" si="442"/>
        <v>1.6208556149732614</v>
      </c>
      <c r="OI37" s="292">
        <f t="shared" si="442"/>
        <v>2.1395294117647055</v>
      </c>
      <c r="OJ37" s="188">
        <f t="shared" si="442"/>
        <v>1.6208556149732614</v>
      </c>
      <c r="OK37" s="292">
        <f t="shared" si="442"/>
        <v>2.1395294117647055</v>
      </c>
      <c r="OL37" s="188">
        <f t="shared" si="442"/>
        <v>1.6208556149732614</v>
      </c>
      <c r="OM37" s="292">
        <f t="shared" si="442"/>
        <v>2.1395294117647055</v>
      </c>
      <c r="ON37" s="188">
        <f t="shared" si="442"/>
        <v>1.6208556149732614</v>
      </c>
      <c r="OO37" s="292">
        <f t="shared" si="442"/>
        <v>2.1395294117647055</v>
      </c>
      <c r="OP37" s="188">
        <f t="shared" si="442"/>
        <v>1.6208556149732614</v>
      </c>
      <c r="OQ37" s="292">
        <f t="shared" si="442"/>
        <v>2.1395294117647055</v>
      </c>
      <c r="OR37" s="188">
        <f t="shared" si="442"/>
        <v>1.6208556149732614</v>
      </c>
      <c r="OS37" s="292">
        <f t="shared" si="442"/>
        <v>2.1395294117647055</v>
      </c>
      <c r="OT37" s="188">
        <f t="shared" si="442"/>
        <v>1.6208556149732614</v>
      </c>
      <c r="OU37" s="292">
        <f t="shared" ref="OU37:PP37" si="443">OU31-OU38</f>
        <v>2.1395294117647055</v>
      </c>
      <c r="OV37" s="188">
        <f t="shared" si="443"/>
        <v>1.6208556149732614</v>
      </c>
      <c r="OW37" s="292">
        <f t="shared" si="443"/>
        <v>2.1395294117647055</v>
      </c>
      <c r="OX37" s="188">
        <f t="shared" si="443"/>
        <v>1.6208556149732614</v>
      </c>
      <c r="OY37" s="292">
        <f t="shared" si="443"/>
        <v>2.1395294117647055</v>
      </c>
      <c r="OZ37" s="188">
        <f t="shared" si="443"/>
        <v>1.6208556149732614</v>
      </c>
      <c r="PA37" s="292">
        <f t="shared" si="443"/>
        <v>2.1395294117647055</v>
      </c>
      <c r="PB37" s="188">
        <f t="shared" si="443"/>
        <v>1.6208556149732614</v>
      </c>
      <c r="PC37" s="292">
        <f t="shared" si="443"/>
        <v>2.1395294117647055</v>
      </c>
      <c r="PD37" s="188">
        <f t="shared" si="443"/>
        <v>1.6208556149732614</v>
      </c>
      <c r="PE37" s="292">
        <f t="shared" si="443"/>
        <v>2.1395294117647055</v>
      </c>
      <c r="PF37" s="188">
        <f t="shared" si="443"/>
        <v>1.6208556149732614</v>
      </c>
      <c r="PG37" s="292">
        <f t="shared" si="443"/>
        <v>2.1395294117647055</v>
      </c>
      <c r="PH37" s="188">
        <f t="shared" si="443"/>
        <v>1.6208556149732614</v>
      </c>
      <c r="PI37" s="292">
        <f t="shared" si="443"/>
        <v>1.1015294117647043</v>
      </c>
      <c r="PJ37" s="188">
        <f t="shared" si="443"/>
        <v>0.83449197860962432</v>
      </c>
      <c r="PK37" s="292">
        <f t="shared" si="443"/>
        <v>0.89952941176470524</v>
      </c>
      <c r="PL37" s="188">
        <f t="shared" si="443"/>
        <v>0.68146167557932191</v>
      </c>
      <c r="PM37" s="292">
        <f t="shared" si="443"/>
        <v>2.1395294117647055</v>
      </c>
      <c r="PN37" s="188">
        <f t="shared" si="443"/>
        <v>1.6208556149732614</v>
      </c>
      <c r="PO37" s="292">
        <f t="shared" si="443"/>
        <v>2.1395294117647055</v>
      </c>
      <c r="PP37" s="188">
        <f t="shared" si="443"/>
        <v>1.6208556149732614</v>
      </c>
      <c r="PR37" s="292">
        <f t="shared" ref="PR37:QC37" si="444">PR31-PR38</f>
        <v>2.1068275862068955</v>
      </c>
      <c r="PS37" s="188">
        <f t="shared" si="444"/>
        <v>1.5960815047021928</v>
      </c>
      <c r="PT37" s="292">
        <f t="shared" si="444"/>
        <v>2.1068275862068955</v>
      </c>
      <c r="PU37" s="188">
        <f t="shared" si="444"/>
        <v>1.5960815047021928</v>
      </c>
      <c r="PV37" s="292">
        <f t="shared" si="444"/>
        <v>1.9628275862068953</v>
      </c>
      <c r="PW37" s="188">
        <f t="shared" si="444"/>
        <v>1.4869905956112843</v>
      </c>
      <c r="PX37" s="292">
        <f t="shared" si="444"/>
        <v>1.9628275862068953</v>
      </c>
      <c r="PY37" s="188">
        <f t="shared" si="444"/>
        <v>1.4869905956112843</v>
      </c>
      <c r="PZ37" s="292">
        <f t="shared" si="444"/>
        <v>1.9428275862068958</v>
      </c>
      <c r="QA37" s="188">
        <f t="shared" si="444"/>
        <v>1.4718390804597696</v>
      </c>
      <c r="QB37" s="292">
        <f t="shared" si="444"/>
        <v>1.9428275862068958</v>
      </c>
      <c r="QC37" s="188">
        <f t="shared" si="444"/>
        <v>1.4718390804597696</v>
      </c>
      <c r="QF37" s="292">
        <f t="shared" ref="QF37:QQ37" si="445">QF31-QF38</f>
        <v>2.1068275862068955</v>
      </c>
      <c r="QG37" s="188">
        <f t="shared" si="445"/>
        <v>1.5960815047021928</v>
      </c>
      <c r="QH37" s="292">
        <f t="shared" si="445"/>
        <v>2.1068275862068955</v>
      </c>
      <c r="QI37" s="188">
        <f t="shared" si="445"/>
        <v>1.5960815047021928</v>
      </c>
      <c r="QJ37" s="292">
        <f t="shared" si="445"/>
        <v>1.9628275862068953</v>
      </c>
      <c r="QK37" s="188">
        <f t="shared" si="445"/>
        <v>1.4869905956112843</v>
      </c>
      <c r="QL37" s="292">
        <f t="shared" si="445"/>
        <v>1.9628275862068953</v>
      </c>
      <c r="QM37" s="188">
        <f t="shared" si="445"/>
        <v>1.4869905956112843</v>
      </c>
      <c r="QN37" s="292">
        <f t="shared" si="445"/>
        <v>1.9628275862068971</v>
      </c>
      <c r="QO37" s="188">
        <f t="shared" si="445"/>
        <v>1.4869905956112852</v>
      </c>
      <c r="QP37" s="292">
        <f t="shared" si="445"/>
        <v>1.9628275862068971</v>
      </c>
      <c r="QQ37" s="188">
        <f t="shared" si="445"/>
        <v>1.4869905956112852</v>
      </c>
    </row>
    <row r="38" spans="1:459" x14ac:dyDescent="0.45">
      <c r="A38" s="871"/>
      <c r="B38" s="202" t="s">
        <v>345</v>
      </c>
      <c r="C38" s="203"/>
      <c r="D38" s="204"/>
      <c r="E38" s="219"/>
      <c r="F38" s="293">
        <f>G38*F10</f>
        <v>8.4390625000000004</v>
      </c>
      <c r="G38" s="221">
        <f>G39+G48+G50+G52</f>
        <v>6.393229166666667</v>
      </c>
      <c r="H38" s="293">
        <f>I38*H10</f>
        <v>8.4390625000000004</v>
      </c>
      <c r="I38" s="221">
        <f>I39+I48+I50+I52</f>
        <v>6.393229166666667</v>
      </c>
      <c r="J38" s="294">
        <f>K38*J10</f>
        <v>8.0430625000000013</v>
      </c>
      <c r="K38" s="221">
        <f>K39+K48+K50+K52</f>
        <v>6.0932291666666671</v>
      </c>
      <c r="L38" s="294">
        <f>M38*L10</f>
        <v>8.0430625000000013</v>
      </c>
      <c r="M38" s="221">
        <f>M39+M48+M50+M52</f>
        <v>6.0932291666666671</v>
      </c>
      <c r="N38" s="294">
        <f>O38*N10</f>
        <v>8.5050625000000011</v>
      </c>
      <c r="O38" s="221">
        <f>O39+O48+O50+O52</f>
        <v>6.4432291666666677</v>
      </c>
      <c r="P38" s="294">
        <f>Q38*P10</f>
        <v>8.9010625000000019</v>
      </c>
      <c r="Q38" s="221">
        <f>Q39+Q48+Q50+Q52</f>
        <v>6.7432291666666675</v>
      </c>
      <c r="R38" s="294">
        <f>S38*R10</f>
        <v>8.9010625000000019</v>
      </c>
      <c r="S38" s="221">
        <f>S39+S48+S50+S52</f>
        <v>6.7432291666666675</v>
      </c>
      <c r="T38" s="294">
        <f>U38*T10</f>
        <v>9.4290625000000006</v>
      </c>
      <c r="U38" s="221">
        <f>U39+U48+U50+U52</f>
        <v>7.143229166666667</v>
      </c>
      <c r="V38" s="294">
        <f>W38*V10</f>
        <v>9.4290625000000006</v>
      </c>
      <c r="W38" s="221">
        <f>W39+W48+W50+W52</f>
        <v>7.143229166666667</v>
      </c>
      <c r="X38" s="294">
        <f>Y38*X10</f>
        <v>9.3630625000000016</v>
      </c>
      <c r="Y38" s="221">
        <f>Y39+Y48+Y50+Y52</f>
        <v>7.0932291666666671</v>
      </c>
      <c r="Z38" s="294">
        <f>AA38*Z10</f>
        <v>9.3630625000000016</v>
      </c>
      <c r="AA38" s="221">
        <f>AA39+AA48+AA50+AA52</f>
        <v>7.0932291666666671</v>
      </c>
      <c r="AB38" s="294">
        <f>AC38*AB10</f>
        <v>9.3630625000000016</v>
      </c>
      <c r="AC38" s="221">
        <f>AC39+AC48+AC50+AC52</f>
        <v>7.0932291666666671</v>
      </c>
      <c r="AD38" s="294">
        <f>AE38*AD10</f>
        <v>10.089062500000001</v>
      </c>
      <c r="AE38" s="221">
        <f>AE39+AE48+AE50+AE52</f>
        <v>7.643229166666667</v>
      </c>
      <c r="AF38" s="294">
        <f>AG38*AF10</f>
        <v>10.700520833333334</v>
      </c>
      <c r="AG38" s="221">
        <f>AG39+AG48+AG50+AG52</f>
        <v>7.643229166666667</v>
      </c>
      <c r="AH38" s="294">
        <f>AI38*AH10</f>
        <v>10.089062500000001</v>
      </c>
      <c r="AI38" s="221">
        <f>AI39+AI48+AI50+AI52</f>
        <v>7.643229166666667</v>
      </c>
      <c r="AJ38" s="294">
        <f>AK38*AJ10</f>
        <v>10.089062500000001</v>
      </c>
      <c r="AK38" s="221">
        <f>AK39+AK48+AK50+AK52</f>
        <v>7.643229166666667</v>
      </c>
      <c r="AL38" s="294">
        <f>AM38*AL10</f>
        <v>10.089062500000001</v>
      </c>
      <c r="AM38" s="221">
        <f>AM39+AM48+AM50+AM52</f>
        <v>7.643229166666667</v>
      </c>
      <c r="AN38" s="294">
        <f>AO38*AN10</f>
        <v>10.089062500000001</v>
      </c>
      <c r="AO38" s="221">
        <f>AO39+AO48+AO50+AO52</f>
        <v>7.643229166666667</v>
      </c>
      <c r="AP38" s="294">
        <f>AQ38*AP10</f>
        <v>10.089062500000001</v>
      </c>
      <c r="AQ38" s="221">
        <f>AQ39+AQ48+AQ50+AQ52</f>
        <v>7.643229166666667</v>
      </c>
      <c r="AR38" s="294">
        <f>AS38*AR10</f>
        <v>10.089062500000001</v>
      </c>
      <c r="AS38" s="221">
        <f>AS39+AS48+AS50+AS52</f>
        <v>7.643229166666667</v>
      </c>
      <c r="AT38" s="294">
        <f>AU38*AT10</f>
        <v>10.089062500000001</v>
      </c>
      <c r="AU38" s="221">
        <f>AU39+AU48+AU50+AU52</f>
        <v>7.643229166666667</v>
      </c>
      <c r="AV38" s="294">
        <f>AW38*AV10</f>
        <v>10.089062500000001</v>
      </c>
      <c r="AW38" s="221">
        <f>AW39+AW48+AW50+AW52</f>
        <v>7.643229166666667</v>
      </c>
      <c r="AX38" s="294">
        <f>AY38*AX10</f>
        <v>10.089062500000001</v>
      </c>
      <c r="AY38" s="221">
        <f>AY39+AY48+AY50+AY52</f>
        <v>7.643229166666667</v>
      </c>
      <c r="AZ38" s="294">
        <f>BA38*AZ10</f>
        <v>10.089062500000001</v>
      </c>
      <c r="BA38" s="221">
        <f>BA39+BA48+BA50+BA52</f>
        <v>7.643229166666667</v>
      </c>
      <c r="BB38" s="294">
        <f>BC38*BB10</f>
        <v>10.089062500000001</v>
      </c>
      <c r="BC38" s="221">
        <f>BC39+BC48+BC50+BC52</f>
        <v>7.643229166666667</v>
      </c>
      <c r="BD38" s="294">
        <f>BE38*BD10</f>
        <v>10.089062500000001</v>
      </c>
      <c r="BE38" s="221">
        <f>BE39+BE48+BE50+BE52</f>
        <v>7.643229166666667</v>
      </c>
      <c r="BF38" s="294">
        <f>BG38*BF10</f>
        <v>10.089062500000001</v>
      </c>
      <c r="BG38" s="221">
        <f>BG39+BG48+BG50+BG52</f>
        <v>7.643229166666667</v>
      </c>
      <c r="BH38" s="294">
        <f>BI38*BH10</f>
        <v>10.089062500000001</v>
      </c>
      <c r="BI38" s="221">
        <f>BI39+BI48+BI50+BI52</f>
        <v>7.643229166666667</v>
      </c>
      <c r="BJ38" s="294">
        <f>BK38*BJ10</f>
        <v>10.089062500000001</v>
      </c>
      <c r="BK38" s="221">
        <f>BK39+BK48+BK50+BK52</f>
        <v>7.643229166666667</v>
      </c>
      <c r="BL38" s="294">
        <f>BM38*BL10</f>
        <v>10.089062500000001</v>
      </c>
      <c r="BM38" s="221">
        <f>BM39+BM48+BM50+BM52</f>
        <v>7.643229166666667</v>
      </c>
      <c r="BN38" s="294">
        <f>BO38*BN10</f>
        <v>10.089062500000001</v>
      </c>
      <c r="BO38" s="221">
        <f>BO39+BO48+BO50+BO52</f>
        <v>7.643229166666667</v>
      </c>
      <c r="BP38" s="294">
        <f>BQ38*BP10</f>
        <v>10.089062500000001</v>
      </c>
      <c r="BQ38" s="221">
        <f>BQ39+BQ48+BQ50+BQ52</f>
        <v>7.643229166666667</v>
      </c>
      <c r="BR38" s="294">
        <f>BS38*BR10</f>
        <v>10.089062500000001</v>
      </c>
      <c r="BS38" s="221">
        <f>BS39+BS48+BS50+BS52</f>
        <v>7.643229166666667</v>
      </c>
      <c r="BT38" s="294">
        <f>BU38*BT10</f>
        <v>10.089062500000001</v>
      </c>
      <c r="BU38" s="221">
        <f>BU39+BU48+BU50+BU52</f>
        <v>7.643229166666667</v>
      </c>
      <c r="BV38" s="294">
        <f>BW38*BV10</f>
        <v>10.089062500000001</v>
      </c>
      <c r="BW38" s="221">
        <f>BW39+BW48+BW50+BW52</f>
        <v>7.643229166666667</v>
      </c>
      <c r="BX38" s="294">
        <f>BY38*BX10</f>
        <v>10.089062500000001</v>
      </c>
      <c r="BY38" s="221">
        <f>BY39+BY48+BY50+BY52</f>
        <v>7.643229166666667</v>
      </c>
      <c r="BZ38" s="294">
        <f>CA38*BZ10</f>
        <v>10.089062500000001</v>
      </c>
      <c r="CA38" s="221">
        <f>CA39+CA48+CA50+CA52</f>
        <v>7.643229166666667</v>
      </c>
      <c r="CB38" s="294">
        <f>CC38*CB10</f>
        <v>10.089062500000001</v>
      </c>
      <c r="CC38" s="221">
        <f>CC39+CC48+CC50+CC52</f>
        <v>7.643229166666667</v>
      </c>
      <c r="CD38" s="294">
        <f>CE38*CD10</f>
        <v>10.089062500000001</v>
      </c>
      <c r="CE38" s="221">
        <f>CE39+CE48+CE50+CE52</f>
        <v>7.643229166666667</v>
      </c>
      <c r="CF38" s="294">
        <f>CG38*CF10</f>
        <v>10.089062500000001</v>
      </c>
      <c r="CG38" s="221">
        <f>CG39+CG48+CG50+CG52</f>
        <v>7.643229166666667</v>
      </c>
      <c r="CH38" s="294">
        <f>CI38*CH10</f>
        <v>10.089062500000001</v>
      </c>
      <c r="CI38" s="221">
        <f>CI39+CI48+CI50+CI52</f>
        <v>7.643229166666667</v>
      </c>
      <c r="CJ38" s="294">
        <f>CK38*CJ10</f>
        <v>10.089062500000001</v>
      </c>
      <c r="CK38" s="221">
        <f>CK39+CK48+CK50+CK52</f>
        <v>7.643229166666667</v>
      </c>
      <c r="CL38" s="294">
        <f>CM38*CL10</f>
        <v>10.089062500000001</v>
      </c>
      <c r="CM38" s="221">
        <f>CM39+CM48+CM50+CM52</f>
        <v>7.643229166666667</v>
      </c>
      <c r="CN38" s="294">
        <f>CO38*CN10</f>
        <v>10.089062500000001</v>
      </c>
      <c r="CO38" s="221">
        <f>CO39+CO48+CO50+CO52</f>
        <v>7.643229166666667</v>
      </c>
      <c r="CP38" s="294">
        <f>CQ38*CP10</f>
        <v>10.089062500000001</v>
      </c>
      <c r="CQ38" s="221">
        <f>CQ39+CQ48+CQ50+CQ52</f>
        <v>7.643229166666667</v>
      </c>
      <c r="CR38" s="294">
        <f>CS38*CR10</f>
        <v>10.089062500000001</v>
      </c>
      <c r="CS38" s="221">
        <f>CS39+CS48+CS50+CS52</f>
        <v>7.643229166666667</v>
      </c>
      <c r="CT38" s="209"/>
      <c r="CU38" s="294">
        <f>CV38*CU10</f>
        <v>12.844147465437789</v>
      </c>
      <c r="CV38" s="188">
        <f>CV39+CV48+CV50+CV52</f>
        <v>9.7304147465437794</v>
      </c>
      <c r="CW38" s="294">
        <f>CX38*CW10</f>
        <v>12.844147465437789</v>
      </c>
      <c r="CX38" s="221">
        <f>CX39+CX48+CX50+CX52</f>
        <v>9.7304147465437794</v>
      </c>
      <c r="CY38" s="294">
        <f>CZ38*CY10</f>
        <v>13.240147465437788</v>
      </c>
      <c r="CZ38" s="221">
        <f>CZ39+CZ48+CZ50+CZ52</f>
        <v>10.030414746543778</v>
      </c>
      <c r="DA38" s="294">
        <f>DB38*DA10</f>
        <v>13.240147465437788</v>
      </c>
      <c r="DB38" s="221">
        <f>DB39+DB48+DB50+DB52</f>
        <v>10.030414746543778</v>
      </c>
      <c r="DC38" s="294">
        <f>DD38*DC10</f>
        <v>14.69214746543779</v>
      </c>
      <c r="DD38" s="221">
        <f>DD39+DD48+DD50+DD52</f>
        <v>11.13041474654378</v>
      </c>
      <c r="DE38" s="294">
        <f>DF38*DE10</f>
        <v>15.58258064516129</v>
      </c>
      <c r="DF38" s="221">
        <f>DF39+DF48+DF50+DF52</f>
        <v>11.13041474654378</v>
      </c>
      <c r="DG38" s="294">
        <f>DH38*DG10</f>
        <v>14.69214746543779</v>
      </c>
      <c r="DH38" s="221">
        <f>DH39+DH48+DH50+DH52</f>
        <v>11.13041474654378</v>
      </c>
      <c r="DI38" s="294">
        <f>DJ38*DI10</f>
        <v>14.69214746543779</v>
      </c>
      <c r="DJ38" s="221">
        <f>DJ39+DJ48+DJ50+DJ52</f>
        <v>11.13041474654378</v>
      </c>
      <c r="DK38" s="294">
        <f>DL38*DK10</f>
        <v>14.69214746543779</v>
      </c>
      <c r="DL38" s="221">
        <f>DL39+DL48+DL50+DL52</f>
        <v>11.13041474654378</v>
      </c>
      <c r="DM38" s="294">
        <f>DN38*DM10</f>
        <v>14.69214746543779</v>
      </c>
      <c r="DN38" s="221">
        <f>DN39+DN48+DN50+DN52</f>
        <v>11.13041474654378</v>
      </c>
      <c r="DO38" s="294">
        <f>DP38*DO10</f>
        <v>14.69214746543779</v>
      </c>
      <c r="DP38" s="221">
        <f>DP39+DP48+DP50+DP52</f>
        <v>11.13041474654378</v>
      </c>
      <c r="DQ38" s="294">
        <f>DR38*DQ10</f>
        <v>14.69214746543779</v>
      </c>
      <c r="DR38" s="221">
        <f>DR39+DR48+DR50+DR52</f>
        <v>11.13041474654378</v>
      </c>
      <c r="DS38" s="294">
        <f>DT38*DS10</f>
        <v>14.69214746543779</v>
      </c>
      <c r="DT38" s="221">
        <f>DT39+DT48+DT50+DT52</f>
        <v>11.13041474654378</v>
      </c>
      <c r="DU38" s="294">
        <f>DV38*DU10</f>
        <v>14.69214746543779</v>
      </c>
      <c r="DV38" s="221">
        <f>DV39+DV48+DV50+DV52</f>
        <v>11.13041474654378</v>
      </c>
      <c r="DW38" s="294">
        <f>DX38*DW10</f>
        <v>14.69214746543779</v>
      </c>
      <c r="DX38" s="221">
        <f>DX39+DX48+DX50+DX52</f>
        <v>11.13041474654378</v>
      </c>
      <c r="DY38" s="294">
        <f>DZ38*DY10</f>
        <v>14.69214746543779</v>
      </c>
      <c r="DZ38" s="221">
        <f>DZ39+DZ48+DZ50+DZ52</f>
        <v>11.13041474654378</v>
      </c>
      <c r="EA38" s="294">
        <f>EB38*EA10</f>
        <v>14.69214746543779</v>
      </c>
      <c r="EB38" s="221">
        <f>EB39+EB48+EB50+EB52</f>
        <v>11.13041474654378</v>
      </c>
      <c r="EC38" s="294">
        <f>ED38*EC10</f>
        <v>14.69214746543779</v>
      </c>
      <c r="ED38" s="221">
        <f>ED39+ED48+ED50+ED52</f>
        <v>11.13041474654378</v>
      </c>
      <c r="EE38" s="294">
        <f>EF38*EE10</f>
        <v>14.69214746543779</v>
      </c>
      <c r="EF38" s="221">
        <f>EF39+EF48+EF50+EF52</f>
        <v>11.13041474654378</v>
      </c>
      <c r="EG38" s="294">
        <f>EH38*EG10</f>
        <v>14.69214746543779</v>
      </c>
      <c r="EH38" s="221">
        <f>EH39+EH48+EH50+EH52</f>
        <v>11.13041474654378</v>
      </c>
      <c r="EI38" s="294">
        <f>EJ38*EI10</f>
        <v>14.69214746543779</v>
      </c>
      <c r="EJ38" s="221">
        <f>EJ39+EJ48+EJ50+EJ52</f>
        <v>11.13041474654378</v>
      </c>
      <c r="EK38" s="294">
        <f>EL38*EK10</f>
        <v>14.69214746543779</v>
      </c>
      <c r="EL38" s="221">
        <f>EL39+EL48+EL50+EL52</f>
        <v>11.13041474654378</v>
      </c>
      <c r="EM38" s="294">
        <f>EN38*EM10</f>
        <v>14.69214746543779</v>
      </c>
      <c r="EN38" s="221">
        <f>EN39+EN48+EN50+EN52</f>
        <v>11.13041474654378</v>
      </c>
      <c r="EO38" s="294">
        <f>EP38*EO10</f>
        <v>14.69214746543779</v>
      </c>
      <c r="EP38" s="221">
        <f>EP39+EP48+EP50+EP52</f>
        <v>11.13041474654378</v>
      </c>
      <c r="EQ38" s="294">
        <f>ER38*EQ10</f>
        <v>14.69214746543779</v>
      </c>
      <c r="ER38" s="221">
        <f>ER39+ER48+ER50+ER52</f>
        <v>11.13041474654378</v>
      </c>
      <c r="ES38" s="294">
        <f>ET38*ES10</f>
        <v>14.69214746543779</v>
      </c>
      <c r="ET38" s="221">
        <f>ET39+ET48+ET50+ET52</f>
        <v>11.13041474654378</v>
      </c>
      <c r="EU38" s="294">
        <f>EV38*EU10</f>
        <v>14.69214746543779</v>
      </c>
      <c r="EV38" s="221">
        <f>EV39+EV48+EV50+EV52</f>
        <v>11.13041474654378</v>
      </c>
      <c r="EW38" s="294">
        <f>EX38*EW10</f>
        <v>14.69214746543779</v>
      </c>
      <c r="EX38" s="221">
        <f>EX39+EX48+EX50+EX52</f>
        <v>11.13041474654378</v>
      </c>
      <c r="EY38" s="294">
        <f>EZ38*EY10</f>
        <v>14.69214746543779</v>
      </c>
      <c r="EZ38" s="221">
        <f>EZ39+EZ48+EZ50+EZ52</f>
        <v>11.13041474654378</v>
      </c>
      <c r="FA38" s="294">
        <f>FB38*FA10</f>
        <v>14.69214746543779</v>
      </c>
      <c r="FB38" s="221">
        <f>FB39+FB48+FB50+FB52</f>
        <v>11.13041474654378</v>
      </c>
      <c r="FC38" s="294">
        <f>FD38*FC10</f>
        <v>14.69214746543779</v>
      </c>
      <c r="FD38" s="221">
        <f>FD39+FD48+FD50+FD52</f>
        <v>11.13041474654378</v>
      </c>
      <c r="FE38" s="294">
        <f>FF38*FE10</f>
        <v>14.69214746543779</v>
      </c>
      <c r="FF38" s="221">
        <f>FF39+FF48+FF50+FF52</f>
        <v>11.13041474654378</v>
      </c>
      <c r="FG38" s="294">
        <f>FH38*FG10</f>
        <v>14.69214746543779</v>
      </c>
      <c r="FH38" s="221">
        <f>FH39+FH48+FH50+FH52</f>
        <v>11.13041474654378</v>
      </c>
      <c r="FI38" s="294">
        <f>FJ38*FI10</f>
        <v>14.69214746543779</v>
      </c>
      <c r="FJ38" s="221">
        <f>FJ39+FJ48+FJ50+FJ52</f>
        <v>11.13041474654378</v>
      </c>
      <c r="FK38" s="294">
        <f>FL38*FK10</f>
        <v>14.69214746543779</v>
      </c>
      <c r="FL38" s="221">
        <f>FL39+FL48+FL50+FL52</f>
        <v>11.13041474654378</v>
      </c>
      <c r="FM38" s="294">
        <f>FN38*FM10</f>
        <v>14.69214746543779</v>
      </c>
      <c r="FN38" s="221">
        <f>FN39+FN48+FN50+FN52</f>
        <v>11.13041474654378</v>
      </c>
      <c r="FO38" s="294">
        <f>FP38*FO10</f>
        <v>14.69214746543779</v>
      </c>
      <c r="FP38" s="221">
        <f>FP39+FP48+FP50+FP52</f>
        <v>11.13041474654378</v>
      </c>
      <c r="FQ38" s="219"/>
      <c r="FR38" s="294">
        <f>FS38*FR10</f>
        <v>8.0430625000000013</v>
      </c>
      <c r="FS38" s="221">
        <f>FS39+FS48+FS50+FS52</f>
        <v>6.0932291666666671</v>
      </c>
      <c r="FT38" s="294">
        <f>FU38*FT10</f>
        <v>8.5050625000000011</v>
      </c>
      <c r="FU38" s="221">
        <f>FU39+FU48+FU50+FU52</f>
        <v>6.4432291666666677</v>
      </c>
      <c r="FV38" s="294">
        <f>FW38*FV10</f>
        <v>8.9010625000000019</v>
      </c>
      <c r="FW38" s="221">
        <f>FW39+FW48+FW50+FW52</f>
        <v>6.7432291666666675</v>
      </c>
      <c r="FX38" s="294">
        <f>FY38*FX10</f>
        <v>8.9010625000000019</v>
      </c>
      <c r="FY38" s="221">
        <f>FY39+FY48+FY50+FY52</f>
        <v>6.7432291666666675</v>
      </c>
      <c r="FZ38" s="294">
        <f>GA38*FZ10</f>
        <v>9.4290625000000006</v>
      </c>
      <c r="GA38" s="221">
        <f>GA39+GA48+GA50+GA52</f>
        <v>7.143229166666667</v>
      </c>
      <c r="GB38" s="294">
        <f>GC38*GB10</f>
        <v>9.4290625000000006</v>
      </c>
      <c r="GC38" s="221">
        <f>GC39+GC48+GC50+GC52</f>
        <v>7.143229166666667</v>
      </c>
      <c r="GD38" s="294">
        <f>GE38*GD10</f>
        <v>9.3630625000000016</v>
      </c>
      <c r="GE38" s="221">
        <f>GE39+GE48+GE50+GE52</f>
        <v>7.0932291666666671</v>
      </c>
      <c r="GF38" s="294">
        <f>GG38*GF10</f>
        <v>9.3630625000000016</v>
      </c>
      <c r="GG38" s="221">
        <f>GG39+GG48+GG50+GG52</f>
        <v>7.0932291666666671</v>
      </c>
      <c r="GH38" s="294">
        <f>GI38*GH10</f>
        <v>9.3630625000000016</v>
      </c>
      <c r="GI38" s="221">
        <f>GI39+GI48+GI50+GI52</f>
        <v>7.0932291666666671</v>
      </c>
      <c r="GJ38" s="294">
        <f>GK38*GJ10</f>
        <v>11.013062499999998</v>
      </c>
      <c r="GK38" s="221">
        <f>GK39+GK48+GK50+GK52</f>
        <v>8.3432291666666654</v>
      </c>
      <c r="GL38" s="294">
        <f>GM38*GL10</f>
        <v>11.680520833333331</v>
      </c>
      <c r="GM38" s="221">
        <f>GM39+GM48+GM50+GM52</f>
        <v>8.3432291666666654</v>
      </c>
      <c r="GN38" s="294">
        <f>GO38*GN10</f>
        <v>11.013062499999998</v>
      </c>
      <c r="GO38" s="221">
        <f>GO39+GO48+GO50+GO52</f>
        <v>8.3432291666666654</v>
      </c>
      <c r="GP38" s="294">
        <f>GQ38*GP10</f>
        <v>11.013062499999998</v>
      </c>
      <c r="GQ38" s="221">
        <f>GQ39+GQ48+GQ50+GQ52</f>
        <v>8.3432291666666654</v>
      </c>
      <c r="GR38" s="294">
        <f>GS38*GR10</f>
        <v>11.013062499999998</v>
      </c>
      <c r="GS38" s="221">
        <f>GS39+GS48+GS50+GS52</f>
        <v>8.3432291666666654</v>
      </c>
      <c r="GT38" s="294">
        <f>GU38*GT10</f>
        <v>11.013062499999998</v>
      </c>
      <c r="GU38" s="221">
        <f>GU39+GU48+GU50+GU52</f>
        <v>8.3432291666666654</v>
      </c>
      <c r="GV38" s="294">
        <f>GW38*GV10</f>
        <v>11.013062499999998</v>
      </c>
      <c r="GW38" s="221">
        <f>GW39+GW48+GW50+GW52</f>
        <v>8.3432291666666654</v>
      </c>
      <c r="GX38" s="294">
        <f>GY38*GX10</f>
        <v>11.013062499999998</v>
      </c>
      <c r="GY38" s="221">
        <f>GY39+GY48+GY50+GY52</f>
        <v>8.3432291666666654</v>
      </c>
      <c r="GZ38" s="294">
        <f>HA38*GZ10</f>
        <v>11.013062499999998</v>
      </c>
      <c r="HA38" s="221">
        <f>HA39+HA48+HA50+HA52</f>
        <v>8.3432291666666654</v>
      </c>
      <c r="HB38" s="294">
        <f>HC38*HB10</f>
        <v>11.013062499999998</v>
      </c>
      <c r="HC38" s="221">
        <f>HC39+HC48+HC50+HC52</f>
        <v>8.3432291666666654</v>
      </c>
      <c r="HD38" s="294">
        <f>HE38*HD10</f>
        <v>11.013062499999998</v>
      </c>
      <c r="HE38" s="221">
        <f>HE39+HE48+HE50+HE52</f>
        <v>8.3432291666666654</v>
      </c>
      <c r="HF38" s="294">
        <f>HG38*HF10</f>
        <v>11.013062499999998</v>
      </c>
      <c r="HG38" s="221">
        <f>HG39+HG48+HG50+HG52</f>
        <v>8.3432291666666654</v>
      </c>
      <c r="HH38" s="294">
        <f>HI38*HH10</f>
        <v>11.013062499999998</v>
      </c>
      <c r="HI38" s="221">
        <f>HI39+HI48+HI50+HI52</f>
        <v>8.3432291666666654</v>
      </c>
      <c r="HJ38" s="294">
        <f>HK38*HJ10</f>
        <v>11.013062499999998</v>
      </c>
      <c r="HK38" s="221">
        <f>HK39+HK48+HK50+HK52</f>
        <v>8.3432291666666654</v>
      </c>
      <c r="HL38" s="294">
        <f>HM38*HL10</f>
        <v>11.013062499999998</v>
      </c>
      <c r="HM38" s="221">
        <f>HM39+HM48+HM50+HM52</f>
        <v>8.3432291666666654</v>
      </c>
      <c r="HN38" s="294">
        <f>HO38*HN10</f>
        <v>11.013062499999998</v>
      </c>
      <c r="HO38" s="221">
        <f>HO39+HO48+HO50+HO52</f>
        <v>8.3432291666666654</v>
      </c>
      <c r="HP38" s="294">
        <f>HQ38*HP10</f>
        <v>11.013062499999998</v>
      </c>
      <c r="HQ38" s="221">
        <f>HQ39+HQ48+HQ50+HQ52</f>
        <v>8.3432291666666654</v>
      </c>
      <c r="HR38" s="294">
        <f>HS38*HR10</f>
        <v>11.013062499999998</v>
      </c>
      <c r="HS38" s="221">
        <f>HS39+HS48+HS50+HS52</f>
        <v>8.3432291666666654</v>
      </c>
      <c r="HT38" s="294">
        <f>HU38*HT10</f>
        <v>11.013062499999998</v>
      </c>
      <c r="HU38" s="221">
        <f>HU39+HU48+HU50+HU52</f>
        <v>8.3432291666666654</v>
      </c>
      <c r="HV38" s="294">
        <f>HW38*HV10</f>
        <v>11.013062499999998</v>
      </c>
      <c r="HW38" s="221">
        <f>HW39+HW48+HW50+HW52</f>
        <v>8.3432291666666654</v>
      </c>
      <c r="HX38" s="294">
        <f>HY38*HX10</f>
        <v>11.013062499999998</v>
      </c>
      <c r="HY38" s="221">
        <f>HY39+HY48+HY50+HY52</f>
        <v>8.3432291666666654</v>
      </c>
      <c r="HZ38" s="294">
        <f>IA38*HZ10</f>
        <v>11.013062499999998</v>
      </c>
      <c r="IA38" s="221">
        <f>IA39+IA48+IA50+IA52</f>
        <v>8.3432291666666654</v>
      </c>
      <c r="IB38" s="294">
        <f>IC38*IB10</f>
        <v>11.013062499999998</v>
      </c>
      <c r="IC38" s="221">
        <f>IC39+IC48+IC50+IC52</f>
        <v>8.3432291666666654</v>
      </c>
      <c r="ID38" s="294">
        <f>IE38*ID10</f>
        <v>11.013062499999998</v>
      </c>
      <c r="IE38" s="221">
        <f>IE39+IE48+IE50+IE52</f>
        <v>8.3432291666666654</v>
      </c>
      <c r="IF38" s="294">
        <f>IG38*IF10</f>
        <v>11.013062499999998</v>
      </c>
      <c r="IG38" s="221">
        <f>IG39+IG48+IG50+IG52</f>
        <v>8.3432291666666654</v>
      </c>
      <c r="IH38" s="294">
        <f>II38*IH10</f>
        <v>11.013062499999998</v>
      </c>
      <c r="II38" s="221">
        <f>II39+II48+II50+II52</f>
        <v>8.3432291666666654</v>
      </c>
      <c r="IJ38" s="294">
        <f>IK38*IJ10</f>
        <v>11.013062499999998</v>
      </c>
      <c r="IK38" s="221">
        <f>IK39+IK48+IK50+IK52</f>
        <v>8.3432291666666654</v>
      </c>
      <c r="IL38" s="294">
        <f>IM38*IL10</f>
        <v>11.013062499999998</v>
      </c>
      <c r="IM38" s="221">
        <f>IM39+IM48+IM50+IM52</f>
        <v>8.3432291666666654</v>
      </c>
      <c r="IN38" s="294">
        <f>IO38*IN10</f>
        <v>11.013062499999998</v>
      </c>
      <c r="IO38" s="221">
        <f>IO39+IO48+IO50+IO52</f>
        <v>8.3432291666666654</v>
      </c>
      <c r="IP38" s="294">
        <f>IQ38*IP10</f>
        <v>11.013062499999998</v>
      </c>
      <c r="IQ38" s="221">
        <f>IQ39+IQ48+IQ50+IQ52</f>
        <v>8.3432291666666654</v>
      </c>
      <c r="IR38" s="294">
        <f>IS38*IR10</f>
        <v>11.013062499999998</v>
      </c>
      <c r="IS38" s="221">
        <f>IS39+IS48+IS50+IS52</f>
        <v>8.3432291666666654</v>
      </c>
      <c r="IT38" s="294">
        <f>IU38*IT10</f>
        <v>11.013062499999998</v>
      </c>
      <c r="IU38" s="221">
        <f>IU39+IU48+IU50+IU52</f>
        <v>8.3432291666666654</v>
      </c>
      <c r="IV38" s="294">
        <f>IW38*IV10</f>
        <v>11.013062499999998</v>
      </c>
      <c r="IW38" s="221">
        <f>IW39+IW48+IW50+IW52</f>
        <v>8.3432291666666654</v>
      </c>
      <c r="IX38" s="294">
        <f>IY38*IX10</f>
        <v>11.013062499999998</v>
      </c>
      <c r="IY38" s="221">
        <f>IY39+IY48+IY50+IY52</f>
        <v>8.3432291666666654</v>
      </c>
      <c r="IZ38" s="219"/>
      <c r="JA38" s="294">
        <f>JB38*JA10</f>
        <v>11.179927083333332</v>
      </c>
      <c r="JB38" s="221">
        <f>JB39+JB48+JB50+JB52</f>
        <v>8.3432291666666654</v>
      </c>
      <c r="JC38" s="294">
        <f>JD38*JC10</f>
        <v>11.179927083333332</v>
      </c>
      <c r="JD38" s="221">
        <f>JD39+JD48+JD50+JD52</f>
        <v>8.3432291666666654</v>
      </c>
      <c r="JE38" s="219"/>
      <c r="JF38" s="294">
        <f>JG38*JF10</f>
        <v>7.5648571428571421</v>
      </c>
      <c r="JG38" s="221">
        <f t="shared" ref="JG38:KM38" si="446">JG39+JG48+JG50+JG52</f>
        <v>5.7309523809523801</v>
      </c>
      <c r="JH38" s="294">
        <f>JI38*JH10</f>
        <v>8.0268571428571427</v>
      </c>
      <c r="JI38" s="221">
        <f t="shared" si="446"/>
        <v>6.0809523809523807</v>
      </c>
      <c r="JJ38" s="294">
        <f>JK38*JJ10</f>
        <v>8.3568571428571428</v>
      </c>
      <c r="JK38" s="221">
        <f t="shared" si="446"/>
        <v>6.3309523809523807</v>
      </c>
      <c r="JL38" s="294">
        <f>JM38*JL10</f>
        <v>8.3568571428571428</v>
      </c>
      <c r="JM38" s="221">
        <f t="shared" si="446"/>
        <v>6.3309523809523807</v>
      </c>
      <c r="JN38" s="294">
        <f>JO38*JN10</f>
        <v>9.0168571428571429</v>
      </c>
      <c r="JO38" s="221">
        <f t="shared" si="446"/>
        <v>6.8309523809523807</v>
      </c>
      <c r="JP38" s="294">
        <f>JQ38*JP10</f>
        <v>9.0168571428571429</v>
      </c>
      <c r="JQ38" s="221">
        <f t="shared" si="446"/>
        <v>6.8309523809523807</v>
      </c>
      <c r="JR38" s="294">
        <f>JS38*JR10</f>
        <v>9.0168571428571429</v>
      </c>
      <c r="JS38" s="221">
        <f t="shared" si="446"/>
        <v>6.8309523809523807</v>
      </c>
      <c r="JT38" s="294">
        <f>JU38*JT10</f>
        <v>9.0168571428571429</v>
      </c>
      <c r="JU38" s="221">
        <f t="shared" si="446"/>
        <v>6.8309523809523807</v>
      </c>
      <c r="JV38" s="294">
        <f>JW38*JV10</f>
        <v>9.5799999999999983</v>
      </c>
      <c r="JW38" s="221">
        <f t="shared" si="446"/>
        <v>6.8428571428571425</v>
      </c>
      <c r="JX38" s="294">
        <f>JY38*JX10</f>
        <v>9.032571428571428</v>
      </c>
      <c r="JY38" s="221">
        <f t="shared" si="446"/>
        <v>6.8428571428571425</v>
      </c>
      <c r="JZ38" s="294">
        <f>KA38*JZ10</f>
        <v>9.032571428571428</v>
      </c>
      <c r="KA38" s="221">
        <f t="shared" si="446"/>
        <v>6.8428571428571425</v>
      </c>
      <c r="KB38" s="294">
        <f>KC38*KB10</f>
        <v>9.032571428571428</v>
      </c>
      <c r="KC38" s="221">
        <f t="shared" si="446"/>
        <v>6.8428571428571425</v>
      </c>
      <c r="KD38" s="294">
        <f>KE38*KD10</f>
        <v>9.032571428571428</v>
      </c>
      <c r="KE38" s="221">
        <f t="shared" si="446"/>
        <v>6.8428571428571425</v>
      </c>
      <c r="KF38" s="294">
        <f>KG38*KF10</f>
        <v>9.032571428571428</v>
      </c>
      <c r="KG38" s="221">
        <f t="shared" si="446"/>
        <v>6.8428571428571425</v>
      </c>
      <c r="KH38" s="294">
        <f>KI38*KH10</f>
        <v>9.032571428571428</v>
      </c>
      <c r="KI38" s="221">
        <f t="shared" si="446"/>
        <v>6.8428571428571425</v>
      </c>
      <c r="KJ38" s="294">
        <f>KK38*KJ10</f>
        <v>9.032571428571428</v>
      </c>
      <c r="KK38" s="221">
        <f t="shared" si="446"/>
        <v>6.8428571428571425</v>
      </c>
      <c r="KL38" s="294">
        <f>KM38*KL10</f>
        <v>9.032571428571428</v>
      </c>
      <c r="KM38" s="221">
        <f t="shared" si="446"/>
        <v>6.8428571428571425</v>
      </c>
      <c r="KN38" s="294">
        <f>KO38*KN10</f>
        <v>9.032571428571428</v>
      </c>
      <c r="KO38" s="221">
        <f>KO39+KO48+KO50+KO52</f>
        <v>6.8428571428571425</v>
      </c>
      <c r="KP38" s="294">
        <f>KQ38*KP10</f>
        <v>9.032571428571428</v>
      </c>
      <c r="KQ38" s="221">
        <f>KQ39+KQ48+KQ50+KQ52</f>
        <v>6.8428571428571425</v>
      </c>
      <c r="KR38" s="294">
        <f>KS38*KR10</f>
        <v>9.032571428571428</v>
      </c>
      <c r="KS38" s="221">
        <f>KS39+KS48+KS50+KS52</f>
        <v>6.8428571428571425</v>
      </c>
      <c r="KT38" s="294">
        <f>KU38*KT10</f>
        <v>9.032571428571428</v>
      </c>
      <c r="KU38" s="221">
        <f>KU39+KU48+KU50+KU52</f>
        <v>6.8428571428571425</v>
      </c>
      <c r="KV38" s="294">
        <f>KW38*KV10</f>
        <v>9.032571428571428</v>
      </c>
      <c r="KW38" s="221">
        <f>KW39+KW48+KW50+KW52</f>
        <v>6.8428571428571425</v>
      </c>
      <c r="KX38" s="294">
        <f>KY38*KX10</f>
        <v>9.032571428571428</v>
      </c>
      <c r="KY38" s="221">
        <f>KY39+KY48+KY50+KY52</f>
        <v>6.8428571428571425</v>
      </c>
      <c r="KZ38" s="294">
        <f>LA38*KZ10</f>
        <v>9.032571428571428</v>
      </c>
      <c r="LA38" s="221">
        <f>LA39+LA48+LA50+LA52</f>
        <v>6.8428571428571425</v>
      </c>
      <c r="LB38" s="294">
        <f>LC38*LB10</f>
        <v>9.032571428571428</v>
      </c>
      <c r="LC38" s="221">
        <f>LC39+LC48+LC50+LC52</f>
        <v>6.8428571428571425</v>
      </c>
      <c r="LD38" s="294">
        <f>LE38*LD10</f>
        <v>9.032571428571428</v>
      </c>
      <c r="LE38" s="221">
        <f>LE39+LE48+LE50+LE52</f>
        <v>6.8428571428571425</v>
      </c>
      <c r="LF38" s="294">
        <f>LG38*LF10</f>
        <v>9.032571428571428</v>
      </c>
      <c r="LG38" s="221">
        <f>LG39+LG48+LG50+LG52</f>
        <v>6.8428571428571425</v>
      </c>
      <c r="LH38" s="294">
        <f>LI38*LH10</f>
        <v>9.032571428571428</v>
      </c>
      <c r="LI38" s="221">
        <f>LI39+LI48+LI50+LI52</f>
        <v>6.8428571428571425</v>
      </c>
      <c r="LJ38" s="294">
        <f>LK38*LJ10</f>
        <v>9.032571428571428</v>
      </c>
      <c r="LK38" s="221">
        <f>LK39+LK48+LK50+LK52</f>
        <v>6.8428571428571425</v>
      </c>
      <c r="LL38" s="294">
        <f>LM38*LL10</f>
        <v>9.032571428571428</v>
      </c>
      <c r="LM38" s="221">
        <f>LM39+LM48+LM50+LM52</f>
        <v>6.8428571428571425</v>
      </c>
      <c r="LN38" s="294">
        <f>LO38*LN10</f>
        <v>9.032571428571428</v>
      </c>
      <c r="LO38" s="221">
        <f>LO39+LO48+LO50+LO52</f>
        <v>6.8428571428571425</v>
      </c>
      <c r="LP38" s="294">
        <f>LQ38*LP10</f>
        <v>9.032571428571428</v>
      </c>
      <c r="LQ38" s="221">
        <f>LQ39+LQ48+LQ50+LQ52</f>
        <v>6.8428571428571425</v>
      </c>
      <c r="LR38" s="294">
        <f>LS38*LR10</f>
        <v>9.032571428571428</v>
      </c>
      <c r="LS38" s="221">
        <f>LS39+LS48+LS50+LS52</f>
        <v>6.8428571428571425</v>
      </c>
      <c r="LT38" s="294">
        <f>LU38*LT10</f>
        <v>9.032571428571428</v>
      </c>
      <c r="LU38" s="221">
        <f>LU39+LU48+LU50+LU52</f>
        <v>6.8428571428571425</v>
      </c>
      <c r="LV38" s="294">
        <f>LW38*LV10</f>
        <v>9.032571428571428</v>
      </c>
      <c r="LW38" s="221">
        <f>LW39+LW48+LW50+LW52</f>
        <v>6.8428571428571425</v>
      </c>
      <c r="LX38" s="294">
        <f>LY38*LX10</f>
        <v>9.032571428571428</v>
      </c>
      <c r="LY38" s="221">
        <f>LY39+LY48+LY50+LY52</f>
        <v>6.8428571428571425</v>
      </c>
      <c r="LZ38" s="294">
        <f>MA38*LZ10</f>
        <v>9.032571428571428</v>
      </c>
      <c r="MA38" s="221">
        <f>MA39+MA48+MA50+MA52</f>
        <v>6.8428571428571425</v>
      </c>
      <c r="MB38" s="294">
        <f>MC38*MB10</f>
        <v>9.032571428571428</v>
      </c>
      <c r="MC38" s="221">
        <f>MC39+MC48+MC50+MC52</f>
        <v>6.8428571428571425</v>
      </c>
      <c r="MD38" s="294">
        <f>ME38*MD10</f>
        <v>9.032571428571428</v>
      </c>
      <c r="ME38" s="221">
        <f>ME39+ME48+ME50+ME52</f>
        <v>6.8428571428571425</v>
      </c>
      <c r="MF38" s="294">
        <f>MG38*MF10</f>
        <v>9.032571428571428</v>
      </c>
      <c r="MG38" s="221">
        <f>MG39+MG48+MG50+MG52</f>
        <v>6.8428571428571425</v>
      </c>
      <c r="MH38" s="219"/>
      <c r="MI38" s="294">
        <f>MJ38*MI10</f>
        <v>5.7864705882352947</v>
      </c>
      <c r="MJ38" s="221">
        <f>MJ39+MJ48+MJ50+MJ52</f>
        <v>4.3836898395721926</v>
      </c>
      <c r="MK38" s="294">
        <f>ML38*MK10</f>
        <v>6.0504705882352949</v>
      </c>
      <c r="ML38" s="221">
        <f>ML39+ML48+ML50+ML52</f>
        <v>4.5836898395721928</v>
      </c>
      <c r="MM38" s="294">
        <f>MN38*MM10</f>
        <v>6.380470588235295</v>
      </c>
      <c r="MN38" s="221">
        <f>MN39+MN48+MN50+MN52</f>
        <v>4.8336898395721928</v>
      </c>
      <c r="MO38" s="294">
        <f>MP38*MO10</f>
        <v>6.380470588235295</v>
      </c>
      <c r="MP38" s="221">
        <f>MP39+MP48+MP50+MP52</f>
        <v>4.8336898395721928</v>
      </c>
      <c r="MQ38" s="294">
        <f>MR38*MQ10</f>
        <v>6.9084705882352937</v>
      </c>
      <c r="MR38" s="221">
        <f>MR39+MR48+MR50+MR52</f>
        <v>5.2336898395721922</v>
      </c>
      <c r="MS38" s="294">
        <f>MT38*MS10</f>
        <v>6.7764705882352949</v>
      </c>
      <c r="MT38" s="221">
        <f>MT39+MT48+MT50+MT52</f>
        <v>5.1336898395721926</v>
      </c>
      <c r="MU38" s="294">
        <f>MV38*MU10</f>
        <v>6.9084705882352937</v>
      </c>
      <c r="MV38" s="221">
        <f>MV39+MV48+MV50+MV52</f>
        <v>5.2336898395721922</v>
      </c>
      <c r="MW38" s="294">
        <f>MX38*MW10</f>
        <v>8.3604705882352945</v>
      </c>
      <c r="MX38" s="221">
        <f>MX39+MX48+MX50+MX52</f>
        <v>6.3336898395721928</v>
      </c>
      <c r="MY38" s="294">
        <f>MZ38*MY10</f>
        <v>8.8671657754010695</v>
      </c>
      <c r="MZ38" s="221">
        <f>MZ39+MZ48+MZ50+MZ52</f>
        <v>6.3336898395721928</v>
      </c>
      <c r="NA38" s="294">
        <f>NB38*NA10</f>
        <v>8.3604705882352945</v>
      </c>
      <c r="NB38" s="221">
        <f>NB39+NB48+NB50+NB52</f>
        <v>6.3336898395721928</v>
      </c>
      <c r="NC38" s="294">
        <f>ND38*NC10</f>
        <v>8.3604705882352945</v>
      </c>
      <c r="ND38" s="221">
        <f>ND39+ND48+ND50+ND52</f>
        <v>6.3336898395721928</v>
      </c>
      <c r="NE38" s="294">
        <f>NF38*NE10</f>
        <v>8.3604705882352945</v>
      </c>
      <c r="NF38" s="221">
        <f>NF39+NF48+NF50+NF52</f>
        <v>6.3336898395721928</v>
      </c>
      <c r="NG38" s="294">
        <f>NH38*NG10</f>
        <v>8.3604705882352945</v>
      </c>
      <c r="NH38" s="221">
        <f>NH39+NH48+NH50+NH52</f>
        <v>6.3336898395721928</v>
      </c>
      <c r="NI38" s="294">
        <f>NJ38*NI10</f>
        <v>8.3604705882352945</v>
      </c>
      <c r="NJ38" s="221">
        <f>NJ39+NJ48+NJ50+NJ52</f>
        <v>6.3336898395721928</v>
      </c>
      <c r="NK38" s="294">
        <f>NL38*NK10</f>
        <v>8.3604705882352945</v>
      </c>
      <c r="NL38" s="221">
        <f>NL39+NL48+NL50+NL52</f>
        <v>6.3336898395721928</v>
      </c>
      <c r="NM38" s="294">
        <f>NN38*NM10</f>
        <v>8.3604705882352945</v>
      </c>
      <c r="NN38" s="221">
        <f>NN39+NN48+NN50+NN52</f>
        <v>6.3336898395721928</v>
      </c>
      <c r="NO38" s="294">
        <f>NP38*NO10</f>
        <v>8.3604705882352945</v>
      </c>
      <c r="NP38" s="221">
        <f>NP39+NP48+NP50+NP52</f>
        <v>6.3336898395721928</v>
      </c>
      <c r="NQ38" s="294">
        <f>NR38*NQ10</f>
        <v>8.3604705882352945</v>
      </c>
      <c r="NR38" s="221">
        <f>NR39+NR48+NR50+NR52</f>
        <v>6.3336898395721928</v>
      </c>
      <c r="NS38" s="294">
        <f>NT38*NS10</f>
        <v>8.3604705882352945</v>
      </c>
      <c r="NT38" s="221">
        <f>NT39+NT48+NT50+NT52</f>
        <v>6.3336898395721928</v>
      </c>
      <c r="NU38" s="294">
        <f>NV38*NU10</f>
        <v>8.3604705882352945</v>
      </c>
      <c r="NV38" s="221">
        <f>NV39+NV48+NV50+NV52</f>
        <v>6.3336898395721928</v>
      </c>
      <c r="NW38" s="294">
        <f>NX38*NW10</f>
        <v>8.3604705882352945</v>
      </c>
      <c r="NX38" s="221">
        <f>NX39+NX48+NX50+NX52</f>
        <v>6.3336898395721928</v>
      </c>
      <c r="NY38" s="294">
        <f>NZ38*NY10</f>
        <v>8.3604705882352945</v>
      </c>
      <c r="NZ38" s="221">
        <f>NZ39+NZ48+NZ50+NZ52</f>
        <v>6.3336898395721928</v>
      </c>
      <c r="OA38" s="294">
        <f>OB38*OA10</f>
        <v>8.3604705882352945</v>
      </c>
      <c r="OB38" s="221">
        <f>OB39+OB48+OB50+OB52</f>
        <v>6.3336898395721928</v>
      </c>
      <c r="OC38" s="294">
        <f>OD38*OC10</f>
        <v>8.3604705882352945</v>
      </c>
      <c r="OD38" s="221">
        <f>OD39+OD48+OD50+OD52</f>
        <v>6.3336898395721928</v>
      </c>
      <c r="OE38" s="294">
        <f>OF38*OE10</f>
        <v>8.3604705882352945</v>
      </c>
      <c r="OF38" s="221">
        <f>OF39+OF48+OF50+OF52</f>
        <v>6.3336898395721928</v>
      </c>
      <c r="OG38" s="294">
        <f>OH38*OG10</f>
        <v>8.3604705882352945</v>
      </c>
      <c r="OH38" s="221">
        <f>OH39+OH48+OH50+OH52</f>
        <v>6.3336898395721928</v>
      </c>
      <c r="OI38" s="294">
        <f>OJ38*OI10</f>
        <v>8.3604705882352945</v>
      </c>
      <c r="OJ38" s="221">
        <f>OJ39+OJ48+OJ50+OJ52</f>
        <v>6.3336898395721928</v>
      </c>
      <c r="OK38" s="294">
        <f>OL38*OK10</f>
        <v>8.3604705882352945</v>
      </c>
      <c r="OL38" s="221">
        <f>OL39+OL48+OL50+OL52</f>
        <v>6.3336898395721928</v>
      </c>
      <c r="OM38" s="294">
        <f>ON38*OM10</f>
        <v>8.3604705882352945</v>
      </c>
      <c r="ON38" s="221">
        <f>ON39+ON48+ON50+ON52</f>
        <v>6.3336898395721928</v>
      </c>
      <c r="OO38" s="294">
        <f>OP38*OO10</f>
        <v>8.3604705882352945</v>
      </c>
      <c r="OP38" s="221">
        <f>OP39+OP48+OP50+OP52</f>
        <v>6.3336898395721928</v>
      </c>
      <c r="OQ38" s="294">
        <f>OR38*OQ10</f>
        <v>8.3604705882352945</v>
      </c>
      <c r="OR38" s="221">
        <f>OR39+OR48+OR50+OR52</f>
        <v>6.3336898395721928</v>
      </c>
      <c r="OS38" s="294">
        <f>OT38*OS10</f>
        <v>8.3604705882352945</v>
      </c>
      <c r="OT38" s="221">
        <f>OT39+OT48+OT50+OT52</f>
        <v>6.3336898395721928</v>
      </c>
      <c r="OU38" s="294">
        <f>OV38*OU10</f>
        <v>8.3604705882352945</v>
      </c>
      <c r="OV38" s="221">
        <f>OV39+OV48+OV50+OV52</f>
        <v>6.3336898395721928</v>
      </c>
      <c r="OW38" s="294">
        <f>OX38*OW10</f>
        <v>8.3604705882352945</v>
      </c>
      <c r="OX38" s="221">
        <f>OX39+OX48+OX50+OX52</f>
        <v>6.3336898395721928</v>
      </c>
      <c r="OY38" s="294">
        <f>OZ38*OY10</f>
        <v>8.3604705882352945</v>
      </c>
      <c r="OZ38" s="221">
        <f>OZ39+OZ48+OZ50+OZ52</f>
        <v>6.3336898395721928</v>
      </c>
      <c r="PA38" s="294">
        <f>PB38*PA10</f>
        <v>8.3604705882352945</v>
      </c>
      <c r="PB38" s="221">
        <f>PB39+PB48+PB50+PB52</f>
        <v>6.3336898395721928</v>
      </c>
      <c r="PC38" s="294">
        <f>PD38*PC10</f>
        <v>8.3604705882352945</v>
      </c>
      <c r="PD38" s="221">
        <f>PD39+PD48+PD50+PD52</f>
        <v>6.3336898395721928</v>
      </c>
      <c r="PE38" s="294">
        <f>PF38*PE10</f>
        <v>8.3604705882352945</v>
      </c>
      <c r="PF38" s="221">
        <f>PF39+PF48+PF50+PF52</f>
        <v>6.3336898395721928</v>
      </c>
      <c r="PG38" s="294">
        <f>PH38*PG10</f>
        <v>8.3604705882352945</v>
      </c>
      <c r="PH38" s="221">
        <f>PH39+PH48+PH50+PH52</f>
        <v>6.3336898395721928</v>
      </c>
      <c r="PI38" s="294">
        <f>PJ38*PI10</f>
        <v>7.8984705882352957</v>
      </c>
      <c r="PJ38" s="221">
        <f>PJ39+PJ48+PJ50+PJ52</f>
        <v>5.9836898395721931</v>
      </c>
      <c r="PK38" s="294">
        <f>PL38*PK10</f>
        <v>7.7004705882352944</v>
      </c>
      <c r="PL38" s="221">
        <f>PL39+PL48+PL50+PL52</f>
        <v>5.8336898395721928</v>
      </c>
      <c r="PM38" s="294">
        <f>PN38*PM10</f>
        <v>8.3604705882352945</v>
      </c>
      <c r="PN38" s="221">
        <f>PN39+PN48+PN50+PN52</f>
        <v>6.3336898395721928</v>
      </c>
      <c r="PO38" s="294">
        <f>PP38*PO10</f>
        <v>8.3604705882352945</v>
      </c>
      <c r="PP38" s="221">
        <f>PP39+PP48+PP50+PP52</f>
        <v>6.3336898395721928</v>
      </c>
      <c r="PR38" s="294">
        <f>PS38*PR10</f>
        <v>9.8931724137931045</v>
      </c>
      <c r="PS38" s="221">
        <f>PS39+PS48+PS50+PS52</f>
        <v>7.4948275862068972</v>
      </c>
      <c r="PT38" s="294">
        <f>PU38*PT10</f>
        <v>9.8931724137931045</v>
      </c>
      <c r="PU38" s="221">
        <f>PU39+PU48+PU50+PU52</f>
        <v>7.4948275862068972</v>
      </c>
      <c r="PV38" s="294">
        <f>PW38*PV10</f>
        <v>8.8371724137931054</v>
      </c>
      <c r="PW38" s="221">
        <f>PW39+PW48+PW50+PW52</f>
        <v>6.6948275862068973</v>
      </c>
      <c r="PX38" s="294">
        <f>PY38*PX10</f>
        <v>8.8371724137931054</v>
      </c>
      <c r="PY38" s="221">
        <f>PY39+PY48+PY50+PY52</f>
        <v>6.6948275862068973</v>
      </c>
      <c r="PZ38" s="294">
        <f>QA38*PZ10</f>
        <v>6.8571724137931049</v>
      </c>
      <c r="QA38" s="221">
        <f>QA39+QA48+QA50+QA52</f>
        <v>5.1948275862068973</v>
      </c>
      <c r="QB38" s="294">
        <f>QC38*QB10</f>
        <v>6.8571724137931049</v>
      </c>
      <c r="QC38" s="221">
        <f>QC39+QC48+QC50+QC52</f>
        <v>5.1948275862068973</v>
      </c>
      <c r="QF38" s="294">
        <f>QG38*QF10</f>
        <v>9.8931724137931045</v>
      </c>
      <c r="QG38" s="221">
        <f>QG39+QG48+QG50+QG52</f>
        <v>7.4948275862068972</v>
      </c>
      <c r="QH38" s="294">
        <f>QI38*QH10</f>
        <v>9.8931724137931045</v>
      </c>
      <c r="QI38" s="221">
        <f>QI39+QI48+QI50+QI52</f>
        <v>7.4948275862068972</v>
      </c>
      <c r="QJ38" s="294">
        <f>QK38*QJ10</f>
        <v>8.8371724137931054</v>
      </c>
      <c r="QK38" s="221">
        <f>QK39+QK48+QK50+QK52</f>
        <v>6.6948275862068973</v>
      </c>
      <c r="QL38" s="294">
        <f>QM38*QL10</f>
        <v>8.8371724137931054</v>
      </c>
      <c r="QM38" s="221">
        <f>QM39+QM48+QM50+QM52</f>
        <v>6.6948275862068973</v>
      </c>
      <c r="QN38" s="294">
        <f>QO38*QN10</f>
        <v>8.8371724137931036</v>
      </c>
      <c r="QO38" s="221">
        <f>QO39+QO48+QO50+QO52</f>
        <v>6.6948275862068964</v>
      </c>
      <c r="QP38" s="294">
        <f>QQ38*QP10</f>
        <v>8.8371724137931036</v>
      </c>
      <c r="QQ38" s="221">
        <f>QQ39+QQ48+QQ50+QQ52</f>
        <v>6.6948275862068964</v>
      </c>
    </row>
    <row r="39" spans="1:459" x14ac:dyDescent="0.45">
      <c r="A39" s="871"/>
      <c r="B39" s="202" t="s">
        <v>346</v>
      </c>
      <c r="C39" s="203"/>
      <c r="D39" s="204"/>
      <c r="E39" s="219"/>
      <c r="F39" s="293">
        <f>G39*F10</f>
        <v>8.25</v>
      </c>
      <c r="G39" s="221">
        <v>6.25</v>
      </c>
      <c r="H39" s="293">
        <f>I39*H10</f>
        <v>8.25</v>
      </c>
      <c r="I39" s="221">
        <v>6.25</v>
      </c>
      <c r="J39" s="294">
        <f>K39*J10</f>
        <v>7.854000000000001</v>
      </c>
      <c r="K39" s="221">
        <f>K55</f>
        <v>5.95</v>
      </c>
      <c r="L39" s="294">
        <f>M39*L10</f>
        <v>7.854000000000001</v>
      </c>
      <c r="M39" s="221">
        <f>M55</f>
        <v>5.95</v>
      </c>
      <c r="N39" s="294">
        <f>O39*N10</f>
        <v>8.3160000000000007</v>
      </c>
      <c r="O39" s="221">
        <f>O55</f>
        <v>6.3000000000000007</v>
      </c>
      <c r="P39" s="294">
        <f>Q39*P10</f>
        <v>8.7120000000000015</v>
      </c>
      <c r="Q39" s="221">
        <f>Q55</f>
        <v>6.6000000000000005</v>
      </c>
      <c r="R39" s="294">
        <f>S39*R10</f>
        <v>8.7120000000000015</v>
      </c>
      <c r="S39" s="221">
        <f>S55</f>
        <v>6.6000000000000005</v>
      </c>
      <c r="T39" s="294">
        <f>U39*T10</f>
        <v>9.24</v>
      </c>
      <c r="U39" s="221">
        <f>U55</f>
        <v>7</v>
      </c>
      <c r="V39" s="294">
        <f>W39*V10</f>
        <v>9.24</v>
      </c>
      <c r="W39" s="221">
        <f>W55</f>
        <v>7</v>
      </c>
      <c r="X39" s="294">
        <f>Y39*X10</f>
        <v>9.1740000000000013</v>
      </c>
      <c r="Y39" s="221">
        <f>Y55</f>
        <v>6.95</v>
      </c>
      <c r="Z39" s="294">
        <f>AA39*Z10</f>
        <v>9.1740000000000013</v>
      </c>
      <c r="AA39" s="221">
        <f>AA55</f>
        <v>6.95</v>
      </c>
      <c r="AB39" s="294">
        <f>AC39*AB10</f>
        <v>9.1740000000000013</v>
      </c>
      <c r="AC39" s="221">
        <f>AC55</f>
        <v>6.95</v>
      </c>
      <c r="AD39" s="294">
        <f>AE39*AD10</f>
        <v>9.9</v>
      </c>
      <c r="AE39" s="221">
        <f>AE55</f>
        <v>7.5</v>
      </c>
      <c r="AF39" s="294">
        <f>AG39*AF10</f>
        <v>10.5</v>
      </c>
      <c r="AG39" s="221">
        <f>AG55</f>
        <v>7.5</v>
      </c>
      <c r="AH39" s="294">
        <f>AI39*AH10</f>
        <v>9.9</v>
      </c>
      <c r="AI39" s="221">
        <f>AI55</f>
        <v>7.5</v>
      </c>
      <c r="AJ39" s="294">
        <f>AK39*AJ10</f>
        <v>9.9</v>
      </c>
      <c r="AK39" s="221">
        <f>AK55</f>
        <v>7.5</v>
      </c>
      <c r="AL39" s="294">
        <f>AM39*AL10</f>
        <v>9.9</v>
      </c>
      <c r="AM39" s="221">
        <f>AM55</f>
        <v>7.5</v>
      </c>
      <c r="AN39" s="294">
        <f>AO39*AN10</f>
        <v>9.9</v>
      </c>
      <c r="AO39" s="221">
        <f>AO55</f>
        <v>7.5</v>
      </c>
      <c r="AP39" s="294">
        <f>AQ39*AP10</f>
        <v>9.9</v>
      </c>
      <c r="AQ39" s="221">
        <f>AQ55</f>
        <v>7.5</v>
      </c>
      <c r="AR39" s="294">
        <f>AS39*AR10</f>
        <v>9.9</v>
      </c>
      <c r="AS39" s="221">
        <f>AS55</f>
        <v>7.5</v>
      </c>
      <c r="AT39" s="294">
        <f>AU39*AT10</f>
        <v>9.9</v>
      </c>
      <c r="AU39" s="221">
        <f>AU55</f>
        <v>7.5</v>
      </c>
      <c r="AV39" s="294">
        <f>AW39*AV10</f>
        <v>9.9</v>
      </c>
      <c r="AW39" s="221">
        <f>AW55</f>
        <v>7.5</v>
      </c>
      <c r="AX39" s="294">
        <f>AY39*AX10</f>
        <v>9.9</v>
      </c>
      <c r="AY39" s="221">
        <f>AY55</f>
        <v>7.5</v>
      </c>
      <c r="AZ39" s="294">
        <f>BA39*AZ10</f>
        <v>9.9</v>
      </c>
      <c r="BA39" s="221">
        <f>BA55</f>
        <v>7.5</v>
      </c>
      <c r="BB39" s="294">
        <f>BC39*BB10</f>
        <v>9.9</v>
      </c>
      <c r="BC39" s="221">
        <f>BC55</f>
        <v>7.5</v>
      </c>
      <c r="BD39" s="294">
        <f>BE39*BD10</f>
        <v>9.9</v>
      </c>
      <c r="BE39" s="221">
        <f>BE55</f>
        <v>7.5</v>
      </c>
      <c r="BF39" s="294">
        <f>BG39*BF10</f>
        <v>9.9</v>
      </c>
      <c r="BG39" s="221">
        <f>BG55</f>
        <v>7.5</v>
      </c>
      <c r="BH39" s="294">
        <f>BI39*BH10</f>
        <v>9.9</v>
      </c>
      <c r="BI39" s="221">
        <f>BI55</f>
        <v>7.5</v>
      </c>
      <c r="BJ39" s="294">
        <f>BK39*BJ10</f>
        <v>9.9</v>
      </c>
      <c r="BK39" s="221">
        <f>BK55</f>
        <v>7.5</v>
      </c>
      <c r="BL39" s="294">
        <f>BM39*BL10</f>
        <v>9.9</v>
      </c>
      <c r="BM39" s="221">
        <f>BM55</f>
        <v>7.5</v>
      </c>
      <c r="BN39" s="294">
        <f>BO39*BN10</f>
        <v>9.9</v>
      </c>
      <c r="BO39" s="221">
        <f>BO55</f>
        <v>7.5</v>
      </c>
      <c r="BP39" s="294">
        <f>BQ39*BP10</f>
        <v>9.9</v>
      </c>
      <c r="BQ39" s="221">
        <f>BQ55</f>
        <v>7.5</v>
      </c>
      <c r="BR39" s="294">
        <f>BS39*BR10</f>
        <v>9.9</v>
      </c>
      <c r="BS39" s="221">
        <f>BS55</f>
        <v>7.5</v>
      </c>
      <c r="BT39" s="294">
        <f>BU39*BT10</f>
        <v>9.9</v>
      </c>
      <c r="BU39" s="221">
        <f>BU55</f>
        <v>7.5</v>
      </c>
      <c r="BV39" s="294">
        <f>BW39*BV10</f>
        <v>9.9</v>
      </c>
      <c r="BW39" s="221">
        <f>BW55</f>
        <v>7.5</v>
      </c>
      <c r="BX39" s="294">
        <f>BY39*BX10</f>
        <v>9.9</v>
      </c>
      <c r="BY39" s="221">
        <f>BY55</f>
        <v>7.5</v>
      </c>
      <c r="BZ39" s="294">
        <f>CA39*BZ10</f>
        <v>9.9</v>
      </c>
      <c r="CA39" s="221">
        <f>CA55</f>
        <v>7.5</v>
      </c>
      <c r="CB39" s="294">
        <f>CC39*CB10</f>
        <v>9.9</v>
      </c>
      <c r="CC39" s="221">
        <f>CC55</f>
        <v>7.5</v>
      </c>
      <c r="CD39" s="294">
        <f>CE39*CD10</f>
        <v>9.9</v>
      </c>
      <c r="CE39" s="221">
        <f>CE55</f>
        <v>7.5</v>
      </c>
      <c r="CF39" s="294">
        <f>CG39*CF10</f>
        <v>9.9</v>
      </c>
      <c r="CG39" s="221">
        <f>CG55</f>
        <v>7.5</v>
      </c>
      <c r="CH39" s="294">
        <f>CI39*CH10</f>
        <v>9.9</v>
      </c>
      <c r="CI39" s="221">
        <f>CI55</f>
        <v>7.5</v>
      </c>
      <c r="CJ39" s="294">
        <f>CK39*CJ10</f>
        <v>9.9</v>
      </c>
      <c r="CK39" s="221">
        <f>CK55</f>
        <v>7.5</v>
      </c>
      <c r="CL39" s="294">
        <f>CM39*CL10</f>
        <v>9.9</v>
      </c>
      <c r="CM39" s="221">
        <f>CM55</f>
        <v>7.5</v>
      </c>
      <c r="CN39" s="294">
        <f>CO39*CN10</f>
        <v>9.9</v>
      </c>
      <c r="CO39" s="221">
        <f>CO55</f>
        <v>7.5</v>
      </c>
      <c r="CP39" s="294">
        <f>CQ39*CP10</f>
        <v>9.9</v>
      </c>
      <c r="CQ39" s="221">
        <f>CQ55</f>
        <v>7.5</v>
      </c>
      <c r="CR39" s="294">
        <f>CS39*CR10</f>
        <v>9.9</v>
      </c>
      <c r="CS39" s="221">
        <f>CS55</f>
        <v>7.5</v>
      </c>
      <c r="CT39" s="209"/>
      <c r="CU39" s="294">
        <f>CV39*CU10</f>
        <v>12.540000000000001</v>
      </c>
      <c r="CV39" s="221">
        <f>CV55</f>
        <v>9.5</v>
      </c>
      <c r="CW39" s="294">
        <f>CX39*CW10</f>
        <v>12.540000000000001</v>
      </c>
      <c r="CX39" s="221">
        <f>CX55</f>
        <v>9.5</v>
      </c>
      <c r="CY39" s="294">
        <f>CZ39*CY10</f>
        <v>12.936</v>
      </c>
      <c r="CZ39" s="221">
        <f>CZ55</f>
        <v>9.7999999999999989</v>
      </c>
      <c r="DA39" s="294">
        <f>DB39*DA10</f>
        <v>12.936</v>
      </c>
      <c r="DB39" s="221">
        <f>DB55</f>
        <v>9.7999999999999989</v>
      </c>
      <c r="DC39" s="294">
        <f>DD39*DC10</f>
        <v>14.388000000000002</v>
      </c>
      <c r="DD39" s="221">
        <f>DD55</f>
        <v>10.9</v>
      </c>
      <c r="DE39" s="294">
        <f>DF39*DE10</f>
        <v>15.26</v>
      </c>
      <c r="DF39" s="221">
        <f>DF55</f>
        <v>10.9</v>
      </c>
      <c r="DG39" s="294">
        <f>DH39*DG10</f>
        <v>14.388000000000002</v>
      </c>
      <c r="DH39" s="221">
        <f>DH55</f>
        <v>10.9</v>
      </c>
      <c r="DI39" s="294">
        <f>DJ39*DI10</f>
        <v>14.388000000000002</v>
      </c>
      <c r="DJ39" s="221">
        <f>DJ55</f>
        <v>10.9</v>
      </c>
      <c r="DK39" s="294">
        <f>DL39*DK10</f>
        <v>14.388000000000002</v>
      </c>
      <c r="DL39" s="221">
        <f>DL55</f>
        <v>10.9</v>
      </c>
      <c r="DM39" s="294">
        <f>DN39*DM10</f>
        <v>14.388000000000002</v>
      </c>
      <c r="DN39" s="221">
        <f>DN55</f>
        <v>10.9</v>
      </c>
      <c r="DO39" s="294">
        <f>DP39*DO10</f>
        <v>14.388000000000002</v>
      </c>
      <c r="DP39" s="221">
        <f>DP55</f>
        <v>10.9</v>
      </c>
      <c r="DQ39" s="294">
        <f>DR39*DQ10</f>
        <v>14.388000000000002</v>
      </c>
      <c r="DR39" s="221">
        <f>DR55</f>
        <v>10.9</v>
      </c>
      <c r="DS39" s="294">
        <f>DT39*DS10</f>
        <v>14.388000000000002</v>
      </c>
      <c r="DT39" s="221">
        <f>DT55</f>
        <v>10.9</v>
      </c>
      <c r="DU39" s="294">
        <f>DV39*DU10</f>
        <v>14.388000000000002</v>
      </c>
      <c r="DV39" s="221">
        <f>DV55</f>
        <v>10.9</v>
      </c>
      <c r="DW39" s="294">
        <f>DX39*DW10</f>
        <v>14.388000000000002</v>
      </c>
      <c r="DX39" s="221">
        <f>DX55</f>
        <v>10.9</v>
      </c>
      <c r="DY39" s="294">
        <f>DZ39*DY10</f>
        <v>14.388000000000002</v>
      </c>
      <c r="DZ39" s="221">
        <f>DZ55</f>
        <v>10.9</v>
      </c>
      <c r="EA39" s="294">
        <f>EB39*EA10</f>
        <v>14.388000000000002</v>
      </c>
      <c r="EB39" s="221">
        <f>EB55</f>
        <v>10.9</v>
      </c>
      <c r="EC39" s="294">
        <f>ED39*EC10</f>
        <v>14.388000000000002</v>
      </c>
      <c r="ED39" s="221">
        <f>ED55</f>
        <v>10.9</v>
      </c>
      <c r="EE39" s="294">
        <f>EF39*EE10</f>
        <v>14.388000000000002</v>
      </c>
      <c r="EF39" s="221">
        <f>EF55</f>
        <v>10.9</v>
      </c>
      <c r="EG39" s="294">
        <f>EH39*EG10</f>
        <v>14.388000000000002</v>
      </c>
      <c r="EH39" s="221">
        <f>EH55</f>
        <v>10.9</v>
      </c>
      <c r="EI39" s="294">
        <f>EJ39*EI10</f>
        <v>14.388000000000002</v>
      </c>
      <c r="EJ39" s="221">
        <f>EJ55</f>
        <v>10.9</v>
      </c>
      <c r="EK39" s="294">
        <f>EL39*EK10</f>
        <v>14.388000000000002</v>
      </c>
      <c r="EL39" s="221">
        <f>EL55</f>
        <v>10.9</v>
      </c>
      <c r="EM39" s="294">
        <f>EN39*EM10</f>
        <v>14.388000000000002</v>
      </c>
      <c r="EN39" s="221">
        <f>EN55</f>
        <v>10.9</v>
      </c>
      <c r="EO39" s="294">
        <f>EP39*EO10</f>
        <v>14.388000000000002</v>
      </c>
      <c r="EP39" s="221">
        <f>EP55</f>
        <v>10.9</v>
      </c>
      <c r="EQ39" s="294">
        <f>ER39*EQ10</f>
        <v>14.388000000000002</v>
      </c>
      <c r="ER39" s="221">
        <f>ER55</f>
        <v>10.9</v>
      </c>
      <c r="ES39" s="294">
        <f>ET39*ES10</f>
        <v>14.388000000000002</v>
      </c>
      <c r="ET39" s="221">
        <f>ET55</f>
        <v>10.9</v>
      </c>
      <c r="EU39" s="294">
        <f>EV39*EU10</f>
        <v>14.388000000000002</v>
      </c>
      <c r="EV39" s="221">
        <f>EV55</f>
        <v>10.9</v>
      </c>
      <c r="EW39" s="294">
        <f>EX39*EW10</f>
        <v>14.388000000000002</v>
      </c>
      <c r="EX39" s="221">
        <f>EX55</f>
        <v>10.9</v>
      </c>
      <c r="EY39" s="294">
        <f>EZ39*EY10</f>
        <v>14.388000000000002</v>
      </c>
      <c r="EZ39" s="221">
        <f>EZ55</f>
        <v>10.9</v>
      </c>
      <c r="FA39" s="294">
        <f>FB39*FA10</f>
        <v>14.388000000000002</v>
      </c>
      <c r="FB39" s="221">
        <f>FB55</f>
        <v>10.9</v>
      </c>
      <c r="FC39" s="294">
        <f>FD39*FC10</f>
        <v>14.388000000000002</v>
      </c>
      <c r="FD39" s="221">
        <f>FD55</f>
        <v>10.9</v>
      </c>
      <c r="FE39" s="294">
        <f>FF39*FE10</f>
        <v>14.388000000000002</v>
      </c>
      <c r="FF39" s="221">
        <f>FF55</f>
        <v>10.9</v>
      </c>
      <c r="FG39" s="294">
        <f>FH39*FG10</f>
        <v>14.388000000000002</v>
      </c>
      <c r="FH39" s="221">
        <f>FH55</f>
        <v>10.9</v>
      </c>
      <c r="FI39" s="294">
        <f>FJ39*FI10</f>
        <v>14.388000000000002</v>
      </c>
      <c r="FJ39" s="221">
        <f>FJ55</f>
        <v>10.9</v>
      </c>
      <c r="FK39" s="294">
        <f>FL39*FK10</f>
        <v>14.388000000000002</v>
      </c>
      <c r="FL39" s="221">
        <f>FL55</f>
        <v>10.9</v>
      </c>
      <c r="FM39" s="294">
        <f>FN39*FM10</f>
        <v>14.388000000000002</v>
      </c>
      <c r="FN39" s="221">
        <f>FN55</f>
        <v>10.9</v>
      </c>
      <c r="FO39" s="294">
        <f>FP39*FO10</f>
        <v>14.388000000000002</v>
      </c>
      <c r="FP39" s="221">
        <f>FP55</f>
        <v>10.9</v>
      </c>
      <c r="FQ39" s="219"/>
      <c r="FR39" s="294">
        <f>FS39*FR10</f>
        <v>7.854000000000001</v>
      </c>
      <c r="FS39" s="221">
        <f t="shared" ref="FS39:HC39" si="447">FS55</f>
        <v>5.95</v>
      </c>
      <c r="FT39" s="294">
        <f>FU39*FT10</f>
        <v>8.3160000000000007</v>
      </c>
      <c r="FU39" s="221">
        <f t="shared" si="447"/>
        <v>6.3000000000000007</v>
      </c>
      <c r="FV39" s="294">
        <f>FW39*FV10</f>
        <v>8.7120000000000015</v>
      </c>
      <c r="FW39" s="221">
        <f t="shared" si="447"/>
        <v>6.6000000000000005</v>
      </c>
      <c r="FX39" s="294">
        <f>FY39*FX10</f>
        <v>8.7120000000000015</v>
      </c>
      <c r="FY39" s="221">
        <f t="shared" si="447"/>
        <v>6.6000000000000005</v>
      </c>
      <c r="FZ39" s="294">
        <f>GA39*FZ10</f>
        <v>9.24</v>
      </c>
      <c r="GA39" s="221">
        <f t="shared" si="447"/>
        <v>7</v>
      </c>
      <c r="GB39" s="294">
        <f>GC39*GB10</f>
        <v>9.24</v>
      </c>
      <c r="GC39" s="221">
        <f t="shared" si="447"/>
        <v>7</v>
      </c>
      <c r="GD39" s="294">
        <f>GE39*GD10</f>
        <v>9.1740000000000013</v>
      </c>
      <c r="GE39" s="221">
        <f t="shared" si="447"/>
        <v>6.95</v>
      </c>
      <c r="GF39" s="294">
        <f>GG39*GF10</f>
        <v>9.1740000000000013</v>
      </c>
      <c r="GG39" s="221">
        <f t="shared" si="447"/>
        <v>6.95</v>
      </c>
      <c r="GH39" s="294">
        <f>GI39*GH10</f>
        <v>9.1740000000000013</v>
      </c>
      <c r="GI39" s="221">
        <f t="shared" si="447"/>
        <v>6.95</v>
      </c>
      <c r="GJ39" s="294">
        <f>GK39*GJ10</f>
        <v>10.824</v>
      </c>
      <c r="GK39" s="221">
        <f t="shared" si="447"/>
        <v>8.1999999999999993</v>
      </c>
      <c r="GL39" s="294">
        <f>GM39*GL10</f>
        <v>11.479999999999999</v>
      </c>
      <c r="GM39" s="221">
        <f t="shared" si="447"/>
        <v>8.1999999999999993</v>
      </c>
      <c r="GN39" s="294">
        <f>GO39*GN10</f>
        <v>10.824</v>
      </c>
      <c r="GO39" s="221">
        <f t="shared" si="447"/>
        <v>8.1999999999999993</v>
      </c>
      <c r="GP39" s="294">
        <f>GQ39*GP10</f>
        <v>10.824</v>
      </c>
      <c r="GQ39" s="221">
        <f t="shared" si="447"/>
        <v>8.1999999999999993</v>
      </c>
      <c r="GR39" s="294">
        <f>GS39*GR10</f>
        <v>10.824</v>
      </c>
      <c r="GS39" s="221">
        <f t="shared" si="447"/>
        <v>8.1999999999999993</v>
      </c>
      <c r="GT39" s="294">
        <f>GU39*GT10</f>
        <v>10.824</v>
      </c>
      <c r="GU39" s="221">
        <f t="shared" si="447"/>
        <v>8.1999999999999993</v>
      </c>
      <c r="GV39" s="294">
        <f>GW39*GV10</f>
        <v>10.824</v>
      </c>
      <c r="GW39" s="221">
        <f t="shared" si="447"/>
        <v>8.1999999999999993</v>
      </c>
      <c r="GX39" s="294">
        <f>GY39*GX10</f>
        <v>10.824</v>
      </c>
      <c r="GY39" s="221">
        <f t="shared" si="447"/>
        <v>8.1999999999999993</v>
      </c>
      <c r="GZ39" s="294">
        <f>HA39*GZ10</f>
        <v>10.824</v>
      </c>
      <c r="HA39" s="221">
        <f t="shared" si="447"/>
        <v>8.1999999999999993</v>
      </c>
      <c r="HB39" s="294">
        <f>HC39*HB10</f>
        <v>10.824</v>
      </c>
      <c r="HC39" s="221">
        <f t="shared" si="447"/>
        <v>8.1999999999999993</v>
      </c>
      <c r="HD39" s="294">
        <f>HE39*HD10</f>
        <v>10.824</v>
      </c>
      <c r="HE39" s="221">
        <f>HE55</f>
        <v>8.1999999999999993</v>
      </c>
      <c r="HF39" s="294">
        <f>HG39*HF10</f>
        <v>10.824</v>
      </c>
      <c r="HG39" s="221">
        <f>HG55</f>
        <v>8.1999999999999993</v>
      </c>
      <c r="HH39" s="294">
        <f>HI39*HH10</f>
        <v>10.824</v>
      </c>
      <c r="HI39" s="221">
        <f>HI55</f>
        <v>8.1999999999999993</v>
      </c>
      <c r="HJ39" s="294">
        <f>HK39*HJ10</f>
        <v>10.824</v>
      </c>
      <c r="HK39" s="221">
        <f>HK55</f>
        <v>8.1999999999999993</v>
      </c>
      <c r="HL39" s="294">
        <f>HM39*HL10</f>
        <v>10.824</v>
      </c>
      <c r="HM39" s="221">
        <f>HM55</f>
        <v>8.1999999999999993</v>
      </c>
      <c r="HN39" s="294">
        <f>HO39*HN10</f>
        <v>10.824</v>
      </c>
      <c r="HO39" s="221">
        <f>HO55</f>
        <v>8.1999999999999993</v>
      </c>
      <c r="HP39" s="294">
        <f>HQ39*HP10</f>
        <v>10.824</v>
      </c>
      <c r="HQ39" s="221">
        <f>HQ55</f>
        <v>8.1999999999999993</v>
      </c>
      <c r="HR39" s="294">
        <f>HS39*HR10</f>
        <v>10.824</v>
      </c>
      <c r="HS39" s="221">
        <f>HS55</f>
        <v>8.1999999999999993</v>
      </c>
      <c r="HT39" s="294">
        <f>HU39*HT10</f>
        <v>10.824</v>
      </c>
      <c r="HU39" s="221">
        <f>HU55</f>
        <v>8.1999999999999993</v>
      </c>
      <c r="HV39" s="294">
        <f>HW39*HV10</f>
        <v>10.824</v>
      </c>
      <c r="HW39" s="221">
        <f>HW55</f>
        <v>8.1999999999999993</v>
      </c>
      <c r="HX39" s="294">
        <f>HY39*HX10</f>
        <v>10.824</v>
      </c>
      <c r="HY39" s="221">
        <f>HY55</f>
        <v>8.1999999999999993</v>
      </c>
      <c r="HZ39" s="294">
        <f>IA39*HZ10</f>
        <v>10.824</v>
      </c>
      <c r="IA39" s="221">
        <f>IA55</f>
        <v>8.1999999999999993</v>
      </c>
      <c r="IB39" s="294">
        <f>IC39*IB10</f>
        <v>10.824</v>
      </c>
      <c r="IC39" s="221">
        <f>IC55</f>
        <v>8.1999999999999993</v>
      </c>
      <c r="ID39" s="294">
        <f>IE39*ID10</f>
        <v>10.824</v>
      </c>
      <c r="IE39" s="221">
        <f>IE55</f>
        <v>8.1999999999999993</v>
      </c>
      <c r="IF39" s="294">
        <f>IG39*IF10</f>
        <v>10.824</v>
      </c>
      <c r="IG39" s="221">
        <f>IG55</f>
        <v>8.1999999999999993</v>
      </c>
      <c r="IH39" s="294">
        <f>II39*IH10</f>
        <v>10.824</v>
      </c>
      <c r="II39" s="221">
        <f>II55</f>
        <v>8.1999999999999993</v>
      </c>
      <c r="IJ39" s="294">
        <f>IK39*IJ10</f>
        <v>10.824</v>
      </c>
      <c r="IK39" s="221">
        <f>IK55</f>
        <v>8.1999999999999993</v>
      </c>
      <c r="IL39" s="294">
        <f>IM39*IL10</f>
        <v>10.824</v>
      </c>
      <c r="IM39" s="221">
        <f>IM55</f>
        <v>8.1999999999999993</v>
      </c>
      <c r="IN39" s="294">
        <f>IO39*IN10</f>
        <v>10.824</v>
      </c>
      <c r="IO39" s="221">
        <f>IO55</f>
        <v>8.1999999999999993</v>
      </c>
      <c r="IP39" s="294">
        <f>IQ39*IP10</f>
        <v>10.824</v>
      </c>
      <c r="IQ39" s="221">
        <f>IQ55</f>
        <v>8.1999999999999993</v>
      </c>
      <c r="IR39" s="294">
        <f>IS39*IR10</f>
        <v>10.824</v>
      </c>
      <c r="IS39" s="221">
        <f>IS55</f>
        <v>8.1999999999999993</v>
      </c>
      <c r="IT39" s="294">
        <f>IU39*IT10</f>
        <v>10.824</v>
      </c>
      <c r="IU39" s="221">
        <f>IU55</f>
        <v>8.1999999999999993</v>
      </c>
      <c r="IV39" s="294">
        <f>IW39*IV10</f>
        <v>10.824</v>
      </c>
      <c r="IW39" s="221">
        <f>IW55</f>
        <v>8.1999999999999993</v>
      </c>
      <c r="IX39" s="294">
        <f>IY39*IX10</f>
        <v>10.824</v>
      </c>
      <c r="IY39" s="221">
        <f>IY55</f>
        <v>8.1999999999999993</v>
      </c>
      <c r="IZ39" s="219"/>
      <c r="JA39" s="294">
        <f>JB39*JA10</f>
        <v>10.988</v>
      </c>
      <c r="JB39" s="221">
        <f>JB55</f>
        <v>8.1999999999999993</v>
      </c>
      <c r="JC39" s="294">
        <f>JD39*JC10</f>
        <v>10.988</v>
      </c>
      <c r="JD39" s="221">
        <f>JD55</f>
        <v>8.1999999999999993</v>
      </c>
      <c r="JE39" s="219"/>
      <c r="JF39" s="294">
        <f>JG39*JF10</f>
        <v>7.3919999999999995</v>
      </c>
      <c r="JG39" s="221">
        <f>JG55</f>
        <v>5.6</v>
      </c>
      <c r="JH39" s="294">
        <f>JI39*JH10</f>
        <v>7.854000000000001</v>
      </c>
      <c r="JI39" s="221">
        <f>JI55</f>
        <v>5.95</v>
      </c>
      <c r="JJ39" s="294">
        <f>JK39*JJ10</f>
        <v>8.1840000000000011</v>
      </c>
      <c r="JK39" s="221">
        <f>JK55</f>
        <v>6.2</v>
      </c>
      <c r="JL39" s="294">
        <f>JM39*JL10</f>
        <v>8.1840000000000011</v>
      </c>
      <c r="JM39" s="221">
        <f>JM55</f>
        <v>6.2</v>
      </c>
      <c r="JN39" s="294">
        <f>JO39*JN10</f>
        <v>8.8440000000000012</v>
      </c>
      <c r="JO39" s="221">
        <f>JO55</f>
        <v>6.7</v>
      </c>
      <c r="JP39" s="294">
        <f>JQ39*JP10</f>
        <v>8.8440000000000012</v>
      </c>
      <c r="JQ39" s="221">
        <f>JQ55</f>
        <v>6.7</v>
      </c>
      <c r="JR39" s="294">
        <f>JS39*JR10</f>
        <v>8.8440000000000012</v>
      </c>
      <c r="JS39" s="221">
        <f>JS55</f>
        <v>6.7</v>
      </c>
      <c r="JT39" s="294">
        <f>JU39*JT10</f>
        <v>8.8440000000000012</v>
      </c>
      <c r="JU39" s="221">
        <f>JU55</f>
        <v>6.7</v>
      </c>
      <c r="JV39" s="294">
        <f>JW39*JV10</f>
        <v>9.379999999999999</v>
      </c>
      <c r="JW39" s="221">
        <f>JW55</f>
        <v>6.7</v>
      </c>
      <c r="JX39" s="294">
        <f>JY39*JX10</f>
        <v>8.8440000000000012</v>
      </c>
      <c r="JY39" s="221">
        <f>JY55</f>
        <v>6.7</v>
      </c>
      <c r="JZ39" s="294">
        <f>KA39*JZ10</f>
        <v>8.8440000000000012</v>
      </c>
      <c r="KA39" s="221">
        <f>KA55</f>
        <v>6.7</v>
      </c>
      <c r="KB39" s="294">
        <f>KC39*KB10</f>
        <v>8.8440000000000012</v>
      </c>
      <c r="KC39" s="221">
        <f>KC55</f>
        <v>6.7</v>
      </c>
      <c r="KD39" s="294">
        <f>KE39*KD10</f>
        <v>8.8440000000000012</v>
      </c>
      <c r="KE39" s="221">
        <f>KE55</f>
        <v>6.7</v>
      </c>
      <c r="KF39" s="294">
        <f>KG39*KF10</f>
        <v>8.8440000000000012</v>
      </c>
      <c r="KG39" s="221">
        <f>KG55</f>
        <v>6.7</v>
      </c>
      <c r="KH39" s="294">
        <f>KI39*KH10</f>
        <v>8.8440000000000012</v>
      </c>
      <c r="KI39" s="221">
        <f>KI55</f>
        <v>6.7</v>
      </c>
      <c r="KJ39" s="294">
        <f>KK39*KJ10</f>
        <v>8.8440000000000012</v>
      </c>
      <c r="KK39" s="221">
        <f>KK55</f>
        <v>6.7</v>
      </c>
      <c r="KL39" s="294">
        <f>KM39*KL10</f>
        <v>8.8440000000000012</v>
      </c>
      <c r="KM39" s="221">
        <f>KM55</f>
        <v>6.7</v>
      </c>
      <c r="KN39" s="294">
        <f>KO39*KN10</f>
        <v>8.8440000000000012</v>
      </c>
      <c r="KO39" s="221">
        <f>KO55</f>
        <v>6.7</v>
      </c>
      <c r="KP39" s="294">
        <f>KQ39*KP10</f>
        <v>8.8440000000000012</v>
      </c>
      <c r="KQ39" s="221">
        <f>KQ55</f>
        <v>6.7</v>
      </c>
      <c r="KR39" s="294">
        <f>KS39*KR10</f>
        <v>8.8440000000000012</v>
      </c>
      <c r="KS39" s="221">
        <f>KS55</f>
        <v>6.7</v>
      </c>
      <c r="KT39" s="294">
        <f>KU39*KT10</f>
        <v>8.8440000000000012</v>
      </c>
      <c r="KU39" s="221">
        <f>KU55</f>
        <v>6.7</v>
      </c>
      <c r="KV39" s="294">
        <f>KW39*KV10</f>
        <v>8.8440000000000012</v>
      </c>
      <c r="KW39" s="221">
        <f>KW55</f>
        <v>6.7</v>
      </c>
      <c r="KX39" s="294">
        <f>KY39*KX10</f>
        <v>8.8440000000000012</v>
      </c>
      <c r="KY39" s="221">
        <f>KY55</f>
        <v>6.7</v>
      </c>
      <c r="KZ39" s="294">
        <f>LA39*KZ10</f>
        <v>8.8440000000000012</v>
      </c>
      <c r="LA39" s="221">
        <f>LA55</f>
        <v>6.7</v>
      </c>
      <c r="LB39" s="294">
        <f>LC39*LB10</f>
        <v>8.8440000000000012</v>
      </c>
      <c r="LC39" s="221">
        <f>LC55</f>
        <v>6.7</v>
      </c>
      <c r="LD39" s="294">
        <f>LE39*LD10</f>
        <v>8.8440000000000012</v>
      </c>
      <c r="LE39" s="221">
        <f>LE55</f>
        <v>6.7</v>
      </c>
      <c r="LF39" s="294">
        <f>LG39*LF10</f>
        <v>8.8440000000000012</v>
      </c>
      <c r="LG39" s="221">
        <f>LG55</f>
        <v>6.7</v>
      </c>
      <c r="LH39" s="294">
        <f>LI39*LH10</f>
        <v>8.8440000000000012</v>
      </c>
      <c r="LI39" s="221">
        <f>LI55</f>
        <v>6.7</v>
      </c>
      <c r="LJ39" s="294">
        <f>LK39*LJ10</f>
        <v>8.8440000000000012</v>
      </c>
      <c r="LK39" s="221">
        <f>LK55</f>
        <v>6.7</v>
      </c>
      <c r="LL39" s="294">
        <f>LM39*LL10</f>
        <v>8.8440000000000012</v>
      </c>
      <c r="LM39" s="221">
        <f>LM55</f>
        <v>6.7</v>
      </c>
      <c r="LN39" s="294">
        <f>LO39*LN10</f>
        <v>8.8440000000000012</v>
      </c>
      <c r="LO39" s="221">
        <f>LO55</f>
        <v>6.7</v>
      </c>
      <c r="LP39" s="294">
        <f>LQ39*LP10</f>
        <v>8.8440000000000012</v>
      </c>
      <c r="LQ39" s="221">
        <f>LQ55</f>
        <v>6.7</v>
      </c>
      <c r="LR39" s="294">
        <f>LS39*LR10</f>
        <v>8.8440000000000012</v>
      </c>
      <c r="LS39" s="221">
        <f>LS55</f>
        <v>6.7</v>
      </c>
      <c r="LT39" s="294">
        <f>LU39*LT10</f>
        <v>8.8440000000000012</v>
      </c>
      <c r="LU39" s="221">
        <f>LU55</f>
        <v>6.7</v>
      </c>
      <c r="LV39" s="294">
        <f>LW39*LV10</f>
        <v>8.8440000000000012</v>
      </c>
      <c r="LW39" s="221">
        <f>LW55</f>
        <v>6.7</v>
      </c>
      <c r="LX39" s="294">
        <f>LY39*LX10</f>
        <v>8.8440000000000012</v>
      </c>
      <c r="LY39" s="221">
        <f>LY55</f>
        <v>6.7</v>
      </c>
      <c r="LZ39" s="294">
        <f>MA39*LZ10</f>
        <v>8.8440000000000012</v>
      </c>
      <c r="MA39" s="221">
        <f>MA55</f>
        <v>6.7</v>
      </c>
      <c r="MB39" s="294">
        <f>MC39*MB10</f>
        <v>8.8440000000000012</v>
      </c>
      <c r="MC39" s="221">
        <f>MC55</f>
        <v>6.7</v>
      </c>
      <c r="MD39" s="294">
        <f>ME39*MD10</f>
        <v>8.8440000000000012</v>
      </c>
      <c r="ME39" s="221">
        <f>ME55</f>
        <v>6.7</v>
      </c>
      <c r="MF39" s="294">
        <f>MG39*MF10</f>
        <v>8.8440000000000012</v>
      </c>
      <c r="MG39" s="221">
        <f>MG55</f>
        <v>6.7</v>
      </c>
      <c r="MH39" s="219"/>
      <c r="MI39" s="294">
        <f>MJ39*MI10</f>
        <v>5.61</v>
      </c>
      <c r="MJ39" s="221">
        <f t="shared" ref="MJ39:NP39" si="448">MJ55</f>
        <v>4.25</v>
      </c>
      <c r="MK39" s="294">
        <f>ML39*MK10</f>
        <v>5.8740000000000006</v>
      </c>
      <c r="ML39" s="221">
        <f t="shared" si="448"/>
        <v>4.45</v>
      </c>
      <c r="MM39" s="294">
        <f>MN39*MM10</f>
        <v>6.2040000000000006</v>
      </c>
      <c r="MN39" s="221">
        <f t="shared" si="448"/>
        <v>4.7</v>
      </c>
      <c r="MO39" s="294">
        <f>MP39*MO10</f>
        <v>6.2040000000000006</v>
      </c>
      <c r="MP39" s="221">
        <f t="shared" si="448"/>
        <v>4.7</v>
      </c>
      <c r="MQ39" s="294">
        <f>MR39*MQ10</f>
        <v>6.7320000000000002</v>
      </c>
      <c r="MR39" s="221">
        <f t="shared" si="448"/>
        <v>5.0999999999999996</v>
      </c>
      <c r="MS39" s="294">
        <f>MT39*MS10</f>
        <v>6.6000000000000005</v>
      </c>
      <c r="MT39" s="221">
        <f t="shared" si="448"/>
        <v>5</v>
      </c>
      <c r="MU39" s="294">
        <f>MV39*MU10</f>
        <v>6.7320000000000002</v>
      </c>
      <c r="MV39" s="221">
        <f t="shared" si="448"/>
        <v>5.0999999999999996</v>
      </c>
      <c r="MW39" s="294">
        <f>MX39*MW10</f>
        <v>8.1840000000000011</v>
      </c>
      <c r="MX39" s="221">
        <f t="shared" si="448"/>
        <v>6.2</v>
      </c>
      <c r="MY39" s="294">
        <f>MZ39*MY10</f>
        <v>8.68</v>
      </c>
      <c r="MZ39" s="221">
        <f t="shared" si="448"/>
        <v>6.2</v>
      </c>
      <c r="NA39" s="294">
        <f>NB39*NA10</f>
        <v>8.1840000000000011</v>
      </c>
      <c r="NB39" s="221">
        <f t="shared" si="448"/>
        <v>6.2</v>
      </c>
      <c r="NC39" s="294">
        <f>ND39*NC10</f>
        <v>8.1840000000000011</v>
      </c>
      <c r="ND39" s="221">
        <f t="shared" si="448"/>
        <v>6.2</v>
      </c>
      <c r="NE39" s="294">
        <f>NF39*NE10</f>
        <v>8.1840000000000011</v>
      </c>
      <c r="NF39" s="221">
        <f t="shared" si="448"/>
        <v>6.2</v>
      </c>
      <c r="NG39" s="294">
        <f>NH39*NG10</f>
        <v>8.1840000000000011</v>
      </c>
      <c r="NH39" s="221">
        <f t="shared" si="448"/>
        <v>6.2</v>
      </c>
      <c r="NI39" s="294">
        <f>NJ39*NI10</f>
        <v>8.1840000000000011</v>
      </c>
      <c r="NJ39" s="221">
        <f t="shared" si="448"/>
        <v>6.2</v>
      </c>
      <c r="NK39" s="294">
        <f>NL39*NK10</f>
        <v>8.1840000000000011</v>
      </c>
      <c r="NL39" s="221">
        <f t="shared" si="448"/>
        <v>6.2</v>
      </c>
      <c r="NM39" s="294">
        <f>NN39*NM10</f>
        <v>8.1840000000000011</v>
      </c>
      <c r="NN39" s="221">
        <f t="shared" si="448"/>
        <v>6.2</v>
      </c>
      <c r="NO39" s="294">
        <f>NP39*NO10</f>
        <v>8.1840000000000011</v>
      </c>
      <c r="NP39" s="221">
        <f t="shared" si="448"/>
        <v>6.2</v>
      </c>
      <c r="NQ39" s="294">
        <f>NR39*NQ10</f>
        <v>8.1840000000000011</v>
      </c>
      <c r="NR39" s="221">
        <f>NR55</f>
        <v>6.2</v>
      </c>
      <c r="NS39" s="294">
        <f>NT39*NS10</f>
        <v>8.1840000000000011</v>
      </c>
      <c r="NT39" s="221">
        <f>NT55</f>
        <v>6.2</v>
      </c>
      <c r="NU39" s="294">
        <f>NV39*NU10</f>
        <v>8.1840000000000011</v>
      </c>
      <c r="NV39" s="221">
        <f>NV55</f>
        <v>6.2</v>
      </c>
      <c r="NW39" s="294">
        <f>NX39*NW10</f>
        <v>8.1840000000000011</v>
      </c>
      <c r="NX39" s="221">
        <f>NX55</f>
        <v>6.2</v>
      </c>
      <c r="NY39" s="294">
        <f>NZ39*NY10</f>
        <v>8.1840000000000011</v>
      </c>
      <c r="NZ39" s="221">
        <f>NZ55</f>
        <v>6.2</v>
      </c>
      <c r="OA39" s="294">
        <f>OB39*OA10</f>
        <v>8.1840000000000011</v>
      </c>
      <c r="OB39" s="221">
        <f>OB55</f>
        <v>6.2</v>
      </c>
      <c r="OC39" s="294">
        <f>OD39*OC10</f>
        <v>8.1840000000000011</v>
      </c>
      <c r="OD39" s="221">
        <f>OD55</f>
        <v>6.2</v>
      </c>
      <c r="OE39" s="294">
        <f>OF39*OE10</f>
        <v>8.1840000000000011</v>
      </c>
      <c r="OF39" s="221">
        <f>OF55</f>
        <v>6.2</v>
      </c>
      <c r="OG39" s="294">
        <f>OH39*OG10</f>
        <v>8.1840000000000011</v>
      </c>
      <c r="OH39" s="221">
        <f>OH55</f>
        <v>6.2</v>
      </c>
      <c r="OI39" s="294">
        <f>OJ39*OI10</f>
        <v>8.1840000000000011</v>
      </c>
      <c r="OJ39" s="221">
        <f>OJ55</f>
        <v>6.2</v>
      </c>
      <c r="OK39" s="294">
        <f>OL39*OK10</f>
        <v>8.1840000000000011</v>
      </c>
      <c r="OL39" s="221">
        <f>OL55</f>
        <v>6.2</v>
      </c>
      <c r="OM39" s="294">
        <f>ON39*OM10</f>
        <v>8.1840000000000011</v>
      </c>
      <c r="ON39" s="221">
        <f>ON55</f>
        <v>6.2</v>
      </c>
      <c r="OO39" s="294">
        <f>OP39*OO10</f>
        <v>8.1840000000000011</v>
      </c>
      <c r="OP39" s="221">
        <f>OP55</f>
        <v>6.2</v>
      </c>
      <c r="OQ39" s="294">
        <f>OR39*OQ10</f>
        <v>8.1840000000000011</v>
      </c>
      <c r="OR39" s="221">
        <f>OR55</f>
        <v>6.2</v>
      </c>
      <c r="OS39" s="294">
        <f>OT39*OS10</f>
        <v>8.1840000000000011</v>
      </c>
      <c r="OT39" s="221">
        <f>OT55</f>
        <v>6.2</v>
      </c>
      <c r="OU39" s="294">
        <f>OV39*OU10</f>
        <v>8.1840000000000011</v>
      </c>
      <c r="OV39" s="221">
        <f>OV55</f>
        <v>6.2</v>
      </c>
      <c r="OW39" s="294">
        <f>OX39*OW10</f>
        <v>8.1840000000000011</v>
      </c>
      <c r="OX39" s="221">
        <f>OX55</f>
        <v>6.2</v>
      </c>
      <c r="OY39" s="294">
        <f>OZ39*OY10</f>
        <v>8.1840000000000011</v>
      </c>
      <c r="OZ39" s="221">
        <f>OZ55</f>
        <v>6.2</v>
      </c>
      <c r="PA39" s="294">
        <f>PB39*PA10</f>
        <v>8.1840000000000011</v>
      </c>
      <c r="PB39" s="221">
        <f>PB55</f>
        <v>6.2</v>
      </c>
      <c r="PC39" s="294">
        <f>PD39*PC10</f>
        <v>8.1840000000000011</v>
      </c>
      <c r="PD39" s="221">
        <f>PD55</f>
        <v>6.2</v>
      </c>
      <c r="PE39" s="294">
        <f>PF39*PE10</f>
        <v>8.1840000000000011</v>
      </c>
      <c r="PF39" s="221">
        <f>PF55</f>
        <v>6.2</v>
      </c>
      <c r="PG39" s="294">
        <f>PH39*PG10</f>
        <v>8.1840000000000011</v>
      </c>
      <c r="PH39" s="221">
        <f>PH55</f>
        <v>6.2</v>
      </c>
      <c r="PI39" s="294">
        <f>PJ39*PI10</f>
        <v>7.7220000000000013</v>
      </c>
      <c r="PJ39" s="221">
        <f>PJ55</f>
        <v>5.8500000000000005</v>
      </c>
      <c r="PK39" s="294">
        <f>PL39*PK10</f>
        <v>7.5240000000000009</v>
      </c>
      <c r="PL39" s="221">
        <f>PL55</f>
        <v>5.7</v>
      </c>
      <c r="PM39" s="294">
        <f>PN39*PM10</f>
        <v>8.1840000000000011</v>
      </c>
      <c r="PN39" s="221">
        <f>PN55</f>
        <v>6.2</v>
      </c>
      <c r="PO39" s="294">
        <f>PP39*PO10</f>
        <v>8.1840000000000011</v>
      </c>
      <c r="PP39" s="221">
        <f>PP55</f>
        <v>6.2</v>
      </c>
      <c r="PR39" s="294">
        <f>PS39*PR10</f>
        <v>9.7680000000000007</v>
      </c>
      <c r="PS39" s="221">
        <f>PS55</f>
        <v>7.4</v>
      </c>
      <c r="PT39" s="294">
        <f>PU39*PT10</f>
        <v>9.7680000000000007</v>
      </c>
      <c r="PU39" s="221">
        <f>PU55</f>
        <v>7.4</v>
      </c>
      <c r="PV39" s="294">
        <f>PW39*PV10</f>
        <v>8.7120000000000015</v>
      </c>
      <c r="PW39" s="221">
        <f>PW55</f>
        <v>6.6000000000000005</v>
      </c>
      <c r="PX39" s="294">
        <f>PY39*PX10</f>
        <v>8.7120000000000015</v>
      </c>
      <c r="PY39" s="221">
        <f>PY55</f>
        <v>6.6000000000000005</v>
      </c>
      <c r="PZ39" s="294">
        <f>QA39*PZ10</f>
        <v>6.7320000000000011</v>
      </c>
      <c r="QA39" s="221">
        <f>QA55</f>
        <v>5.1000000000000005</v>
      </c>
      <c r="QB39" s="294">
        <f>QC39*QB10</f>
        <v>6.7320000000000011</v>
      </c>
      <c r="QC39" s="221">
        <f>QC55</f>
        <v>5.1000000000000005</v>
      </c>
      <c r="QF39" s="294">
        <f>QG39*QF10</f>
        <v>9.7680000000000007</v>
      </c>
      <c r="QG39" s="221">
        <f>QG55</f>
        <v>7.4</v>
      </c>
      <c r="QH39" s="294">
        <f>QI39*QH10</f>
        <v>9.7680000000000007</v>
      </c>
      <c r="QI39" s="221">
        <f>QI55</f>
        <v>7.4</v>
      </c>
      <c r="QJ39" s="294">
        <f>QK39*QJ10</f>
        <v>8.7120000000000015</v>
      </c>
      <c r="QK39" s="221">
        <f>QK55</f>
        <v>6.6000000000000005</v>
      </c>
      <c r="QL39" s="294">
        <f>QM39*QL10</f>
        <v>8.7120000000000015</v>
      </c>
      <c r="QM39" s="221">
        <f>QM55</f>
        <v>6.6000000000000005</v>
      </c>
      <c r="QN39" s="294">
        <f>QO39*QN10</f>
        <v>8.7119999999999997</v>
      </c>
      <c r="QO39" s="221">
        <f>QO55</f>
        <v>6.6</v>
      </c>
      <c r="QP39" s="294">
        <f>QQ39*QP10</f>
        <v>8.7119999999999997</v>
      </c>
      <c r="QQ39" s="221">
        <f>QQ55</f>
        <v>6.6</v>
      </c>
    </row>
    <row r="40" spans="1:459" x14ac:dyDescent="0.45">
      <c r="A40" s="872"/>
      <c r="B40" s="222"/>
      <c r="C40" s="223"/>
      <c r="D40" s="224"/>
      <c r="E40" s="177"/>
      <c r="F40" s="225"/>
      <c r="G40" s="226"/>
      <c r="H40" s="225"/>
      <c r="I40" s="226"/>
      <c r="J40" s="225"/>
      <c r="K40" s="226"/>
      <c r="L40" s="225"/>
      <c r="M40" s="226"/>
      <c r="N40" s="225"/>
      <c r="O40" s="226"/>
      <c r="P40" s="225"/>
      <c r="Q40" s="226"/>
      <c r="R40" s="225"/>
      <c r="S40" s="226"/>
      <c r="T40" s="225"/>
      <c r="U40" s="226"/>
      <c r="V40" s="225"/>
      <c r="W40" s="226"/>
      <c r="X40" s="225"/>
      <c r="Y40" s="226"/>
      <c r="Z40" s="225"/>
      <c r="AA40" s="226"/>
      <c r="AB40" s="225"/>
      <c r="AC40" s="226"/>
      <c r="AD40" s="225"/>
      <c r="AE40" s="226"/>
      <c r="AF40" s="225"/>
      <c r="AG40" s="226"/>
      <c r="AH40" s="225"/>
      <c r="AI40" s="226"/>
      <c r="AJ40" s="225"/>
      <c r="AK40" s="226"/>
      <c r="AL40" s="225"/>
      <c r="AM40" s="226"/>
      <c r="AN40" s="225"/>
      <c r="AO40" s="226"/>
      <c r="AP40" s="225"/>
      <c r="AQ40" s="226"/>
      <c r="AR40" s="225"/>
      <c r="AS40" s="226"/>
      <c r="AT40" s="225"/>
      <c r="AU40" s="226"/>
      <c r="AV40" s="225"/>
      <c r="AW40" s="226"/>
      <c r="AX40" s="225"/>
      <c r="AY40" s="226"/>
      <c r="AZ40" s="225"/>
      <c r="BA40" s="226"/>
      <c r="BB40" s="225"/>
      <c r="BC40" s="226"/>
      <c r="BD40" s="225"/>
      <c r="BE40" s="226"/>
      <c r="BF40" s="225"/>
      <c r="BG40" s="226"/>
      <c r="BH40" s="225"/>
      <c r="BI40" s="226"/>
      <c r="BJ40" s="225"/>
      <c r="BK40" s="226"/>
      <c r="BL40" s="225"/>
      <c r="BM40" s="226"/>
      <c r="BN40" s="225"/>
      <c r="BO40" s="226"/>
      <c r="BP40" s="225"/>
      <c r="BQ40" s="226"/>
      <c r="BR40" s="225"/>
      <c r="BS40" s="226"/>
      <c r="BT40" s="225"/>
      <c r="BU40" s="226"/>
      <c r="BV40" s="225"/>
      <c r="BW40" s="226"/>
      <c r="BX40" s="225"/>
      <c r="BY40" s="226"/>
      <c r="BZ40" s="225"/>
      <c r="CA40" s="226"/>
      <c r="CB40" s="225"/>
      <c r="CC40" s="226"/>
      <c r="CD40" s="225"/>
      <c r="CE40" s="226"/>
      <c r="CF40" s="225"/>
      <c r="CG40" s="226"/>
      <c r="CH40" s="225"/>
      <c r="CI40" s="226"/>
      <c r="CJ40" s="225"/>
      <c r="CK40" s="226"/>
      <c r="CL40" s="225"/>
      <c r="CM40" s="226"/>
      <c r="CN40" s="225"/>
      <c r="CO40" s="226"/>
      <c r="CP40" s="225"/>
      <c r="CQ40" s="226"/>
      <c r="CR40" s="225"/>
      <c r="CS40" s="226"/>
      <c r="CT40" s="136"/>
      <c r="CU40" s="225"/>
      <c r="CV40" s="226"/>
      <c r="CW40" s="225"/>
      <c r="CX40" s="226"/>
      <c r="CY40" s="225"/>
      <c r="CZ40" s="226"/>
      <c r="DA40" s="225"/>
      <c r="DB40" s="226"/>
      <c r="DC40" s="225"/>
      <c r="DD40" s="226"/>
      <c r="DE40" s="225"/>
      <c r="DF40" s="226"/>
      <c r="DG40" s="225"/>
      <c r="DH40" s="226"/>
      <c r="DI40" s="225"/>
      <c r="DJ40" s="226"/>
      <c r="DK40" s="225"/>
      <c r="DL40" s="226"/>
      <c r="DM40" s="225"/>
      <c r="DN40" s="226"/>
      <c r="DO40" s="225"/>
      <c r="DP40" s="226"/>
      <c r="DQ40" s="225"/>
      <c r="DR40" s="226"/>
      <c r="DS40" s="225"/>
      <c r="DT40" s="226"/>
      <c r="DU40" s="225"/>
      <c r="DV40" s="226"/>
      <c r="DW40" s="225"/>
      <c r="DX40" s="226"/>
      <c r="DY40" s="225"/>
      <c r="DZ40" s="226"/>
      <c r="EA40" s="225"/>
      <c r="EB40" s="226"/>
      <c r="EC40" s="225"/>
      <c r="ED40" s="226"/>
      <c r="EE40" s="225"/>
      <c r="EF40" s="226"/>
      <c r="EG40" s="225"/>
      <c r="EH40" s="226"/>
      <c r="EI40" s="225"/>
      <c r="EJ40" s="226"/>
      <c r="EK40" s="225"/>
      <c r="EL40" s="226"/>
      <c r="EM40" s="225"/>
      <c r="EN40" s="226"/>
      <c r="EO40" s="225"/>
      <c r="EP40" s="226"/>
      <c r="EQ40" s="225"/>
      <c r="ER40" s="226"/>
      <c r="ES40" s="225"/>
      <c r="ET40" s="226"/>
      <c r="EU40" s="225"/>
      <c r="EV40" s="226"/>
      <c r="EW40" s="225"/>
      <c r="EX40" s="226"/>
      <c r="EY40" s="225"/>
      <c r="EZ40" s="226"/>
      <c r="FA40" s="225"/>
      <c r="FB40" s="226"/>
      <c r="FC40" s="225"/>
      <c r="FD40" s="226"/>
      <c r="FE40" s="225"/>
      <c r="FF40" s="226"/>
      <c r="FG40" s="225"/>
      <c r="FH40" s="226"/>
      <c r="FI40" s="225"/>
      <c r="FJ40" s="226"/>
      <c r="FK40" s="225"/>
      <c r="FL40" s="226"/>
      <c r="FM40" s="225"/>
      <c r="FN40" s="226"/>
      <c r="FO40" s="225"/>
      <c r="FP40" s="226"/>
      <c r="FQ40" s="177"/>
      <c r="FR40" s="295"/>
      <c r="FS40" s="226"/>
      <c r="FT40" s="295"/>
      <c r="FU40" s="226"/>
      <c r="FV40" s="295"/>
      <c r="FW40" s="226"/>
      <c r="FX40" s="295"/>
      <c r="FY40" s="226"/>
      <c r="FZ40" s="295"/>
      <c r="GA40" s="226"/>
      <c r="GB40" s="295"/>
      <c r="GC40" s="226"/>
      <c r="GD40" s="295"/>
      <c r="GE40" s="226"/>
      <c r="GF40" s="295"/>
      <c r="GG40" s="226"/>
      <c r="GH40" s="295"/>
      <c r="GI40" s="226"/>
      <c r="GJ40" s="295"/>
      <c r="GK40" s="226"/>
      <c r="GL40" s="295"/>
      <c r="GM40" s="226"/>
      <c r="GN40" s="295"/>
      <c r="GO40" s="226"/>
      <c r="GP40" s="295"/>
      <c r="GQ40" s="226"/>
      <c r="GR40" s="295"/>
      <c r="GS40" s="226"/>
      <c r="GT40" s="295"/>
      <c r="GU40" s="226"/>
      <c r="GV40" s="295"/>
      <c r="GW40" s="226"/>
      <c r="GX40" s="295"/>
      <c r="GY40" s="226"/>
      <c r="GZ40" s="295"/>
      <c r="HA40" s="226"/>
      <c r="HB40" s="295"/>
      <c r="HC40" s="226"/>
      <c r="HD40" s="295"/>
      <c r="HE40" s="226"/>
      <c r="HF40" s="295"/>
      <c r="HG40" s="226"/>
      <c r="HH40" s="295"/>
      <c r="HI40" s="226"/>
      <c r="HJ40" s="295"/>
      <c r="HK40" s="226"/>
      <c r="HL40" s="295"/>
      <c r="HM40" s="226"/>
      <c r="HN40" s="295"/>
      <c r="HO40" s="226"/>
      <c r="HP40" s="295"/>
      <c r="HQ40" s="226"/>
      <c r="HR40" s="295"/>
      <c r="HS40" s="226"/>
      <c r="HT40" s="295"/>
      <c r="HU40" s="226"/>
      <c r="HV40" s="295"/>
      <c r="HW40" s="226"/>
      <c r="HX40" s="295"/>
      <c r="HY40" s="226"/>
      <c r="HZ40" s="295"/>
      <c r="IA40" s="226"/>
      <c r="IB40" s="295"/>
      <c r="IC40" s="226"/>
      <c r="ID40" s="295"/>
      <c r="IE40" s="226"/>
      <c r="IF40" s="295"/>
      <c r="IG40" s="226"/>
      <c r="IH40" s="295"/>
      <c r="II40" s="226"/>
      <c r="IJ40" s="295"/>
      <c r="IK40" s="226"/>
      <c r="IL40" s="295"/>
      <c r="IM40" s="226"/>
      <c r="IN40" s="295"/>
      <c r="IO40" s="226"/>
      <c r="IP40" s="295"/>
      <c r="IQ40" s="226"/>
      <c r="IR40" s="295"/>
      <c r="IS40" s="226"/>
      <c r="IT40" s="295"/>
      <c r="IU40" s="226"/>
      <c r="IV40" s="295"/>
      <c r="IW40" s="226"/>
      <c r="IX40" s="295"/>
      <c r="IY40" s="226"/>
      <c r="IZ40" s="177"/>
      <c r="JA40" s="295"/>
      <c r="JB40" s="226"/>
      <c r="JC40" s="295"/>
      <c r="JD40" s="226"/>
      <c r="JE40" s="177"/>
      <c r="JF40" s="225"/>
      <c r="JG40" s="226"/>
      <c r="JH40" s="225"/>
      <c r="JI40" s="226"/>
      <c r="JJ40" s="225"/>
      <c r="JK40" s="226"/>
      <c r="JL40" s="225"/>
      <c r="JM40" s="226"/>
      <c r="JN40" s="225"/>
      <c r="JO40" s="226"/>
      <c r="JP40" s="225"/>
      <c r="JQ40" s="226"/>
      <c r="JR40" s="225"/>
      <c r="JS40" s="226"/>
      <c r="JT40" s="225"/>
      <c r="JU40" s="226"/>
      <c r="JV40" s="225"/>
      <c r="JW40" s="226"/>
      <c r="JX40" s="225"/>
      <c r="JY40" s="226"/>
      <c r="JZ40" s="225"/>
      <c r="KA40" s="226"/>
      <c r="KB40" s="225"/>
      <c r="KC40" s="226"/>
      <c r="KD40" s="225"/>
      <c r="KE40" s="226"/>
      <c r="KF40" s="225"/>
      <c r="KG40" s="226"/>
      <c r="KH40" s="225"/>
      <c r="KI40" s="226"/>
      <c r="KJ40" s="225"/>
      <c r="KK40" s="226"/>
      <c r="KL40" s="225"/>
      <c r="KM40" s="226"/>
      <c r="KN40" s="225"/>
      <c r="KO40" s="226"/>
      <c r="KP40" s="225"/>
      <c r="KQ40" s="226"/>
      <c r="KR40" s="225"/>
      <c r="KS40" s="226"/>
      <c r="KT40" s="225"/>
      <c r="KU40" s="226"/>
      <c r="KV40" s="225"/>
      <c r="KW40" s="226"/>
      <c r="KX40" s="225"/>
      <c r="KY40" s="226"/>
      <c r="KZ40" s="225"/>
      <c r="LA40" s="226"/>
      <c r="LB40" s="225"/>
      <c r="LC40" s="226"/>
      <c r="LD40" s="225"/>
      <c r="LE40" s="226"/>
      <c r="LF40" s="225"/>
      <c r="LG40" s="226"/>
      <c r="LH40" s="225"/>
      <c r="LI40" s="226"/>
      <c r="LJ40" s="225"/>
      <c r="LK40" s="226"/>
      <c r="LL40" s="225"/>
      <c r="LM40" s="226"/>
      <c r="LN40" s="225"/>
      <c r="LO40" s="226"/>
      <c r="LP40" s="225"/>
      <c r="LQ40" s="226"/>
      <c r="LR40" s="225"/>
      <c r="LS40" s="226"/>
      <c r="LT40" s="225"/>
      <c r="LU40" s="226"/>
      <c r="LV40" s="225"/>
      <c r="LW40" s="226"/>
      <c r="LX40" s="225"/>
      <c r="LY40" s="226"/>
      <c r="LZ40" s="225"/>
      <c r="MA40" s="226"/>
      <c r="MB40" s="225"/>
      <c r="MC40" s="226"/>
      <c r="MD40" s="225"/>
      <c r="ME40" s="226"/>
      <c r="MF40" s="225"/>
      <c r="MG40" s="226"/>
      <c r="MH40" s="177"/>
      <c r="MI40" s="295"/>
      <c r="MJ40" s="226"/>
      <c r="MK40" s="295"/>
      <c r="ML40" s="226"/>
      <c r="MM40" s="295"/>
      <c r="MN40" s="296"/>
      <c r="MO40" s="295"/>
      <c r="MP40" s="296"/>
      <c r="MQ40" s="295"/>
      <c r="MR40" s="296"/>
      <c r="MS40" s="295"/>
      <c r="MT40" s="296"/>
      <c r="MU40" s="295"/>
      <c r="MV40" s="296"/>
      <c r="MW40" s="295"/>
      <c r="MX40" s="296"/>
      <c r="MY40" s="295"/>
      <c r="MZ40" s="296"/>
      <c r="NA40" s="295"/>
      <c r="NB40" s="296"/>
      <c r="NC40" s="295"/>
      <c r="ND40" s="296"/>
      <c r="NE40" s="295"/>
      <c r="NF40" s="296"/>
      <c r="NG40" s="295"/>
      <c r="NH40" s="296"/>
      <c r="NI40" s="295"/>
      <c r="NJ40" s="296"/>
      <c r="NK40" s="295"/>
      <c r="NL40" s="296"/>
      <c r="NM40" s="295"/>
      <c r="NN40" s="296"/>
      <c r="NO40" s="295"/>
      <c r="NP40" s="296"/>
      <c r="NQ40" s="295"/>
      <c r="NR40" s="296"/>
      <c r="NS40" s="295"/>
      <c r="NT40" s="296"/>
      <c r="NU40" s="295"/>
      <c r="NV40" s="296"/>
      <c r="NW40" s="295"/>
      <c r="NX40" s="296"/>
      <c r="NY40" s="295"/>
      <c r="NZ40" s="296"/>
      <c r="OA40" s="295"/>
      <c r="OB40" s="296"/>
      <c r="OC40" s="295"/>
      <c r="OD40" s="296"/>
      <c r="OE40" s="295"/>
      <c r="OF40" s="296"/>
      <c r="OG40" s="295"/>
      <c r="OH40" s="296"/>
      <c r="OI40" s="295"/>
      <c r="OJ40" s="296"/>
      <c r="OK40" s="295"/>
      <c r="OL40" s="296"/>
      <c r="OM40" s="295"/>
      <c r="ON40" s="296"/>
      <c r="OO40" s="295"/>
      <c r="OP40" s="296"/>
      <c r="OQ40" s="295"/>
      <c r="OR40" s="296"/>
      <c r="OS40" s="295"/>
      <c r="OT40" s="296"/>
      <c r="OU40" s="295"/>
      <c r="OV40" s="296"/>
      <c r="OW40" s="295"/>
      <c r="OX40" s="296"/>
      <c r="OY40" s="295"/>
      <c r="OZ40" s="296"/>
      <c r="PA40" s="295"/>
      <c r="PB40" s="296"/>
      <c r="PC40" s="295"/>
      <c r="PD40" s="296"/>
      <c r="PE40" s="295"/>
      <c r="PF40" s="296"/>
      <c r="PG40" s="295"/>
      <c r="PH40" s="296"/>
      <c r="PI40" s="295"/>
      <c r="PJ40" s="296"/>
      <c r="PK40" s="295"/>
      <c r="PL40" s="296"/>
      <c r="PM40" s="295"/>
      <c r="PN40" s="296"/>
      <c r="PO40" s="295"/>
      <c r="PP40" s="296"/>
      <c r="PR40" s="297">
        <f>PR37/30</f>
        <v>7.0227586206896522E-2</v>
      </c>
      <c r="PS40" s="298">
        <f t="shared" ref="PS40:PU40" si="449">PS37/30</f>
        <v>5.3202716823406423E-2</v>
      </c>
      <c r="PT40" s="297">
        <f t="shared" si="449"/>
        <v>7.0227586206896522E-2</v>
      </c>
      <c r="PU40" s="298">
        <f t="shared" si="449"/>
        <v>5.3202716823406423E-2</v>
      </c>
      <c r="PV40" s="299">
        <f>PV37/30</f>
        <v>6.542758620689651E-2</v>
      </c>
      <c r="PW40" s="300">
        <f t="shared" ref="PW40:PY40" si="450">PW37/30</f>
        <v>4.9566353187042812E-2</v>
      </c>
      <c r="PX40" s="299">
        <f t="shared" si="450"/>
        <v>6.542758620689651E-2</v>
      </c>
      <c r="PY40" s="300">
        <f t="shared" si="450"/>
        <v>4.9566353187042812E-2</v>
      </c>
      <c r="PZ40" s="299">
        <f>PZ37/30</f>
        <v>6.4760919540229861E-2</v>
      </c>
      <c r="QA40" s="300">
        <f t="shared" ref="QA40:QC40" si="451">QA37/30</f>
        <v>4.9061302681992318E-2</v>
      </c>
      <c r="QB40" s="299">
        <f t="shared" si="451"/>
        <v>6.4760919540229861E-2</v>
      </c>
      <c r="QC40" s="300">
        <f t="shared" si="451"/>
        <v>4.9061302681992318E-2</v>
      </c>
      <c r="QE40" s="280"/>
      <c r="QF40" s="297">
        <f>QF37/30</f>
        <v>7.0227586206896522E-2</v>
      </c>
      <c r="QG40" s="298">
        <f t="shared" ref="QG40:QI40" si="452">QG37/30</f>
        <v>5.3202716823406423E-2</v>
      </c>
      <c r="QH40" s="297">
        <f t="shared" si="452"/>
        <v>7.0227586206896522E-2</v>
      </c>
      <c r="QI40" s="300">
        <f t="shared" si="452"/>
        <v>5.3202716823406423E-2</v>
      </c>
      <c r="QJ40" s="297">
        <f>QJ37/30</f>
        <v>6.542758620689651E-2</v>
      </c>
      <c r="QK40" s="298">
        <f t="shared" ref="QK40:QM40" si="453">QK37/30</f>
        <v>4.9566353187042812E-2</v>
      </c>
      <c r="QL40" s="297">
        <f t="shared" si="453"/>
        <v>6.542758620689651E-2</v>
      </c>
      <c r="QM40" s="300">
        <f t="shared" si="453"/>
        <v>4.9566353187042812E-2</v>
      </c>
      <c r="QN40" s="297">
        <f>QN37/30</f>
        <v>6.5427586206896565E-2</v>
      </c>
      <c r="QO40" s="298">
        <f t="shared" ref="QO40:QQ40" si="454">QO37/30</f>
        <v>4.956635318704284E-2</v>
      </c>
      <c r="QP40" s="297">
        <f t="shared" si="454"/>
        <v>6.5427586206896565E-2</v>
      </c>
      <c r="QQ40" s="300">
        <f t="shared" si="454"/>
        <v>4.956635318704284E-2</v>
      </c>
    </row>
    <row r="41" spans="1:459" x14ac:dyDescent="0.45">
      <c r="A41" s="870" t="s">
        <v>347</v>
      </c>
      <c r="B41" s="194"/>
      <c r="C41" s="195"/>
      <c r="D41" s="196"/>
      <c r="E41" s="177"/>
      <c r="F41" s="281"/>
      <c r="G41" s="198"/>
      <c r="H41" s="281"/>
      <c r="I41" s="198"/>
      <c r="J41" s="281"/>
      <c r="K41" s="198"/>
      <c r="L41" s="281"/>
      <c r="M41" s="198"/>
      <c r="N41" s="281"/>
      <c r="O41" s="198"/>
      <c r="P41" s="281"/>
      <c r="Q41" s="198"/>
      <c r="R41" s="281"/>
      <c r="S41" s="198"/>
      <c r="T41" s="281"/>
      <c r="U41" s="198"/>
      <c r="V41" s="281"/>
      <c r="W41" s="198"/>
      <c r="X41" s="281"/>
      <c r="Y41" s="198"/>
      <c r="Z41" s="281"/>
      <c r="AA41" s="198"/>
      <c r="AB41" s="281"/>
      <c r="AC41" s="198"/>
      <c r="AD41" s="281"/>
      <c r="AE41" s="198"/>
      <c r="AF41" s="281"/>
      <c r="AG41" s="198"/>
      <c r="AH41" s="281"/>
      <c r="AI41" s="198"/>
      <c r="AJ41" s="281"/>
      <c r="AK41" s="198"/>
      <c r="AL41" s="281"/>
      <c r="AM41" s="198"/>
      <c r="AN41" s="281"/>
      <c r="AO41" s="198"/>
      <c r="AP41" s="281"/>
      <c r="AQ41" s="198"/>
      <c r="AR41" s="281"/>
      <c r="AS41" s="198"/>
      <c r="AT41" s="281"/>
      <c r="AU41" s="198"/>
      <c r="AV41" s="281"/>
      <c r="AW41" s="198"/>
      <c r="AX41" s="281"/>
      <c r="AY41" s="198"/>
      <c r="AZ41" s="281"/>
      <c r="BA41" s="198"/>
      <c r="BB41" s="281"/>
      <c r="BC41" s="198"/>
      <c r="BD41" s="281"/>
      <c r="BE41" s="198"/>
      <c r="BF41" s="281"/>
      <c r="BG41" s="198"/>
      <c r="BH41" s="281"/>
      <c r="BI41" s="198"/>
      <c r="BJ41" s="281"/>
      <c r="BK41" s="198"/>
      <c r="BL41" s="281"/>
      <c r="BM41" s="198"/>
      <c r="BN41" s="281"/>
      <c r="BO41" s="198"/>
      <c r="BP41" s="281"/>
      <c r="BQ41" s="198"/>
      <c r="BR41" s="281"/>
      <c r="BS41" s="198"/>
      <c r="BT41" s="281"/>
      <c r="BU41" s="198"/>
      <c r="BV41" s="281"/>
      <c r="BW41" s="198"/>
      <c r="BX41" s="281"/>
      <c r="BY41" s="198"/>
      <c r="BZ41" s="281"/>
      <c r="CA41" s="198"/>
      <c r="CB41" s="281"/>
      <c r="CC41" s="198"/>
      <c r="CD41" s="281"/>
      <c r="CE41" s="198"/>
      <c r="CF41" s="281"/>
      <c r="CG41" s="198"/>
      <c r="CH41" s="281"/>
      <c r="CI41" s="198"/>
      <c r="CJ41" s="281"/>
      <c r="CK41" s="198"/>
      <c r="CL41" s="281"/>
      <c r="CM41" s="198"/>
      <c r="CN41" s="281"/>
      <c r="CO41" s="198"/>
      <c r="CP41" s="281"/>
      <c r="CQ41" s="198"/>
      <c r="CR41" s="281"/>
      <c r="CS41" s="198"/>
      <c r="CT41" s="136"/>
      <c r="CU41" s="281"/>
      <c r="CV41" s="198"/>
      <c r="CW41" s="281"/>
      <c r="CX41" s="198"/>
      <c r="CY41" s="281"/>
      <c r="CZ41" s="198"/>
      <c r="DA41" s="281"/>
      <c r="DB41" s="198"/>
      <c r="DC41" s="281"/>
      <c r="DD41" s="198"/>
      <c r="DE41" s="281"/>
      <c r="DF41" s="198"/>
      <c r="DG41" s="281"/>
      <c r="DH41" s="198"/>
      <c r="DI41" s="281"/>
      <c r="DJ41" s="198"/>
      <c r="DK41" s="281"/>
      <c r="DL41" s="198"/>
      <c r="DM41" s="281"/>
      <c r="DN41" s="198"/>
      <c r="DO41" s="281"/>
      <c r="DP41" s="198"/>
      <c r="DQ41" s="281"/>
      <c r="DR41" s="198"/>
      <c r="DS41" s="281"/>
      <c r="DT41" s="198"/>
      <c r="DU41" s="281"/>
      <c r="DV41" s="198"/>
      <c r="DW41" s="281"/>
      <c r="DX41" s="198"/>
      <c r="DY41" s="281"/>
      <c r="DZ41" s="198"/>
      <c r="EA41" s="281"/>
      <c r="EB41" s="198"/>
      <c r="EC41" s="281"/>
      <c r="ED41" s="198"/>
      <c r="EE41" s="281"/>
      <c r="EF41" s="198"/>
      <c r="EG41" s="281"/>
      <c r="EH41" s="198"/>
      <c r="EI41" s="281"/>
      <c r="EJ41" s="198"/>
      <c r="EK41" s="281"/>
      <c r="EL41" s="198"/>
      <c r="EM41" s="281"/>
      <c r="EN41" s="198"/>
      <c r="EO41" s="281"/>
      <c r="EP41" s="198"/>
      <c r="EQ41" s="281"/>
      <c r="ER41" s="198"/>
      <c r="ES41" s="281"/>
      <c r="ET41" s="198"/>
      <c r="EU41" s="281"/>
      <c r="EV41" s="198"/>
      <c r="EW41" s="281"/>
      <c r="EX41" s="198"/>
      <c r="EY41" s="281"/>
      <c r="EZ41" s="198"/>
      <c r="FA41" s="281"/>
      <c r="FB41" s="198"/>
      <c r="FC41" s="281"/>
      <c r="FD41" s="198"/>
      <c r="FE41" s="281"/>
      <c r="FF41" s="198"/>
      <c r="FG41" s="281"/>
      <c r="FH41" s="198"/>
      <c r="FI41" s="281"/>
      <c r="FJ41" s="198"/>
      <c r="FK41" s="281"/>
      <c r="FL41" s="198"/>
      <c r="FM41" s="281"/>
      <c r="FN41" s="198"/>
      <c r="FO41" s="281"/>
      <c r="FP41" s="198"/>
      <c r="FQ41" s="177"/>
      <c r="FR41" s="281"/>
      <c r="FS41" s="198"/>
      <c r="FT41" s="281"/>
      <c r="FU41" s="198"/>
      <c r="FV41" s="281"/>
      <c r="FW41" s="198"/>
      <c r="FX41" s="281"/>
      <c r="FY41" s="198"/>
      <c r="FZ41" s="281"/>
      <c r="GA41" s="198"/>
      <c r="GB41" s="281"/>
      <c r="GC41" s="198"/>
      <c r="GD41" s="281"/>
      <c r="GE41" s="198"/>
      <c r="GF41" s="281"/>
      <c r="GG41" s="198"/>
      <c r="GH41" s="281"/>
      <c r="GI41" s="198"/>
      <c r="GJ41" s="281"/>
      <c r="GK41" s="198"/>
      <c r="GL41" s="281"/>
      <c r="GM41" s="198"/>
      <c r="GN41" s="281"/>
      <c r="GO41" s="198"/>
      <c r="GP41" s="281"/>
      <c r="GQ41" s="198"/>
      <c r="GR41" s="281"/>
      <c r="GS41" s="198"/>
      <c r="GT41" s="281"/>
      <c r="GU41" s="198"/>
      <c r="GV41" s="281"/>
      <c r="GW41" s="198"/>
      <c r="GX41" s="281"/>
      <c r="GY41" s="198"/>
      <c r="GZ41" s="281"/>
      <c r="HA41" s="198"/>
      <c r="HB41" s="281"/>
      <c r="HC41" s="198"/>
      <c r="HD41" s="281"/>
      <c r="HE41" s="198"/>
      <c r="HF41" s="281"/>
      <c r="HG41" s="198"/>
      <c r="HH41" s="281"/>
      <c r="HI41" s="198"/>
      <c r="HJ41" s="281"/>
      <c r="HK41" s="198"/>
      <c r="HL41" s="281"/>
      <c r="HM41" s="198"/>
      <c r="HN41" s="281"/>
      <c r="HO41" s="198"/>
      <c r="HP41" s="281"/>
      <c r="HQ41" s="198"/>
      <c r="HR41" s="281"/>
      <c r="HS41" s="198"/>
      <c r="HT41" s="281"/>
      <c r="HU41" s="198"/>
      <c r="HV41" s="281"/>
      <c r="HW41" s="198"/>
      <c r="HX41" s="281"/>
      <c r="HY41" s="198"/>
      <c r="HZ41" s="281"/>
      <c r="IA41" s="198"/>
      <c r="IB41" s="281"/>
      <c r="IC41" s="198"/>
      <c r="ID41" s="281"/>
      <c r="IE41" s="198"/>
      <c r="IF41" s="281"/>
      <c r="IG41" s="198"/>
      <c r="IH41" s="281"/>
      <c r="II41" s="198"/>
      <c r="IJ41" s="281"/>
      <c r="IK41" s="198"/>
      <c r="IL41" s="281"/>
      <c r="IM41" s="198"/>
      <c r="IN41" s="281"/>
      <c r="IO41" s="198"/>
      <c r="IP41" s="281"/>
      <c r="IQ41" s="198"/>
      <c r="IR41" s="281"/>
      <c r="IS41" s="198"/>
      <c r="IT41" s="281"/>
      <c r="IU41" s="198"/>
      <c r="IV41" s="281"/>
      <c r="IW41" s="198"/>
      <c r="IX41" s="281"/>
      <c r="IY41" s="198"/>
      <c r="IZ41" s="177"/>
      <c r="JA41" s="281"/>
      <c r="JB41" s="198"/>
      <c r="JC41" s="281"/>
      <c r="JD41" s="198"/>
      <c r="JE41" s="177"/>
      <c r="JF41" s="281"/>
      <c r="JG41" s="198"/>
      <c r="JH41" s="281"/>
      <c r="JI41" s="198"/>
      <c r="JJ41" s="281"/>
      <c r="JK41" s="198"/>
      <c r="JL41" s="281"/>
      <c r="JM41" s="198"/>
      <c r="JN41" s="281"/>
      <c r="JO41" s="198"/>
      <c r="JP41" s="281"/>
      <c r="JQ41" s="198"/>
      <c r="JR41" s="281"/>
      <c r="JS41" s="198"/>
      <c r="JT41" s="281"/>
      <c r="JU41" s="198"/>
      <c r="JV41" s="281"/>
      <c r="JW41" s="198"/>
      <c r="JX41" s="281"/>
      <c r="JY41" s="198"/>
      <c r="JZ41" s="281"/>
      <c r="KA41" s="198"/>
      <c r="KB41" s="281"/>
      <c r="KC41" s="198"/>
      <c r="KD41" s="281"/>
      <c r="KE41" s="198"/>
      <c r="KF41" s="281"/>
      <c r="KG41" s="198"/>
      <c r="KH41" s="281"/>
      <c r="KI41" s="198"/>
      <c r="KJ41" s="281"/>
      <c r="KK41" s="198"/>
      <c r="KL41" s="281"/>
      <c r="KM41" s="198"/>
      <c r="KN41" s="281"/>
      <c r="KO41" s="198"/>
      <c r="KP41" s="281"/>
      <c r="KQ41" s="198"/>
      <c r="KR41" s="281"/>
      <c r="KS41" s="198"/>
      <c r="KT41" s="281"/>
      <c r="KU41" s="198"/>
      <c r="KV41" s="281"/>
      <c r="KW41" s="198"/>
      <c r="KX41" s="281"/>
      <c r="KY41" s="198"/>
      <c r="KZ41" s="281"/>
      <c r="LA41" s="198"/>
      <c r="LB41" s="281"/>
      <c r="LC41" s="198"/>
      <c r="LD41" s="281"/>
      <c r="LE41" s="198"/>
      <c r="LF41" s="281"/>
      <c r="LG41" s="198"/>
      <c r="LH41" s="281"/>
      <c r="LI41" s="198"/>
      <c r="LJ41" s="281"/>
      <c r="LK41" s="198"/>
      <c r="LL41" s="281"/>
      <c r="LM41" s="198"/>
      <c r="LN41" s="281"/>
      <c r="LO41" s="198"/>
      <c r="LP41" s="281"/>
      <c r="LQ41" s="198"/>
      <c r="LR41" s="281"/>
      <c r="LS41" s="198"/>
      <c r="LT41" s="281"/>
      <c r="LU41" s="198"/>
      <c r="LV41" s="281"/>
      <c r="LW41" s="198"/>
      <c r="LX41" s="281"/>
      <c r="LY41" s="198"/>
      <c r="LZ41" s="281"/>
      <c r="MA41" s="198"/>
      <c r="MB41" s="281"/>
      <c r="MC41" s="198"/>
      <c r="MD41" s="281"/>
      <c r="ME41" s="198"/>
      <c r="MF41" s="281"/>
      <c r="MG41" s="198"/>
      <c r="MH41" s="177"/>
      <c r="MI41" s="281"/>
      <c r="MJ41" s="198"/>
      <c r="MK41" s="281"/>
      <c r="ML41" s="198"/>
      <c r="MM41" s="281"/>
      <c r="MN41" s="198"/>
      <c r="MO41" s="281"/>
      <c r="MP41" s="198"/>
      <c r="MQ41" s="281"/>
      <c r="MR41" s="198"/>
      <c r="MS41" s="281"/>
      <c r="MT41" s="198"/>
      <c r="MU41" s="281"/>
      <c r="MV41" s="198"/>
      <c r="MW41" s="281"/>
      <c r="MX41" s="198"/>
      <c r="MY41" s="281"/>
      <c r="MZ41" s="198"/>
      <c r="NA41" s="281"/>
      <c r="NB41" s="198"/>
      <c r="NC41" s="281"/>
      <c r="ND41" s="198"/>
      <c r="NE41" s="281"/>
      <c r="NF41" s="198"/>
      <c r="NG41" s="281"/>
      <c r="NH41" s="198"/>
      <c r="NI41" s="281"/>
      <c r="NJ41" s="198"/>
      <c r="NK41" s="281"/>
      <c r="NL41" s="198"/>
      <c r="NM41" s="281"/>
      <c r="NN41" s="198"/>
      <c r="NO41" s="281"/>
      <c r="NP41" s="198"/>
      <c r="NQ41" s="281"/>
      <c r="NR41" s="198"/>
      <c r="NS41" s="281"/>
      <c r="NT41" s="198"/>
      <c r="NU41" s="281"/>
      <c r="NV41" s="198"/>
      <c r="NW41" s="281"/>
      <c r="NX41" s="198"/>
      <c r="NY41" s="281"/>
      <c r="NZ41" s="198"/>
      <c r="OA41" s="281"/>
      <c r="OB41" s="198"/>
      <c r="OC41" s="281"/>
      <c r="OD41" s="198"/>
      <c r="OE41" s="281"/>
      <c r="OF41" s="198"/>
      <c r="OG41" s="281"/>
      <c r="OH41" s="198"/>
      <c r="OI41" s="281"/>
      <c r="OJ41" s="198"/>
      <c r="OK41" s="281"/>
      <c r="OL41" s="198"/>
      <c r="OM41" s="281"/>
      <c r="ON41" s="198"/>
      <c r="OO41" s="281"/>
      <c r="OP41" s="198"/>
      <c r="OQ41" s="281"/>
      <c r="OR41" s="198"/>
      <c r="OS41" s="281"/>
      <c r="OT41" s="198"/>
      <c r="OU41" s="281"/>
      <c r="OV41" s="198"/>
      <c r="OW41" s="281"/>
      <c r="OX41" s="198"/>
      <c r="OY41" s="281"/>
      <c r="OZ41" s="198"/>
      <c r="PA41" s="281"/>
      <c r="PB41" s="198"/>
      <c r="PC41" s="281"/>
      <c r="PD41" s="198"/>
      <c r="PE41" s="281"/>
      <c r="PF41" s="198"/>
      <c r="PG41" s="281"/>
      <c r="PH41" s="198"/>
      <c r="PI41" s="281"/>
      <c r="PJ41" s="198"/>
      <c r="PK41" s="281"/>
      <c r="PL41" s="198"/>
      <c r="PM41" s="281"/>
      <c r="PN41" s="198"/>
      <c r="PO41" s="281"/>
      <c r="PP41" s="198"/>
      <c r="PR41" s="281"/>
      <c r="PS41" s="198"/>
      <c r="PT41" s="281"/>
      <c r="PU41" s="198"/>
      <c r="PV41" s="281"/>
      <c r="PW41" s="198"/>
      <c r="PX41" s="281"/>
      <c r="PY41" s="198"/>
      <c r="PZ41" s="281"/>
      <c r="QA41" s="198"/>
      <c r="QB41" s="281"/>
      <c r="QC41" s="198"/>
      <c r="QF41" s="281"/>
      <c r="QG41" s="198"/>
      <c r="QH41" s="281"/>
      <c r="QI41" s="198"/>
      <c r="QJ41" s="281"/>
      <c r="QK41" s="198"/>
      <c r="QL41" s="281"/>
      <c r="QM41" s="198"/>
      <c r="QN41" s="281"/>
      <c r="QO41" s="198"/>
      <c r="QP41" s="281"/>
      <c r="QQ41" s="198"/>
    </row>
    <row r="42" spans="1:459" x14ac:dyDescent="0.45">
      <c r="A42" s="871"/>
      <c r="B42" s="284" t="s">
        <v>348</v>
      </c>
      <c r="C42" s="245"/>
      <c r="D42" s="246"/>
      <c r="E42" s="231"/>
      <c r="F42" s="286">
        <f>(F39-F44)/F39</f>
        <v>0.23199999999999985</v>
      </c>
      <c r="G42" s="248">
        <f>(G39-G44)/G39</f>
        <v>0.23199999999999987</v>
      </c>
      <c r="H42" s="286">
        <f>(H39-H44)/H39</f>
        <v>0.23199999999999985</v>
      </c>
      <c r="I42" s="248">
        <f>(I39-I44)/I39</f>
        <v>0.23199999999999987</v>
      </c>
      <c r="J42" s="286"/>
      <c r="K42" s="248"/>
      <c r="L42" s="286"/>
      <c r="M42" s="248"/>
      <c r="N42" s="286"/>
      <c r="O42" s="248"/>
      <c r="P42" s="286"/>
      <c r="Q42" s="248"/>
      <c r="R42" s="286"/>
      <c r="S42" s="248"/>
      <c r="T42" s="286"/>
      <c r="U42" s="248"/>
      <c r="V42" s="286"/>
      <c r="W42" s="248"/>
      <c r="X42" s="286"/>
      <c r="Y42" s="248"/>
      <c r="Z42" s="286"/>
      <c r="AA42" s="248"/>
      <c r="AB42" s="286"/>
      <c r="AC42" s="248"/>
      <c r="AD42" s="286"/>
      <c r="AE42" s="248"/>
      <c r="AF42" s="286"/>
      <c r="AG42" s="248"/>
      <c r="AH42" s="286"/>
      <c r="AI42" s="248"/>
      <c r="AJ42" s="286"/>
      <c r="AK42" s="248"/>
      <c r="AL42" s="286"/>
      <c r="AM42" s="248"/>
      <c r="AN42" s="286"/>
      <c r="AO42" s="248"/>
      <c r="AP42" s="286"/>
      <c r="AQ42" s="248"/>
      <c r="AR42" s="286"/>
      <c r="AS42" s="248"/>
      <c r="AT42" s="286"/>
      <c r="AU42" s="248"/>
      <c r="AV42" s="286"/>
      <c r="AW42" s="248"/>
      <c r="AX42" s="286"/>
      <c r="AY42" s="248"/>
      <c r="AZ42" s="286"/>
      <c r="BA42" s="248"/>
      <c r="BB42" s="286"/>
      <c r="BC42" s="248"/>
      <c r="BD42" s="286"/>
      <c r="BE42" s="248"/>
      <c r="BF42" s="286"/>
      <c r="BG42" s="248"/>
      <c r="BH42" s="286"/>
      <c r="BI42" s="248"/>
      <c r="BJ42" s="286"/>
      <c r="BK42" s="248"/>
      <c r="BL42" s="286"/>
      <c r="BM42" s="248"/>
      <c r="BN42" s="286"/>
      <c r="BO42" s="248"/>
      <c r="BP42" s="286"/>
      <c r="BQ42" s="248"/>
      <c r="BR42" s="286"/>
      <c r="BS42" s="248"/>
      <c r="BT42" s="286"/>
      <c r="BU42" s="248"/>
      <c r="BV42" s="286"/>
      <c r="BW42" s="248"/>
      <c r="BX42" s="286"/>
      <c r="BY42" s="248"/>
      <c r="BZ42" s="286"/>
      <c r="CA42" s="248"/>
      <c r="CB42" s="286"/>
      <c r="CC42" s="248"/>
      <c r="CD42" s="286"/>
      <c r="CE42" s="248"/>
      <c r="CF42" s="286"/>
      <c r="CG42" s="248"/>
      <c r="CH42" s="286"/>
      <c r="CI42" s="248"/>
      <c r="CJ42" s="286"/>
      <c r="CK42" s="248"/>
      <c r="CL42" s="286"/>
      <c r="CM42" s="248"/>
      <c r="CN42" s="286"/>
      <c r="CO42" s="248"/>
      <c r="CP42" s="286"/>
      <c r="CQ42" s="248"/>
      <c r="CR42" s="286"/>
      <c r="CS42" s="248"/>
      <c r="CT42" s="249"/>
      <c r="CU42" s="286"/>
      <c r="CV42" s="248"/>
      <c r="CW42" s="286"/>
      <c r="CX42" s="248"/>
      <c r="CY42" s="286"/>
      <c r="CZ42" s="248"/>
      <c r="DA42" s="286"/>
      <c r="DB42" s="248"/>
      <c r="DC42" s="286"/>
      <c r="DD42" s="248"/>
      <c r="DE42" s="286"/>
      <c r="DF42" s="248"/>
      <c r="DG42" s="286"/>
      <c r="DH42" s="248"/>
      <c r="DI42" s="286"/>
      <c r="DJ42" s="248"/>
      <c r="DK42" s="286"/>
      <c r="DL42" s="248"/>
      <c r="DM42" s="286"/>
      <c r="DN42" s="248"/>
      <c r="DO42" s="286"/>
      <c r="DP42" s="248"/>
      <c r="DQ42" s="286"/>
      <c r="DR42" s="248"/>
      <c r="DS42" s="286"/>
      <c r="DT42" s="248"/>
      <c r="DU42" s="286"/>
      <c r="DV42" s="248"/>
      <c r="DW42" s="286"/>
      <c r="DX42" s="248"/>
      <c r="DY42" s="286"/>
      <c r="DZ42" s="248"/>
      <c r="EA42" s="286"/>
      <c r="EB42" s="248"/>
      <c r="EC42" s="286"/>
      <c r="ED42" s="248"/>
      <c r="EE42" s="286"/>
      <c r="EF42" s="248"/>
      <c r="EG42" s="286"/>
      <c r="EH42" s="248"/>
      <c r="EI42" s="286"/>
      <c r="EJ42" s="248"/>
      <c r="EK42" s="286"/>
      <c r="EL42" s="248"/>
      <c r="EM42" s="286"/>
      <c r="EN42" s="248"/>
      <c r="EO42" s="286"/>
      <c r="EP42" s="248"/>
      <c r="EQ42" s="286"/>
      <c r="ER42" s="248"/>
      <c r="ES42" s="286"/>
      <c r="ET42" s="248"/>
      <c r="EU42" s="286"/>
      <c r="EV42" s="248"/>
      <c r="EW42" s="286"/>
      <c r="EX42" s="248"/>
      <c r="EY42" s="286"/>
      <c r="EZ42" s="248"/>
      <c r="FA42" s="286"/>
      <c r="FB42" s="248"/>
      <c r="FC42" s="286"/>
      <c r="FD42" s="248"/>
      <c r="FE42" s="286"/>
      <c r="FF42" s="248"/>
      <c r="FG42" s="286"/>
      <c r="FH42" s="248"/>
      <c r="FI42" s="286"/>
      <c r="FJ42" s="248"/>
      <c r="FK42" s="286"/>
      <c r="FL42" s="248"/>
      <c r="FM42" s="286"/>
      <c r="FN42" s="248"/>
      <c r="FO42" s="286"/>
      <c r="FP42" s="248"/>
      <c r="FQ42" s="231"/>
      <c r="FR42" s="286">
        <f t="shared" ref="FR42:GI42" si="455">(FR39-FR44)/FR39</f>
        <v>1</v>
      </c>
      <c r="FS42" s="248">
        <f t="shared" si="455"/>
        <v>0.98686974789915971</v>
      </c>
      <c r="FT42" s="286">
        <f t="shared" si="455"/>
        <v>1</v>
      </c>
      <c r="FU42" s="248">
        <f t="shared" si="455"/>
        <v>0.98759920634920639</v>
      </c>
      <c r="FV42" s="286">
        <f t="shared" si="455"/>
        <v>1</v>
      </c>
      <c r="FW42" s="248">
        <f t="shared" si="455"/>
        <v>0.98816287878787878</v>
      </c>
      <c r="FX42" s="286">
        <f t="shared" si="455"/>
        <v>1</v>
      </c>
      <c r="FY42" s="248">
        <f t="shared" si="455"/>
        <v>0.98816287878787878</v>
      </c>
      <c r="FZ42" s="286">
        <f t="shared" si="455"/>
        <v>1</v>
      </c>
      <c r="GA42" s="248">
        <f t="shared" si="455"/>
        <v>0.9888392857142857</v>
      </c>
      <c r="GB42" s="286">
        <f t="shared" si="455"/>
        <v>1</v>
      </c>
      <c r="GC42" s="248">
        <f t="shared" si="455"/>
        <v>0.9888392857142857</v>
      </c>
      <c r="GD42" s="286">
        <f t="shared" si="455"/>
        <v>1</v>
      </c>
      <c r="GE42" s="248">
        <f t="shared" si="455"/>
        <v>0.98875899280575541</v>
      </c>
      <c r="GF42" s="286">
        <f t="shared" si="455"/>
        <v>1</v>
      </c>
      <c r="GG42" s="248">
        <f t="shared" si="455"/>
        <v>0.98875899280575541</v>
      </c>
      <c r="GH42" s="286">
        <f t="shared" si="455"/>
        <v>1</v>
      </c>
      <c r="GI42" s="248">
        <f t="shared" si="455"/>
        <v>0.98875899280575541</v>
      </c>
      <c r="GJ42" s="286"/>
      <c r="GK42" s="248"/>
      <c r="GL42" s="286"/>
      <c r="GM42" s="248"/>
      <c r="GN42" s="286"/>
      <c r="GO42" s="248"/>
      <c r="GP42" s="286"/>
      <c r="GQ42" s="248"/>
      <c r="GR42" s="286"/>
      <c r="GS42" s="248"/>
      <c r="GT42" s="286"/>
      <c r="GU42" s="248"/>
      <c r="GV42" s="286"/>
      <c r="GW42" s="248"/>
      <c r="GX42" s="286"/>
      <c r="GY42" s="248"/>
      <c r="GZ42" s="286"/>
      <c r="HA42" s="248"/>
      <c r="HB42" s="286"/>
      <c r="HC42" s="248"/>
      <c r="HD42" s="286"/>
      <c r="HE42" s="248"/>
      <c r="HF42" s="286"/>
      <c r="HG42" s="248"/>
      <c r="HH42" s="286"/>
      <c r="HI42" s="248"/>
      <c r="HJ42" s="286"/>
      <c r="HK42" s="248"/>
      <c r="HL42" s="286"/>
      <c r="HM42" s="248"/>
      <c r="HN42" s="286"/>
      <c r="HO42" s="248"/>
      <c r="HP42" s="286"/>
      <c r="HQ42" s="248"/>
      <c r="HR42" s="286"/>
      <c r="HS42" s="248"/>
      <c r="HT42" s="286"/>
      <c r="HU42" s="248"/>
      <c r="HV42" s="286"/>
      <c r="HW42" s="248"/>
      <c r="HX42" s="286"/>
      <c r="HY42" s="248"/>
      <c r="HZ42" s="286"/>
      <c r="IA42" s="248"/>
      <c r="IB42" s="286"/>
      <c r="IC42" s="248"/>
      <c r="ID42" s="286"/>
      <c r="IE42" s="248"/>
      <c r="IF42" s="286"/>
      <c r="IG42" s="248"/>
      <c r="IH42" s="286"/>
      <c r="II42" s="248"/>
      <c r="IJ42" s="286"/>
      <c r="IK42" s="248"/>
      <c r="IL42" s="286"/>
      <c r="IM42" s="248"/>
      <c r="IN42" s="286"/>
      <c r="IO42" s="248"/>
      <c r="IP42" s="286"/>
      <c r="IQ42" s="248"/>
      <c r="IR42" s="286"/>
      <c r="IS42" s="248"/>
      <c r="IT42" s="286"/>
      <c r="IU42" s="248"/>
      <c r="IV42" s="286"/>
      <c r="IW42" s="248"/>
      <c r="IX42" s="286"/>
      <c r="IY42" s="248"/>
      <c r="IZ42" s="231"/>
      <c r="JA42" s="286"/>
      <c r="JB42" s="248"/>
      <c r="JC42" s="286"/>
      <c r="JD42" s="248"/>
      <c r="JE42" s="231"/>
      <c r="JF42" s="286">
        <f t="shared" ref="JF42:JS42" si="456">(JF39-JF44)/JF39</f>
        <v>1</v>
      </c>
      <c r="JG42" s="248">
        <f t="shared" si="456"/>
        <v>0.98724489795918369</v>
      </c>
      <c r="JH42" s="286">
        <f t="shared" si="456"/>
        <v>1</v>
      </c>
      <c r="JI42" s="248">
        <f t="shared" si="456"/>
        <v>0.98799519807923175</v>
      </c>
      <c r="JJ42" s="286">
        <f t="shared" si="456"/>
        <v>1</v>
      </c>
      <c r="JK42" s="248">
        <f t="shared" si="456"/>
        <v>0.98847926267281105</v>
      </c>
      <c r="JL42" s="286">
        <f t="shared" si="456"/>
        <v>1</v>
      </c>
      <c r="JM42" s="248">
        <f t="shared" si="456"/>
        <v>0.98847926267281105</v>
      </c>
      <c r="JN42" s="286">
        <f t="shared" si="456"/>
        <v>1</v>
      </c>
      <c r="JO42" s="248">
        <f t="shared" si="456"/>
        <v>0.98933901918976552</v>
      </c>
      <c r="JP42" s="286">
        <f t="shared" si="456"/>
        <v>1</v>
      </c>
      <c r="JQ42" s="248">
        <f t="shared" si="456"/>
        <v>0.98933901918976552</v>
      </c>
      <c r="JR42" s="286">
        <f t="shared" si="456"/>
        <v>1</v>
      </c>
      <c r="JS42" s="248">
        <f t="shared" si="456"/>
        <v>0.98933901918976552</v>
      </c>
      <c r="JT42" s="286"/>
      <c r="JU42" s="248"/>
      <c r="JV42" s="286"/>
      <c r="JW42" s="248"/>
      <c r="JX42" s="286"/>
      <c r="JY42" s="248"/>
      <c r="JZ42" s="286"/>
      <c r="KA42" s="248"/>
      <c r="KB42" s="286"/>
      <c r="KC42" s="248"/>
      <c r="KD42" s="286"/>
      <c r="KE42" s="248"/>
      <c r="KF42" s="286"/>
      <c r="KG42" s="248"/>
      <c r="KH42" s="286"/>
      <c r="KI42" s="248"/>
      <c r="KJ42" s="286"/>
      <c r="KK42" s="248"/>
      <c r="KL42" s="286"/>
      <c r="KM42" s="248"/>
      <c r="KN42" s="286"/>
      <c r="KO42" s="248"/>
      <c r="KP42" s="286"/>
      <c r="KQ42" s="248"/>
      <c r="KR42" s="286"/>
      <c r="KS42" s="248"/>
      <c r="KT42" s="286"/>
      <c r="KU42" s="248"/>
      <c r="KV42" s="286"/>
      <c r="KW42" s="248"/>
      <c r="KX42" s="286"/>
      <c r="KY42" s="248"/>
      <c r="KZ42" s="286"/>
      <c r="LA42" s="248"/>
      <c r="LB42" s="286"/>
      <c r="LC42" s="248"/>
      <c r="LD42" s="286"/>
      <c r="LE42" s="248"/>
      <c r="LF42" s="286"/>
      <c r="LG42" s="248"/>
      <c r="LH42" s="286"/>
      <c r="LI42" s="248"/>
      <c r="LJ42" s="286"/>
      <c r="LK42" s="248"/>
      <c r="LL42" s="286"/>
      <c r="LM42" s="248"/>
      <c r="LN42" s="286"/>
      <c r="LO42" s="248"/>
      <c r="LP42" s="286"/>
      <c r="LQ42" s="248"/>
      <c r="LR42" s="286"/>
      <c r="LS42" s="248"/>
      <c r="LT42" s="286"/>
      <c r="LU42" s="248"/>
      <c r="LV42" s="286"/>
      <c r="LW42" s="248"/>
      <c r="LX42" s="286"/>
      <c r="LY42" s="248"/>
      <c r="LZ42" s="286"/>
      <c r="MA42" s="248"/>
      <c r="MB42" s="286"/>
      <c r="MC42" s="248"/>
      <c r="MD42" s="286"/>
      <c r="ME42" s="248"/>
      <c r="MF42" s="286"/>
      <c r="MG42" s="248"/>
      <c r="MH42" s="231"/>
      <c r="MI42" s="286"/>
      <c r="MJ42" s="248"/>
      <c r="MK42" s="286"/>
      <c r="ML42" s="248"/>
      <c r="MM42" s="286"/>
      <c r="MN42" s="248"/>
      <c r="MO42" s="286"/>
      <c r="MP42" s="248"/>
      <c r="MQ42" s="286"/>
      <c r="MR42" s="248"/>
      <c r="MS42" s="286"/>
      <c r="MT42" s="248"/>
      <c r="MU42" s="286"/>
      <c r="MV42" s="248"/>
      <c r="MW42" s="286"/>
      <c r="MX42" s="248"/>
      <c r="MY42" s="286"/>
      <c r="MZ42" s="248"/>
      <c r="NA42" s="286"/>
      <c r="NB42" s="248"/>
      <c r="NC42" s="286"/>
      <c r="ND42" s="248"/>
      <c r="NE42" s="286"/>
      <c r="NF42" s="248"/>
      <c r="NG42" s="286"/>
      <c r="NH42" s="248"/>
      <c r="NI42" s="286"/>
      <c r="NJ42" s="248"/>
      <c r="NK42" s="286"/>
      <c r="NL42" s="248"/>
      <c r="NM42" s="286"/>
      <c r="NN42" s="248"/>
      <c r="NO42" s="286"/>
      <c r="NP42" s="248"/>
      <c r="NQ42" s="286"/>
      <c r="NR42" s="248"/>
      <c r="NS42" s="286"/>
      <c r="NT42" s="248"/>
      <c r="NU42" s="286"/>
      <c r="NV42" s="248"/>
      <c r="NW42" s="286"/>
      <c r="NX42" s="248"/>
      <c r="NY42" s="286"/>
      <c r="NZ42" s="248"/>
      <c r="OA42" s="286"/>
      <c r="OB42" s="248"/>
      <c r="OC42" s="286"/>
      <c r="OD42" s="248"/>
      <c r="OE42" s="286"/>
      <c r="OF42" s="248"/>
      <c r="OG42" s="286"/>
      <c r="OH42" s="248"/>
      <c r="OI42" s="286"/>
      <c r="OJ42" s="248"/>
      <c r="OK42" s="286"/>
      <c r="OL42" s="248"/>
      <c r="OM42" s="286"/>
      <c r="ON42" s="248"/>
      <c r="OO42" s="286"/>
      <c r="OP42" s="248"/>
      <c r="OQ42" s="286"/>
      <c r="OR42" s="248"/>
      <c r="OS42" s="286"/>
      <c r="OT42" s="248"/>
      <c r="OU42" s="286"/>
      <c r="OV42" s="248"/>
      <c r="OW42" s="286"/>
      <c r="OX42" s="248"/>
      <c r="OY42" s="286"/>
      <c r="OZ42" s="248"/>
      <c r="PA42" s="286"/>
      <c r="PB42" s="248"/>
      <c r="PC42" s="286"/>
      <c r="PD42" s="248"/>
      <c r="PE42" s="286"/>
      <c r="PF42" s="248"/>
      <c r="PG42" s="286"/>
      <c r="PH42" s="248"/>
      <c r="PI42" s="286"/>
      <c r="PJ42" s="248"/>
      <c r="PK42" s="286"/>
      <c r="PL42" s="248"/>
      <c r="PM42" s="286"/>
      <c r="PN42" s="248"/>
      <c r="PO42" s="286"/>
      <c r="PP42" s="248"/>
      <c r="PQ42" s="236"/>
      <c r="PR42" s="286"/>
      <c r="PS42" s="248"/>
      <c r="PT42" s="286"/>
      <c r="PU42" s="248"/>
      <c r="PV42" s="286"/>
      <c r="PW42" s="248"/>
      <c r="PX42" s="286"/>
      <c r="PY42" s="248"/>
      <c r="PZ42" s="286"/>
      <c r="QA42" s="248"/>
      <c r="QB42" s="286"/>
      <c r="QC42" s="248"/>
      <c r="QD42" s="236"/>
      <c r="QE42" s="236"/>
      <c r="QF42" s="286"/>
      <c r="QG42" s="248"/>
      <c r="QH42" s="286"/>
      <c r="QI42" s="248"/>
      <c r="QJ42" s="286"/>
      <c r="QK42" s="248"/>
      <c r="QL42" s="286"/>
      <c r="QM42" s="248"/>
      <c r="QN42" s="286"/>
      <c r="QO42" s="248"/>
      <c r="QP42" s="286"/>
      <c r="QQ42" s="248"/>
    </row>
    <row r="43" spans="1:459" x14ac:dyDescent="0.45">
      <c r="A43" s="871"/>
      <c r="B43" s="180" t="s">
        <v>349</v>
      </c>
      <c r="C43" s="181"/>
      <c r="D43" s="199"/>
      <c r="E43" s="186"/>
      <c r="F43" s="292">
        <f>F39-F44</f>
        <v>1.9139999999999988</v>
      </c>
      <c r="G43" s="188">
        <f>G39-G44</f>
        <v>1.4499999999999993</v>
      </c>
      <c r="H43" s="292">
        <f>H39-H44</f>
        <v>1.9139999999999988</v>
      </c>
      <c r="I43" s="188">
        <f>I39-I44</f>
        <v>1.4499999999999993</v>
      </c>
      <c r="J43" s="292"/>
      <c r="K43" s="188"/>
      <c r="L43" s="292"/>
      <c r="M43" s="188"/>
      <c r="N43" s="292"/>
      <c r="O43" s="188"/>
      <c r="P43" s="292"/>
      <c r="Q43" s="188"/>
      <c r="R43" s="292"/>
      <c r="S43" s="188"/>
      <c r="T43" s="292"/>
      <c r="U43" s="188"/>
      <c r="V43" s="292"/>
      <c r="W43" s="188"/>
      <c r="X43" s="292"/>
      <c r="Y43" s="188"/>
      <c r="Z43" s="292"/>
      <c r="AA43" s="188"/>
      <c r="AB43" s="292"/>
      <c r="AC43" s="188"/>
      <c r="AD43" s="292"/>
      <c r="AE43" s="188"/>
      <c r="AF43" s="292"/>
      <c r="AG43" s="188"/>
      <c r="AH43" s="292"/>
      <c r="AI43" s="188"/>
      <c r="AJ43" s="292"/>
      <c r="AK43" s="188"/>
      <c r="AL43" s="292"/>
      <c r="AM43" s="188"/>
      <c r="AN43" s="292"/>
      <c r="AO43" s="188"/>
      <c r="AP43" s="292"/>
      <c r="AQ43" s="188"/>
      <c r="AR43" s="292"/>
      <c r="AS43" s="188"/>
      <c r="AT43" s="292"/>
      <c r="AU43" s="188"/>
      <c r="AV43" s="292"/>
      <c r="AW43" s="188"/>
      <c r="AX43" s="292"/>
      <c r="AY43" s="188"/>
      <c r="AZ43" s="292"/>
      <c r="BA43" s="188"/>
      <c r="BB43" s="292"/>
      <c r="BC43" s="188"/>
      <c r="BD43" s="292"/>
      <c r="BE43" s="188"/>
      <c r="BF43" s="292"/>
      <c r="BG43" s="188"/>
      <c r="BH43" s="292"/>
      <c r="BI43" s="188"/>
      <c r="BJ43" s="292"/>
      <c r="BK43" s="188"/>
      <c r="BL43" s="292"/>
      <c r="BM43" s="188"/>
      <c r="BN43" s="292"/>
      <c r="BO43" s="188"/>
      <c r="BP43" s="292"/>
      <c r="BQ43" s="188"/>
      <c r="BR43" s="292"/>
      <c r="BS43" s="188"/>
      <c r="BT43" s="292"/>
      <c r="BU43" s="188"/>
      <c r="BV43" s="292"/>
      <c r="BW43" s="188"/>
      <c r="BX43" s="292"/>
      <c r="BY43" s="188"/>
      <c r="BZ43" s="292"/>
      <c r="CA43" s="188"/>
      <c r="CB43" s="292"/>
      <c r="CC43" s="188"/>
      <c r="CD43" s="292"/>
      <c r="CE43" s="188"/>
      <c r="CF43" s="292"/>
      <c r="CG43" s="188"/>
      <c r="CH43" s="292"/>
      <c r="CI43" s="188"/>
      <c r="CJ43" s="292"/>
      <c r="CK43" s="188"/>
      <c r="CL43" s="292"/>
      <c r="CM43" s="188"/>
      <c r="CN43" s="292"/>
      <c r="CO43" s="188"/>
      <c r="CP43" s="292"/>
      <c r="CQ43" s="188"/>
      <c r="CR43" s="292"/>
      <c r="CS43" s="188"/>
      <c r="CT43" s="201"/>
      <c r="CU43" s="292"/>
      <c r="CV43" s="188"/>
      <c r="CW43" s="292"/>
      <c r="CX43" s="188"/>
      <c r="CY43" s="292"/>
      <c r="CZ43" s="188"/>
      <c r="DA43" s="292"/>
      <c r="DB43" s="188"/>
      <c r="DC43" s="292"/>
      <c r="DD43" s="188"/>
      <c r="DE43" s="292"/>
      <c r="DF43" s="188"/>
      <c r="DG43" s="292"/>
      <c r="DH43" s="188"/>
      <c r="DI43" s="292"/>
      <c r="DJ43" s="188"/>
      <c r="DK43" s="292"/>
      <c r="DL43" s="188"/>
      <c r="DM43" s="292"/>
      <c r="DN43" s="188"/>
      <c r="DO43" s="292"/>
      <c r="DP43" s="188"/>
      <c r="DQ43" s="292"/>
      <c r="DR43" s="188"/>
      <c r="DS43" s="292"/>
      <c r="DT43" s="188"/>
      <c r="DU43" s="292"/>
      <c r="DV43" s="188"/>
      <c r="DW43" s="292"/>
      <c r="DX43" s="188"/>
      <c r="DY43" s="292"/>
      <c r="DZ43" s="188"/>
      <c r="EA43" s="292"/>
      <c r="EB43" s="188"/>
      <c r="EC43" s="292"/>
      <c r="ED43" s="188"/>
      <c r="EE43" s="292"/>
      <c r="EF43" s="188"/>
      <c r="EG43" s="292"/>
      <c r="EH43" s="188"/>
      <c r="EI43" s="292"/>
      <c r="EJ43" s="188"/>
      <c r="EK43" s="292"/>
      <c r="EL43" s="188"/>
      <c r="EM43" s="292"/>
      <c r="EN43" s="188"/>
      <c r="EO43" s="292"/>
      <c r="EP43" s="188"/>
      <c r="EQ43" s="292"/>
      <c r="ER43" s="188"/>
      <c r="ES43" s="292"/>
      <c r="ET43" s="188"/>
      <c r="EU43" s="292"/>
      <c r="EV43" s="188"/>
      <c r="EW43" s="292"/>
      <c r="EX43" s="188"/>
      <c r="EY43" s="292"/>
      <c r="EZ43" s="188"/>
      <c r="FA43" s="292"/>
      <c r="FB43" s="188"/>
      <c r="FC43" s="292"/>
      <c r="FD43" s="188"/>
      <c r="FE43" s="292"/>
      <c r="FF43" s="188"/>
      <c r="FG43" s="292"/>
      <c r="FH43" s="188"/>
      <c r="FI43" s="292"/>
      <c r="FJ43" s="188"/>
      <c r="FK43" s="292"/>
      <c r="FL43" s="188"/>
      <c r="FM43" s="292"/>
      <c r="FN43" s="188"/>
      <c r="FO43" s="292"/>
      <c r="FP43" s="188"/>
      <c r="FQ43" s="186"/>
      <c r="FR43" s="292">
        <f t="shared" ref="FR43:GI43" si="457">FR39-FR44</f>
        <v>7.854000000000001</v>
      </c>
      <c r="FS43" s="188">
        <f t="shared" si="457"/>
        <v>5.8718750000000002</v>
      </c>
      <c r="FT43" s="292">
        <f t="shared" si="457"/>
        <v>8.3160000000000007</v>
      </c>
      <c r="FU43" s="188">
        <f t="shared" si="457"/>
        <v>6.2218750000000007</v>
      </c>
      <c r="FV43" s="292">
        <f t="shared" si="457"/>
        <v>8.7120000000000015</v>
      </c>
      <c r="FW43" s="188">
        <f t="shared" si="457"/>
        <v>6.5218750000000005</v>
      </c>
      <c r="FX43" s="292">
        <f t="shared" si="457"/>
        <v>8.7120000000000015</v>
      </c>
      <c r="FY43" s="188">
        <f t="shared" si="457"/>
        <v>6.5218750000000005</v>
      </c>
      <c r="FZ43" s="292">
        <f t="shared" si="457"/>
        <v>9.24</v>
      </c>
      <c r="GA43" s="188">
        <f t="shared" si="457"/>
        <v>6.921875</v>
      </c>
      <c r="GB43" s="292">
        <f t="shared" si="457"/>
        <v>9.24</v>
      </c>
      <c r="GC43" s="188">
        <f t="shared" si="457"/>
        <v>6.921875</v>
      </c>
      <c r="GD43" s="292">
        <f t="shared" si="457"/>
        <v>9.1740000000000013</v>
      </c>
      <c r="GE43" s="188">
        <f t="shared" si="457"/>
        <v>6.8718750000000002</v>
      </c>
      <c r="GF43" s="292">
        <f t="shared" si="457"/>
        <v>9.1740000000000013</v>
      </c>
      <c r="GG43" s="188">
        <f t="shared" si="457"/>
        <v>6.8718750000000002</v>
      </c>
      <c r="GH43" s="292">
        <f t="shared" si="457"/>
        <v>9.1740000000000013</v>
      </c>
      <c r="GI43" s="188">
        <f t="shared" si="457"/>
        <v>6.8718750000000002</v>
      </c>
      <c r="GJ43" s="292"/>
      <c r="GK43" s="188"/>
      <c r="GL43" s="292"/>
      <c r="GM43" s="188"/>
      <c r="GN43" s="292"/>
      <c r="GO43" s="188"/>
      <c r="GP43" s="292"/>
      <c r="GQ43" s="188"/>
      <c r="GR43" s="292"/>
      <c r="GS43" s="188"/>
      <c r="GT43" s="292"/>
      <c r="GU43" s="188"/>
      <c r="GV43" s="292"/>
      <c r="GW43" s="188"/>
      <c r="GX43" s="292"/>
      <c r="GY43" s="188"/>
      <c r="GZ43" s="292"/>
      <c r="HA43" s="188"/>
      <c r="HB43" s="292"/>
      <c r="HC43" s="188"/>
      <c r="HD43" s="292"/>
      <c r="HE43" s="188"/>
      <c r="HF43" s="292"/>
      <c r="HG43" s="188"/>
      <c r="HH43" s="292"/>
      <c r="HI43" s="188"/>
      <c r="HJ43" s="292"/>
      <c r="HK43" s="188"/>
      <c r="HL43" s="292"/>
      <c r="HM43" s="188"/>
      <c r="HN43" s="292"/>
      <c r="HO43" s="188"/>
      <c r="HP43" s="292"/>
      <c r="HQ43" s="188"/>
      <c r="HR43" s="292"/>
      <c r="HS43" s="188"/>
      <c r="HT43" s="292"/>
      <c r="HU43" s="188"/>
      <c r="HV43" s="292"/>
      <c r="HW43" s="188"/>
      <c r="HX43" s="292"/>
      <c r="HY43" s="188"/>
      <c r="HZ43" s="292"/>
      <c r="IA43" s="188"/>
      <c r="IB43" s="292"/>
      <c r="IC43" s="188"/>
      <c r="ID43" s="292"/>
      <c r="IE43" s="188"/>
      <c r="IF43" s="292"/>
      <c r="IG43" s="188"/>
      <c r="IH43" s="292"/>
      <c r="II43" s="188"/>
      <c r="IJ43" s="292"/>
      <c r="IK43" s="188"/>
      <c r="IL43" s="292"/>
      <c r="IM43" s="188"/>
      <c r="IN43" s="292"/>
      <c r="IO43" s="188"/>
      <c r="IP43" s="292"/>
      <c r="IQ43" s="188"/>
      <c r="IR43" s="292"/>
      <c r="IS43" s="188"/>
      <c r="IT43" s="292"/>
      <c r="IU43" s="188"/>
      <c r="IV43" s="292"/>
      <c r="IW43" s="188"/>
      <c r="IX43" s="292"/>
      <c r="IY43" s="188"/>
      <c r="IZ43" s="186"/>
      <c r="JA43" s="292"/>
      <c r="JB43" s="188"/>
      <c r="JC43" s="292"/>
      <c r="JD43" s="188"/>
      <c r="JE43" s="186"/>
      <c r="JF43" s="292">
        <f t="shared" ref="JF43:JS43" si="458">JF39-JF44</f>
        <v>7.3919999999999995</v>
      </c>
      <c r="JG43" s="188">
        <f t="shared" si="458"/>
        <v>5.5285714285714285</v>
      </c>
      <c r="JH43" s="292">
        <f t="shared" si="458"/>
        <v>7.854000000000001</v>
      </c>
      <c r="JI43" s="188">
        <f t="shared" si="458"/>
        <v>5.878571428571429</v>
      </c>
      <c r="JJ43" s="292">
        <f t="shared" si="458"/>
        <v>8.1840000000000011</v>
      </c>
      <c r="JK43" s="188">
        <f t="shared" si="458"/>
        <v>6.128571428571429</v>
      </c>
      <c r="JL43" s="292">
        <f t="shared" si="458"/>
        <v>8.1840000000000011</v>
      </c>
      <c r="JM43" s="188">
        <f t="shared" si="458"/>
        <v>6.128571428571429</v>
      </c>
      <c r="JN43" s="292">
        <f t="shared" si="458"/>
        <v>8.8440000000000012</v>
      </c>
      <c r="JO43" s="188">
        <f t="shared" si="458"/>
        <v>6.628571428571429</v>
      </c>
      <c r="JP43" s="292">
        <f t="shared" si="458"/>
        <v>8.8440000000000012</v>
      </c>
      <c r="JQ43" s="188">
        <f t="shared" si="458"/>
        <v>6.628571428571429</v>
      </c>
      <c r="JR43" s="292">
        <f t="shared" si="458"/>
        <v>8.8440000000000012</v>
      </c>
      <c r="JS43" s="188">
        <f t="shared" si="458"/>
        <v>6.628571428571429</v>
      </c>
      <c r="JT43" s="292"/>
      <c r="JU43" s="188"/>
      <c r="JV43" s="292"/>
      <c r="JW43" s="188"/>
      <c r="JX43" s="292"/>
      <c r="JY43" s="188"/>
      <c r="JZ43" s="292"/>
      <c r="KA43" s="188"/>
      <c r="KB43" s="292"/>
      <c r="KC43" s="188"/>
      <c r="KD43" s="292"/>
      <c r="KE43" s="188"/>
      <c r="KF43" s="292"/>
      <c r="KG43" s="188"/>
      <c r="KH43" s="292"/>
      <c r="KI43" s="188"/>
      <c r="KJ43" s="292"/>
      <c r="KK43" s="188"/>
      <c r="KL43" s="292"/>
      <c r="KM43" s="188"/>
      <c r="KN43" s="292"/>
      <c r="KO43" s="188"/>
      <c r="KP43" s="292"/>
      <c r="KQ43" s="188"/>
      <c r="KR43" s="292"/>
      <c r="KS43" s="188"/>
      <c r="KT43" s="292"/>
      <c r="KU43" s="188"/>
      <c r="KV43" s="292"/>
      <c r="KW43" s="188"/>
      <c r="KX43" s="292"/>
      <c r="KY43" s="188"/>
      <c r="KZ43" s="292"/>
      <c r="LA43" s="188"/>
      <c r="LB43" s="292"/>
      <c r="LC43" s="188"/>
      <c r="LD43" s="292"/>
      <c r="LE43" s="188"/>
      <c r="LF43" s="292"/>
      <c r="LG43" s="188"/>
      <c r="LH43" s="292"/>
      <c r="LI43" s="188"/>
      <c r="LJ43" s="292"/>
      <c r="LK43" s="188"/>
      <c r="LL43" s="292"/>
      <c r="LM43" s="188"/>
      <c r="LN43" s="292"/>
      <c r="LO43" s="188"/>
      <c r="LP43" s="292"/>
      <c r="LQ43" s="188"/>
      <c r="LR43" s="292"/>
      <c r="LS43" s="188"/>
      <c r="LT43" s="292"/>
      <c r="LU43" s="188"/>
      <c r="LV43" s="292"/>
      <c r="LW43" s="188"/>
      <c r="LX43" s="292"/>
      <c r="LY43" s="188"/>
      <c r="LZ43" s="292"/>
      <c r="MA43" s="188"/>
      <c r="MB43" s="292"/>
      <c r="MC43" s="188"/>
      <c r="MD43" s="292"/>
      <c r="ME43" s="188"/>
      <c r="MF43" s="292"/>
      <c r="MG43" s="188"/>
      <c r="MH43" s="186"/>
      <c r="MI43" s="292"/>
      <c r="MJ43" s="188"/>
      <c r="MK43" s="292"/>
      <c r="ML43" s="188"/>
      <c r="MM43" s="292"/>
      <c r="MN43" s="188"/>
      <c r="MO43" s="292"/>
      <c r="MP43" s="188"/>
      <c r="MQ43" s="292"/>
      <c r="MR43" s="188"/>
      <c r="MS43" s="292"/>
      <c r="MT43" s="188"/>
      <c r="MU43" s="292"/>
      <c r="MV43" s="188"/>
      <c r="MW43" s="292"/>
      <c r="MX43" s="188"/>
      <c r="MY43" s="292"/>
      <c r="MZ43" s="188"/>
      <c r="NA43" s="292"/>
      <c r="NB43" s="188"/>
      <c r="NC43" s="292"/>
      <c r="ND43" s="188"/>
      <c r="NE43" s="292"/>
      <c r="NF43" s="188"/>
      <c r="NG43" s="292"/>
      <c r="NH43" s="188"/>
      <c r="NI43" s="292"/>
      <c r="NJ43" s="188"/>
      <c r="NK43" s="292"/>
      <c r="NL43" s="188"/>
      <c r="NM43" s="292"/>
      <c r="NN43" s="188"/>
      <c r="NO43" s="292"/>
      <c r="NP43" s="188"/>
      <c r="NQ43" s="292"/>
      <c r="NR43" s="188"/>
      <c r="NS43" s="292"/>
      <c r="NT43" s="188"/>
      <c r="NU43" s="292"/>
      <c r="NV43" s="188"/>
      <c r="NW43" s="292"/>
      <c r="NX43" s="188"/>
      <c r="NY43" s="292"/>
      <c r="NZ43" s="188"/>
      <c r="OA43" s="292"/>
      <c r="OB43" s="188"/>
      <c r="OC43" s="292"/>
      <c r="OD43" s="188"/>
      <c r="OE43" s="292"/>
      <c r="OF43" s="188"/>
      <c r="OG43" s="292"/>
      <c r="OH43" s="188"/>
      <c r="OI43" s="292"/>
      <c r="OJ43" s="188"/>
      <c r="OK43" s="292"/>
      <c r="OL43" s="188"/>
      <c r="OM43" s="292"/>
      <c r="ON43" s="188"/>
      <c r="OO43" s="292"/>
      <c r="OP43" s="188"/>
      <c r="OQ43" s="292"/>
      <c r="OR43" s="188"/>
      <c r="OS43" s="292"/>
      <c r="OT43" s="188"/>
      <c r="OU43" s="292"/>
      <c r="OV43" s="188"/>
      <c r="OW43" s="292"/>
      <c r="OX43" s="188"/>
      <c r="OY43" s="292"/>
      <c r="OZ43" s="188"/>
      <c r="PA43" s="292"/>
      <c r="PB43" s="188"/>
      <c r="PC43" s="292"/>
      <c r="PD43" s="188"/>
      <c r="PE43" s="292"/>
      <c r="PF43" s="188"/>
      <c r="PG43" s="292"/>
      <c r="PH43" s="188"/>
      <c r="PI43" s="292"/>
      <c r="PJ43" s="188"/>
      <c r="PK43" s="292"/>
      <c r="PL43" s="188"/>
      <c r="PM43" s="292"/>
      <c r="PN43" s="188"/>
      <c r="PO43" s="292"/>
      <c r="PP43" s="188"/>
      <c r="PR43" s="292"/>
      <c r="PS43" s="188"/>
      <c r="PT43" s="292"/>
      <c r="PU43" s="188"/>
      <c r="PV43" s="292"/>
      <c r="PW43" s="188"/>
      <c r="PX43" s="292"/>
      <c r="PY43" s="188"/>
      <c r="PZ43" s="292"/>
      <c r="QA43" s="188"/>
      <c r="QB43" s="292"/>
      <c r="QC43" s="188"/>
      <c r="QF43" s="292"/>
      <c r="QG43" s="188"/>
      <c r="QH43" s="292"/>
      <c r="QI43" s="188"/>
      <c r="QJ43" s="292"/>
      <c r="QK43" s="188"/>
      <c r="QL43" s="292"/>
      <c r="QM43" s="188"/>
      <c r="QN43" s="292"/>
      <c r="QO43" s="188"/>
      <c r="QP43" s="292"/>
      <c r="QQ43" s="188"/>
    </row>
    <row r="44" spans="1:459" x14ac:dyDescent="0.45">
      <c r="A44" s="871"/>
      <c r="B44" s="202" t="s">
        <v>350</v>
      </c>
      <c r="C44" s="203"/>
      <c r="D44" s="204"/>
      <c r="E44" s="219"/>
      <c r="F44" s="293">
        <f>G44*F10</f>
        <v>6.3360000000000012</v>
      </c>
      <c r="G44" s="221">
        <f>G55</f>
        <v>4.8000000000000007</v>
      </c>
      <c r="H44" s="293">
        <f>I44*H10</f>
        <v>6.3360000000000012</v>
      </c>
      <c r="I44" s="221">
        <f>I55</f>
        <v>4.8000000000000007</v>
      </c>
      <c r="J44" s="294"/>
      <c r="K44" s="221"/>
      <c r="L44" s="294"/>
      <c r="M44" s="221"/>
      <c r="N44" s="294"/>
      <c r="O44" s="221"/>
      <c r="P44" s="294"/>
      <c r="Q44" s="221"/>
      <c r="R44" s="294"/>
      <c r="S44" s="221"/>
      <c r="T44" s="294"/>
      <c r="U44" s="221"/>
      <c r="V44" s="294"/>
      <c r="W44" s="221"/>
      <c r="X44" s="294"/>
      <c r="Y44" s="221"/>
      <c r="Z44" s="294"/>
      <c r="AA44" s="221"/>
      <c r="AB44" s="294"/>
      <c r="AC44" s="221"/>
      <c r="AD44" s="294"/>
      <c r="AE44" s="221"/>
      <c r="AF44" s="294"/>
      <c r="AG44" s="221"/>
      <c r="AH44" s="294"/>
      <c r="AI44" s="221"/>
      <c r="AJ44" s="294"/>
      <c r="AK44" s="221"/>
      <c r="AL44" s="294"/>
      <c r="AM44" s="221"/>
      <c r="AN44" s="294"/>
      <c r="AO44" s="221"/>
      <c r="AP44" s="294"/>
      <c r="AQ44" s="221"/>
      <c r="AR44" s="294"/>
      <c r="AS44" s="221"/>
      <c r="AT44" s="294"/>
      <c r="AU44" s="221"/>
      <c r="AV44" s="294"/>
      <c r="AW44" s="221"/>
      <c r="AX44" s="294"/>
      <c r="AY44" s="221"/>
      <c r="AZ44" s="294"/>
      <c r="BA44" s="221"/>
      <c r="BB44" s="294"/>
      <c r="BC44" s="221"/>
      <c r="BD44" s="294"/>
      <c r="BE44" s="221"/>
      <c r="BF44" s="294"/>
      <c r="BG44" s="221"/>
      <c r="BH44" s="294"/>
      <c r="BI44" s="221"/>
      <c r="BJ44" s="294"/>
      <c r="BK44" s="221"/>
      <c r="BL44" s="294"/>
      <c r="BM44" s="221"/>
      <c r="BN44" s="294"/>
      <c r="BO44" s="221"/>
      <c r="BP44" s="294"/>
      <c r="BQ44" s="221"/>
      <c r="BR44" s="294"/>
      <c r="BS44" s="221"/>
      <c r="BT44" s="294"/>
      <c r="BU44" s="221"/>
      <c r="BV44" s="294"/>
      <c r="BW44" s="221"/>
      <c r="BX44" s="294"/>
      <c r="BY44" s="221"/>
      <c r="BZ44" s="294"/>
      <c r="CA44" s="221"/>
      <c r="CB44" s="294"/>
      <c r="CC44" s="221"/>
      <c r="CD44" s="294"/>
      <c r="CE44" s="221"/>
      <c r="CF44" s="294"/>
      <c r="CG44" s="221"/>
      <c r="CH44" s="294"/>
      <c r="CI44" s="221"/>
      <c r="CJ44" s="294"/>
      <c r="CK44" s="221"/>
      <c r="CL44" s="294"/>
      <c r="CM44" s="221"/>
      <c r="CN44" s="294"/>
      <c r="CO44" s="221"/>
      <c r="CP44" s="294"/>
      <c r="CQ44" s="221"/>
      <c r="CR44" s="294"/>
      <c r="CS44" s="221"/>
      <c r="CT44" s="209"/>
      <c r="CU44" s="294"/>
      <c r="CV44" s="221"/>
      <c r="CW44" s="294"/>
      <c r="CX44" s="221"/>
      <c r="CY44" s="294"/>
      <c r="CZ44" s="221"/>
      <c r="DA44" s="294"/>
      <c r="DB44" s="221"/>
      <c r="DC44" s="294"/>
      <c r="DD44" s="221"/>
      <c r="DE44" s="294"/>
      <c r="DF44" s="221"/>
      <c r="DG44" s="294"/>
      <c r="DH44" s="221"/>
      <c r="DI44" s="294"/>
      <c r="DJ44" s="221"/>
      <c r="DK44" s="294"/>
      <c r="DL44" s="221"/>
      <c r="DM44" s="294"/>
      <c r="DN44" s="221"/>
      <c r="DO44" s="294"/>
      <c r="DP44" s="221"/>
      <c r="DQ44" s="294"/>
      <c r="DR44" s="221"/>
      <c r="DS44" s="294"/>
      <c r="DT44" s="221"/>
      <c r="DU44" s="294"/>
      <c r="DV44" s="221"/>
      <c r="DW44" s="294"/>
      <c r="DX44" s="221"/>
      <c r="DY44" s="294"/>
      <c r="DZ44" s="221"/>
      <c r="EA44" s="294"/>
      <c r="EB44" s="221"/>
      <c r="EC44" s="294"/>
      <c r="ED44" s="221"/>
      <c r="EE44" s="294"/>
      <c r="EF44" s="221"/>
      <c r="EG44" s="294"/>
      <c r="EH44" s="221"/>
      <c r="EI44" s="294"/>
      <c r="EJ44" s="221"/>
      <c r="EK44" s="294"/>
      <c r="EL44" s="221"/>
      <c r="EM44" s="294"/>
      <c r="EN44" s="221"/>
      <c r="EO44" s="294"/>
      <c r="EP44" s="221"/>
      <c r="EQ44" s="294"/>
      <c r="ER44" s="221"/>
      <c r="ES44" s="294"/>
      <c r="ET44" s="221"/>
      <c r="EU44" s="294"/>
      <c r="EV44" s="221"/>
      <c r="EW44" s="294"/>
      <c r="EX44" s="221"/>
      <c r="EY44" s="294"/>
      <c r="EZ44" s="221"/>
      <c r="FA44" s="294"/>
      <c r="FB44" s="221"/>
      <c r="FC44" s="294"/>
      <c r="FD44" s="221"/>
      <c r="FE44" s="294"/>
      <c r="FF44" s="221"/>
      <c r="FG44" s="294"/>
      <c r="FH44" s="221"/>
      <c r="FI44" s="294"/>
      <c r="FJ44" s="221"/>
      <c r="FK44" s="294"/>
      <c r="FL44" s="221"/>
      <c r="FM44" s="294"/>
      <c r="FN44" s="221"/>
      <c r="FO44" s="294"/>
      <c r="FP44" s="221"/>
      <c r="FQ44" s="219"/>
      <c r="FR44" s="294">
        <f>FS44*FR15</f>
        <v>0</v>
      </c>
      <c r="FS44" s="221">
        <f>FS52</f>
        <v>7.8125E-2</v>
      </c>
      <c r="FT44" s="294">
        <f>FU44*FT15</f>
        <v>0</v>
      </c>
      <c r="FU44" s="221">
        <f>FU52</f>
        <v>7.8125E-2</v>
      </c>
      <c r="FV44" s="294">
        <f>FW44*FV15</f>
        <v>0</v>
      </c>
      <c r="FW44" s="221">
        <f>FW52</f>
        <v>7.8125E-2</v>
      </c>
      <c r="FX44" s="294">
        <f>FY44*FX15</f>
        <v>0</v>
      </c>
      <c r="FY44" s="221">
        <f>FY52</f>
        <v>7.8125E-2</v>
      </c>
      <c r="FZ44" s="294">
        <f>GA44*FZ15</f>
        <v>0</v>
      </c>
      <c r="GA44" s="221">
        <f>GA52</f>
        <v>7.8125E-2</v>
      </c>
      <c r="GB44" s="294">
        <f>GC44*GB15</f>
        <v>0</v>
      </c>
      <c r="GC44" s="221">
        <f>GC52</f>
        <v>7.8125E-2</v>
      </c>
      <c r="GD44" s="294">
        <f>GE44*GD15</f>
        <v>0</v>
      </c>
      <c r="GE44" s="221">
        <f>GE52</f>
        <v>7.8125E-2</v>
      </c>
      <c r="GF44" s="294">
        <f>GG44*GF15</f>
        <v>0</v>
      </c>
      <c r="GG44" s="221">
        <f>GG52</f>
        <v>7.8125E-2</v>
      </c>
      <c r="GH44" s="294">
        <f>GI44*GH15</f>
        <v>0</v>
      </c>
      <c r="GI44" s="221">
        <f>GI52</f>
        <v>7.8125E-2</v>
      </c>
      <c r="GJ44" s="294"/>
      <c r="GK44" s="221"/>
      <c r="GL44" s="294"/>
      <c r="GM44" s="221"/>
      <c r="GN44" s="294"/>
      <c r="GO44" s="221"/>
      <c r="GP44" s="294"/>
      <c r="GQ44" s="221"/>
      <c r="GR44" s="294"/>
      <c r="GS44" s="221"/>
      <c r="GT44" s="294"/>
      <c r="GU44" s="221"/>
      <c r="GV44" s="294"/>
      <c r="GW44" s="221"/>
      <c r="GX44" s="294"/>
      <c r="GY44" s="221"/>
      <c r="GZ44" s="294"/>
      <c r="HA44" s="221"/>
      <c r="HB44" s="294"/>
      <c r="HC44" s="221"/>
      <c r="HD44" s="294"/>
      <c r="HE44" s="221"/>
      <c r="HF44" s="294"/>
      <c r="HG44" s="221"/>
      <c r="HH44" s="294"/>
      <c r="HI44" s="221"/>
      <c r="HJ44" s="294"/>
      <c r="HK44" s="221"/>
      <c r="HL44" s="294"/>
      <c r="HM44" s="221"/>
      <c r="HN44" s="294"/>
      <c r="HO44" s="221"/>
      <c r="HP44" s="294"/>
      <c r="HQ44" s="221"/>
      <c r="HR44" s="294"/>
      <c r="HS44" s="221"/>
      <c r="HT44" s="294"/>
      <c r="HU44" s="221"/>
      <c r="HV44" s="294"/>
      <c r="HW44" s="221"/>
      <c r="HX44" s="294"/>
      <c r="HY44" s="221"/>
      <c r="HZ44" s="294"/>
      <c r="IA44" s="221"/>
      <c r="IB44" s="294"/>
      <c r="IC44" s="221"/>
      <c r="ID44" s="294"/>
      <c r="IE44" s="221"/>
      <c r="IF44" s="294"/>
      <c r="IG44" s="221"/>
      <c r="IH44" s="294"/>
      <c r="II44" s="221"/>
      <c r="IJ44" s="294"/>
      <c r="IK44" s="221"/>
      <c r="IL44" s="294"/>
      <c r="IM44" s="221"/>
      <c r="IN44" s="294"/>
      <c r="IO44" s="221"/>
      <c r="IP44" s="294"/>
      <c r="IQ44" s="221"/>
      <c r="IR44" s="294"/>
      <c r="IS44" s="221"/>
      <c r="IT44" s="294"/>
      <c r="IU44" s="221"/>
      <c r="IV44" s="294"/>
      <c r="IW44" s="221"/>
      <c r="IX44" s="294"/>
      <c r="IY44" s="221"/>
      <c r="IZ44" s="219"/>
      <c r="JA44" s="294"/>
      <c r="JB44" s="221"/>
      <c r="JC44" s="294"/>
      <c r="JD44" s="221"/>
      <c r="JE44" s="219"/>
      <c r="JF44" s="294">
        <f>JG44*JF15</f>
        <v>0</v>
      </c>
      <c r="JG44" s="221">
        <f>JG52</f>
        <v>7.1428571428571425E-2</v>
      </c>
      <c r="JH44" s="294">
        <f>JI44*JH15</f>
        <v>0</v>
      </c>
      <c r="JI44" s="221">
        <f>JI52</f>
        <v>7.1428571428571425E-2</v>
      </c>
      <c r="JJ44" s="294">
        <f>JK44*JJ15</f>
        <v>0</v>
      </c>
      <c r="JK44" s="221">
        <f>JK52</f>
        <v>7.1428571428571425E-2</v>
      </c>
      <c r="JL44" s="294">
        <f>JM44*JL15</f>
        <v>0</v>
      </c>
      <c r="JM44" s="221">
        <f>JM52</f>
        <v>7.1428571428571425E-2</v>
      </c>
      <c r="JN44" s="294">
        <f>JO44*JN15</f>
        <v>0</v>
      </c>
      <c r="JO44" s="221">
        <f>JO52</f>
        <v>7.1428571428571425E-2</v>
      </c>
      <c r="JP44" s="294">
        <f>JQ44*JP15</f>
        <v>0</v>
      </c>
      <c r="JQ44" s="221">
        <f>JQ52</f>
        <v>7.1428571428571425E-2</v>
      </c>
      <c r="JR44" s="294">
        <f>JS44*JR15</f>
        <v>0</v>
      </c>
      <c r="JS44" s="221">
        <f>JS52</f>
        <v>7.1428571428571425E-2</v>
      </c>
      <c r="JT44" s="294"/>
      <c r="JU44" s="221"/>
      <c r="JV44" s="294"/>
      <c r="JW44" s="221"/>
      <c r="JX44" s="294"/>
      <c r="JY44" s="221"/>
      <c r="JZ44" s="294"/>
      <c r="KA44" s="221"/>
      <c r="KB44" s="294"/>
      <c r="KC44" s="221"/>
      <c r="KD44" s="294"/>
      <c r="KE44" s="221"/>
      <c r="KF44" s="294"/>
      <c r="KG44" s="221"/>
      <c r="KH44" s="294"/>
      <c r="KI44" s="221"/>
      <c r="KJ44" s="294"/>
      <c r="KK44" s="221"/>
      <c r="KL44" s="294"/>
      <c r="KM44" s="221"/>
      <c r="KN44" s="294"/>
      <c r="KO44" s="221"/>
      <c r="KP44" s="294"/>
      <c r="KQ44" s="221"/>
      <c r="KR44" s="294"/>
      <c r="KS44" s="221"/>
      <c r="KT44" s="294"/>
      <c r="KU44" s="221"/>
      <c r="KV44" s="294"/>
      <c r="KW44" s="221"/>
      <c r="KX44" s="294"/>
      <c r="KY44" s="221"/>
      <c r="KZ44" s="294"/>
      <c r="LA44" s="221"/>
      <c r="LB44" s="294"/>
      <c r="LC44" s="221"/>
      <c r="LD44" s="294"/>
      <c r="LE44" s="221"/>
      <c r="LF44" s="294"/>
      <c r="LG44" s="221"/>
      <c r="LH44" s="294"/>
      <c r="LI44" s="221"/>
      <c r="LJ44" s="294"/>
      <c r="LK44" s="221"/>
      <c r="LL44" s="294"/>
      <c r="LM44" s="221"/>
      <c r="LN44" s="294"/>
      <c r="LO44" s="221"/>
      <c r="LP44" s="294"/>
      <c r="LQ44" s="221"/>
      <c r="LR44" s="294"/>
      <c r="LS44" s="221"/>
      <c r="LT44" s="294"/>
      <c r="LU44" s="221"/>
      <c r="LV44" s="294"/>
      <c r="LW44" s="221"/>
      <c r="LX44" s="294"/>
      <c r="LY44" s="221"/>
      <c r="LZ44" s="294"/>
      <c r="MA44" s="221"/>
      <c r="MB44" s="294"/>
      <c r="MC44" s="221"/>
      <c r="MD44" s="294"/>
      <c r="ME44" s="221"/>
      <c r="MF44" s="294"/>
      <c r="MG44" s="221"/>
      <c r="MH44" s="219"/>
      <c r="MI44" s="294"/>
      <c r="MJ44" s="221"/>
      <c r="MK44" s="294"/>
      <c r="ML44" s="221"/>
      <c r="MM44" s="294"/>
      <c r="MN44" s="221"/>
      <c r="MO44" s="294"/>
      <c r="MP44" s="221"/>
      <c r="MQ44" s="294"/>
      <c r="MR44" s="221"/>
      <c r="MS44" s="294"/>
      <c r="MT44" s="221"/>
      <c r="MU44" s="294"/>
      <c r="MV44" s="221"/>
      <c r="MW44" s="294"/>
      <c r="MX44" s="221"/>
      <c r="MY44" s="294"/>
      <c r="MZ44" s="221"/>
      <c r="NA44" s="294"/>
      <c r="NB44" s="221"/>
      <c r="NC44" s="294"/>
      <c r="ND44" s="221"/>
      <c r="NE44" s="294"/>
      <c r="NF44" s="221"/>
      <c r="NG44" s="294"/>
      <c r="NH44" s="221"/>
      <c r="NI44" s="294"/>
      <c r="NJ44" s="221"/>
      <c r="NK44" s="294"/>
      <c r="NL44" s="221"/>
      <c r="NM44" s="294"/>
      <c r="NN44" s="221"/>
      <c r="NO44" s="294"/>
      <c r="NP44" s="221"/>
      <c r="NQ44" s="294"/>
      <c r="NR44" s="221"/>
      <c r="NS44" s="294"/>
      <c r="NT44" s="221"/>
      <c r="NU44" s="294"/>
      <c r="NV44" s="221"/>
      <c r="NW44" s="294"/>
      <c r="NX44" s="221"/>
      <c r="NY44" s="294"/>
      <c r="NZ44" s="221"/>
      <c r="OA44" s="294"/>
      <c r="OB44" s="221"/>
      <c r="OC44" s="294"/>
      <c r="OD44" s="221"/>
      <c r="OE44" s="294"/>
      <c r="OF44" s="221"/>
      <c r="OG44" s="294"/>
      <c r="OH44" s="221"/>
      <c r="OI44" s="294"/>
      <c r="OJ44" s="221"/>
      <c r="OK44" s="294"/>
      <c r="OL44" s="221"/>
      <c r="OM44" s="294"/>
      <c r="ON44" s="221"/>
      <c r="OO44" s="294"/>
      <c r="OP44" s="221"/>
      <c r="OQ44" s="294"/>
      <c r="OR44" s="221"/>
      <c r="OS44" s="294"/>
      <c r="OT44" s="221"/>
      <c r="OU44" s="294"/>
      <c r="OV44" s="221"/>
      <c r="OW44" s="294"/>
      <c r="OX44" s="221"/>
      <c r="OY44" s="294"/>
      <c r="OZ44" s="221"/>
      <c r="PA44" s="294"/>
      <c r="PB44" s="221"/>
      <c r="PC44" s="294"/>
      <c r="PD44" s="221"/>
      <c r="PE44" s="294"/>
      <c r="PF44" s="221"/>
      <c r="PG44" s="294"/>
      <c r="PH44" s="221"/>
      <c r="PI44" s="294"/>
      <c r="PJ44" s="221"/>
      <c r="PK44" s="294"/>
      <c r="PL44" s="221"/>
      <c r="PM44" s="294"/>
      <c r="PN44" s="221"/>
      <c r="PO44" s="294"/>
      <c r="PP44" s="221"/>
      <c r="PR44" s="294"/>
      <c r="PS44" s="221"/>
      <c r="PT44" s="294"/>
      <c r="PU44" s="221"/>
      <c r="PV44" s="294"/>
      <c r="PW44" s="221"/>
      <c r="PX44" s="294"/>
      <c r="PY44" s="221"/>
      <c r="PZ44" s="294"/>
      <c r="QA44" s="221"/>
      <c r="QB44" s="294"/>
      <c r="QC44" s="221"/>
      <c r="QF44" s="294"/>
      <c r="QG44" s="221"/>
      <c r="QH44" s="294"/>
      <c r="QI44" s="221"/>
      <c r="QJ44" s="294"/>
      <c r="QK44" s="221"/>
      <c r="QL44" s="294"/>
      <c r="QM44" s="221"/>
      <c r="QN44" s="294"/>
      <c r="QO44" s="221"/>
      <c r="QP44" s="294"/>
      <c r="QQ44" s="221"/>
    </row>
    <row r="45" spans="1:459" x14ac:dyDescent="0.45">
      <c r="A45" s="872"/>
      <c r="B45" s="222"/>
      <c r="C45" s="223"/>
      <c r="D45" s="224"/>
      <c r="E45" s="177"/>
      <c r="F45" s="225"/>
      <c r="G45" s="226"/>
      <c r="H45" s="225"/>
      <c r="I45" s="226"/>
      <c r="J45" s="225"/>
      <c r="K45" s="226"/>
      <c r="L45" s="225"/>
      <c r="M45" s="226"/>
      <c r="N45" s="225"/>
      <c r="O45" s="226"/>
      <c r="P45" s="225"/>
      <c r="Q45" s="226"/>
      <c r="R45" s="225"/>
      <c r="S45" s="226"/>
      <c r="T45" s="225"/>
      <c r="U45" s="226"/>
      <c r="V45" s="225"/>
      <c r="W45" s="226"/>
      <c r="X45" s="225"/>
      <c r="Y45" s="226"/>
      <c r="Z45" s="225"/>
      <c r="AA45" s="226"/>
      <c r="AB45" s="225"/>
      <c r="AC45" s="226"/>
      <c r="AD45" s="225"/>
      <c r="AE45" s="226"/>
      <c r="AF45" s="225"/>
      <c r="AG45" s="226"/>
      <c r="AH45" s="225"/>
      <c r="AI45" s="226"/>
      <c r="AJ45" s="225"/>
      <c r="AK45" s="226"/>
      <c r="AL45" s="225"/>
      <c r="AM45" s="226"/>
      <c r="AN45" s="225"/>
      <c r="AO45" s="226"/>
      <c r="AP45" s="225"/>
      <c r="AQ45" s="226"/>
      <c r="AR45" s="225"/>
      <c r="AS45" s="226"/>
      <c r="AT45" s="225"/>
      <c r="AU45" s="226"/>
      <c r="AV45" s="225"/>
      <c r="AW45" s="226"/>
      <c r="AX45" s="225"/>
      <c r="AY45" s="226"/>
      <c r="AZ45" s="225"/>
      <c r="BA45" s="226"/>
      <c r="BB45" s="225"/>
      <c r="BC45" s="226"/>
      <c r="BD45" s="225"/>
      <c r="BE45" s="226"/>
      <c r="BF45" s="225"/>
      <c r="BG45" s="226"/>
      <c r="BH45" s="225"/>
      <c r="BI45" s="226"/>
      <c r="BJ45" s="225"/>
      <c r="BK45" s="226"/>
      <c r="BL45" s="225"/>
      <c r="BM45" s="226"/>
      <c r="BN45" s="225"/>
      <c r="BO45" s="226"/>
      <c r="BP45" s="225"/>
      <c r="BQ45" s="226"/>
      <c r="BR45" s="225"/>
      <c r="BS45" s="226"/>
      <c r="BT45" s="225"/>
      <c r="BU45" s="226"/>
      <c r="BV45" s="225"/>
      <c r="BW45" s="226"/>
      <c r="BX45" s="225"/>
      <c r="BY45" s="226"/>
      <c r="BZ45" s="225"/>
      <c r="CA45" s="226"/>
      <c r="CB45" s="225"/>
      <c r="CC45" s="226"/>
      <c r="CD45" s="225"/>
      <c r="CE45" s="226"/>
      <c r="CF45" s="225"/>
      <c r="CG45" s="226"/>
      <c r="CH45" s="225"/>
      <c r="CI45" s="226"/>
      <c r="CJ45" s="225"/>
      <c r="CK45" s="226"/>
      <c r="CL45" s="225"/>
      <c r="CM45" s="226"/>
      <c r="CN45" s="225"/>
      <c r="CO45" s="226"/>
      <c r="CP45" s="225"/>
      <c r="CQ45" s="226"/>
      <c r="CR45" s="225"/>
      <c r="CS45" s="226"/>
      <c r="CT45" s="136"/>
      <c r="CU45" s="225"/>
      <c r="CV45" s="226"/>
      <c r="CW45" s="225"/>
      <c r="CX45" s="226"/>
      <c r="CY45" s="225"/>
      <c r="CZ45" s="226"/>
      <c r="DA45" s="225"/>
      <c r="DB45" s="226"/>
      <c r="DC45" s="225"/>
      <c r="DD45" s="226"/>
      <c r="DE45" s="225"/>
      <c r="DF45" s="226"/>
      <c r="DG45" s="225"/>
      <c r="DH45" s="226"/>
      <c r="DI45" s="225"/>
      <c r="DJ45" s="226"/>
      <c r="DK45" s="225"/>
      <c r="DL45" s="226"/>
      <c r="DM45" s="225"/>
      <c r="DN45" s="226"/>
      <c r="DO45" s="225"/>
      <c r="DP45" s="226"/>
      <c r="DQ45" s="225"/>
      <c r="DR45" s="226"/>
      <c r="DS45" s="225"/>
      <c r="DT45" s="226"/>
      <c r="DU45" s="225"/>
      <c r="DV45" s="226"/>
      <c r="DW45" s="225"/>
      <c r="DX45" s="226"/>
      <c r="DY45" s="225"/>
      <c r="DZ45" s="226"/>
      <c r="EA45" s="225"/>
      <c r="EB45" s="226"/>
      <c r="EC45" s="225"/>
      <c r="ED45" s="226"/>
      <c r="EE45" s="225"/>
      <c r="EF45" s="226"/>
      <c r="EG45" s="225"/>
      <c r="EH45" s="226"/>
      <c r="EI45" s="225"/>
      <c r="EJ45" s="226"/>
      <c r="EK45" s="225"/>
      <c r="EL45" s="226"/>
      <c r="EM45" s="225"/>
      <c r="EN45" s="226"/>
      <c r="EO45" s="225"/>
      <c r="EP45" s="226"/>
      <c r="EQ45" s="225"/>
      <c r="ER45" s="226"/>
      <c r="ES45" s="225"/>
      <c r="ET45" s="226"/>
      <c r="EU45" s="225"/>
      <c r="EV45" s="226"/>
      <c r="EW45" s="225"/>
      <c r="EX45" s="226"/>
      <c r="EY45" s="225"/>
      <c r="EZ45" s="226"/>
      <c r="FA45" s="225"/>
      <c r="FB45" s="226"/>
      <c r="FC45" s="225"/>
      <c r="FD45" s="226"/>
      <c r="FE45" s="225"/>
      <c r="FF45" s="226"/>
      <c r="FG45" s="225"/>
      <c r="FH45" s="226"/>
      <c r="FI45" s="225"/>
      <c r="FJ45" s="226"/>
      <c r="FK45" s="225"/>
      <c r="FL45" s="226"/>
      <c r="FM45" s="225"/>
      <c r="FN45" s="226"/>
      <c r="FO45" s="225"/>
      <c r="FP45" s="226"/>
      <c r="FQ45" s="177"/>
      <c r="FR45" s="295"/>
      <c r="FS45" s="226"/>
      <c r="FT45" s="295"/>
      <c r="FU45" s="226"/>
      <c r="FV45" s="295"/>
      <c r="FW45" s="226"/>
      <c r="FX45" s="295"/>
      <c r="FY45" s="226"/>
      <c r="FZ45" s="295"/>
      <c r="GA45" s="226"/>
      <c r="GB45" s="295"/>
      <c r="GC45" s="226"/>
      <c r="GD45" s="295"/>
      <c r="GE45" s="226"/>
      <c r="GF45" s="295"/>
      <c r="GG45" s="226"/>
      <c r="GH45" s="295"/>
      <c r="GI45" s="226"/>
      <c r="GJ45" s="295"/>
      <c r="GK45" s="226"/>
      <c r="GL45" s="295"/>
      <c r="GM45" s="226"/>
      <c r="GN45" s="295"/>
      <c r="GO45" s="226"/>
      <c r="GP45" s="295"/>
      <c r="GQ45" s="226"/>
      <c r="GR45" s="295"/>
      <c r="GS45" s="226"/>
      <c r="GT45" s="295"/>
      <c r="GU45" s="226"/>
      <c r="GV45" s="295"/>
      <c r="GW45" s="226"/>
      <c r="GX45" s="295"/>
      <c r="GY45" s="226"/>
      <c r="GZ45" s="295"/>
      <c r="HA45" s="226"/>
      <c r="HB45" s="295"/>
      <c r="HC45" s="226"/>
      <c r="HD45" s="295"/>
      <c r="HE45" s="226"/>
      <c r="HF45" s="295"/>
      <c r="HG45" s="226"/>
      <c r="HH45" s="295"/>
      <c r="HI45" s="226"/>
      <c r="HJ45" s="295"/>
      <c r="HK45" s="226"/>
      <c r="HL45" s="295"/>
      <c r="HM45" s="226"/>
      <c r="HN45" s="295"/>
      <c r="HO45" s="226"/>
      <c r="HP45" s="295"/>
      <c r="HQ45" s="226"/>
      <c r="HR45" s="295"/>
      <c r="HS45" s="226"/>
      <c r="HT45" s="295"/>
      <c r="HU45" s="226"/>
      <c r="HV45" s="295"/>
      <c r="HW45" s="226"/>
      <c r="HX45" s="295"/>
      <c r="HY45" s="226"/>
      <c r="HZ45" s="295"/>
      <c r="IA45" s="226"/>
      <c r="IB45" s="295"/>
      <c r="IC45" s="226"/>
      <c r="ID45" s="295"/>
      <c r="IE45" s="226"/>
      <c r="IF45" s="295"/>
      <c r="IG45" s="226"/>
      <c r="IH45" s="295"/>
      <c r="II45" s="226"/>
      <c r="IJ45" s="295"/>
      <c r="IK45" s="226"/>
      <c r="IL45" s="295"/>
      <c r="IM45" s="226"/>
      <c r="IN45" s="295"/>
      <c r="IO45" s="226"/>
      <c r="IP45" s="295"/>
      <c r="IQ45" s="226"/>
      <c r="IR45" s="295"/>
      <c r="IS45" s="226"/>
      <c r="IT45" s="295"/>
      <c r="IU45" s="226"/>
      <c r="IV45" s="295"/>
      <c r="IW45" s="226"/>
      <c r="IX45" s="295"/>
      <c r="IY45" s="226"/>
      <c r="IZ45" s="177"/>
      <c r="JA45" s="295"/>
      <c r="JB45" s="226"/>
      <c r="JC45" s="295"/>
      <c r="JD45" s="226"/>
      <c r="JE45" s="177"/>
      <c r="JF45" s="225"/>
      <c r="JG45" s="226"/>
      <c r="JH45" s="225"/>
      <c r="JI45" s="226"/>
      <c r="JJ45" s="225"/>
      <c r="JK45" s="226"/>
      <c r="JL45" s="225"/>
      <c r="JM45" s="226"/>
      <c r="JN45" s="225"/>
      <c r="JO45" s="226"/>
      <c r="JP45" s="225"/>
      <c r="JQ45" s="226"/>
      <c r="JR45" s="225"/>
      <c r="JS45" s="226"/>
      <c r="JT45" s="225"/>
      <c r="JU45" s="226"/>
      <c r="JV45" s="225"/>
      <c r="JW45" s="226"/>
      <c r="JX45" s="225"/>
      <c r="JY45" s="226"/>
      <c r="JZ45" s="225"/>
      <c r="KA45" s="226"/>
      <c r="KB45" s="225"/>
      <c r="KC45" s="226"/>
      <c r="KD45" s="225"/>
      <c r="KE45" s="226"/>
      <c r="KF45" s="225"/>
      <c r="KG45" s="226"/>
      <c r="KH45" s="225"/>
      <c r="KI45" s="226"/>
      <c r="KJ45" s="225"/>
      <c r="KK45" s="226"/>
      <c r="KL45" s="225"/>
      <c r="KM45" s="226"/>
      <c r="KN45" s="225"/>
      <c r="KO45" s="226"/>
      <c r="KP45" s="225"/>
      <c r="KQ45" s="226"/>
      <c r="KR45" s="225"/>
      <c r="KS45" s="226"/>
      <c r="KT45" s="225"/>
      <c r="KU45" s="226"/>
      <c r="KV45" s="225"/>
      <c r="KW45" s="226"/>
      <c r="KX45" s="225"/>
      <c r="KY45" s="226"/>
      <c r="KZ45" s="225"/>
      <c r="LA45" s="226"/>
      <c r="LB45" s="225"/>
      <c r="LC45" s="226"/>
      <c r="LD45" s="225"/>
      <c r="LE45" s="226"/>
      <c r="LF45" s="225"/>
      <c r="LG45" s="226"/>
      <c r="LH45" s="225"/>
      <c r="LI45" s="226"/>
      <c r="LJ45" s="225"/>
      <c r="LK45" s="226"/>
      <c r="LL45" s="225"/>
      <c r="LM45" s="226"/>
      <c r="LN45" s="225"/>
      <c r="LO45" s="226"/>
      <c r="LP45" s="225"/>
      <c r="LQ45" s="226"/>
      <c r="LR45" s="225"/>
      <c r="LS45" s="226"/>
      <c r="LT45" s="225"/>
      <c r="LU45" s="226"/>
      <c r="LV45" s="225"/>
      <c r="LW45" s="226"/>
      <c r="LX45" s="225"/>
      <c r="LY45" s="226"/>
      <c r="LZ45" s="225"/>
      <c r="MA45" s="226"/>
      <c r="MB45" s="225"/>
      <c r="MC45" s="226"/>
      <c r="MD45" s="225"/>
      <c r="ME45" s="226"/>
      <c r="MF45" s="225"/>
      <c r="MG45" s="226"/>
      <c r="MH45" s="177"/>
      <c r="MI45" s="295"/>
      <c r="MJ45" s="226"/>
      <c r="MK45" s="295"/>
      <c r="ML45" s="226"/>
      <c r="MM45" s="295"/>
      <c r="MN45" s="296"/>
      <c r="MO45" s="295"/>
      <c r="MP45" s="296"/>
      <c r="MQ45" s="295"/>
      <c r="MR45" s="296"/>
      <c r="MS45" s="295"/>
      <c r="MT45" s="296"/>
      <c r="MU45" s="295"/>
      <c r="MV45" s="296"/>
      <c r="MW45" s="295"/>
      <c r="MX45" s="296"/>
      <c r="MY45" s="295"/>
      <c r="MZ45" s="296"/>
      <c r="NA45" s="295"/>
      <c r="NB45" s="296"/>
      <c r="NC45" s="295"/>
      <c r="ND45" s="296"/>
      <c r="NE45" s="295"/>
      <c r="NF45" s="296"/>
      <c r="NG45" s="295"/>
      <c r="NH45" s="296"/>
      <c r="NI45" s="295"/>
      <c r="NJ45" s="296"/>
      <c r="NK45" s="295"/>
      <c r="NL45" s="296"/>
      <c r="NM45" s="295"/>
      <c r="NN45" s="296"/>
      <c r="NO45" s="295"/>
      <c r="NP45" s="296"/>
      <c r="NQ45" s="295"/>
      <c r="NR45" s="296"/>
      <c r="NS45" s="295"/>
      <c r="NT45" s="296"/>
      <c r="NU45" s="295"/>
      <c r="NV45" s="296"/>
      <c r="NW45" s="295"/>
      <c r="NX45" s="296"/>
      <c r="NY45" s="295"/>
      <c r="NZ45" s="296"/>
      <c r="OA45" s="295"/>
      <c r="OB45" s="296"/>
      <c r="OC45" s="295"/>
      <c r="OD45" s="296"/>
      <c r="OE45" s="295"/>
      <c r="OF45" s="296"/>
      <c r="OG45" s="295"/>
      <c r="OH45" s="296"/>
      <c r="OI45" s="295"/>
      <c r="OJ45" s="296"/>
      <c r="OK45" s="295"/>
      <c r="OL45" s="296"/>
      <c r="OM45" s="295"/>
      <c r="ON45" s="296"/>
      <c r="OO45" s="295"/>
      <c r="OP45" s="296"/>
      <c r="OQ45" s="295"/>
      <c r="OR45" s="296"/>
      <c r="OS45" s="295"/>
      <c r="OT45" s="296"/>
      <c r="OU45" s="295"/>
      <c r="OV45" s="296"/>
      <c r="OW45" s="295"/>
      <c r="OX45" s="296"/>
      <c r="OY45" s="295"/>
      <c r="OZ45" s="296"/>
      <c r="PA45" s="295"/>
      <c r="PB45" s="296"/>
      <c r="PC45" s="295"/>
      <c r="PD45" s="296"/>
      <c r="PE45" s="295"/>
      <c r="PF45" s="296"/>
      <c r="PG45" s="295"/>
      <c r="PH45" s="296"/>
      <c r="PI45" s="295"/>
      <c r="PJ45" s="296"/>
      <c r="PK45" s="295"/>
      <c r="PL45" s="296"/>
      <c r="PM45" s="295"/>
      <c r="PN45" s="296"/>
      <c r="PO45" s="295"/>
      <c r="PP45" s="296"/>
      <c r="PR45" s="295"/>
      <c r="PS45" s="296"/>
      <c r="PT45" s="295"/>
      <c r="PU45" s="296"/>
      <c r="PV45" s="295"/>
      <c r="PW45" s="296"/>
      <c r="PX45" s="295"/>
      <c r="PY45" s="296"/>
      <c r="PZ45" s="295"/>
      <c r="QA45" s="296"/>
      <c r="QB45" s="295"/>
      <c r="QC45" s="296"/>
      <c r="QF45" s="295"/>
      <c r="QG45" s="296"/>
      <c r="QH45" s="295"/>
      <c r="QI45" s="296"/>
      <c r="QJ45" s="295"/>
      <c r="QK45" s="296"/>
      <c r="QL45" s="295"/>
      <c r="QM45" s="296"/>
      <c r="QN45" s="295"/>
      <c r="QO45" s="296"/>
      <c r="QP45" s="295"/>
      <c r="QQ45" s="296"/>
    </row>
    <row r="46" spans="1:459" x14ac:dyDescent="0.45">
      <c r="A46" s="870" t="s">
        <v>351</v>
      </c>
      <c r="B46" s="194"/>
      <c r="C46" s="195"/>
      <c r="D46" s="196"/>
      <c r="E46" s="177"/>
      <c r="F46" s="281"/>
      <c r="G46" s="301"/>
      <c r="H46" s="281"/>
      <c r="I46" s="301"/>
      <c r="J46" s="281"/>
      <c r="K46" s="301"/>
      <c r="L46" s="281"/>
      <c r="M46" s="301"/>
      <c r="N46" s="281"/>
      <c r="O46" s="301"/>
      <c r="P46" s="281"/>
      <c r="Q46" s="301"/>
      <c r="R46" s="281"/>
      <c r="S46" s="301"/>
      <c r="T46" s="281"/>
      <c r="U46" s="301"/>
      <c r="V46" s="281"/>
      <c r="W46" s="301"/>
      <c r="X46" s="281"/>
      <c r="Y46" s="301"/>
      <c r="Z46" s="281"/>
      <c r="AA46" s="301"/>
      <c r="AB46" s="281"/>
      <c r="AC46" s="301"/>
      <c r="AD46" s="281"/>
      <c r="AE46" s="301"/>
      <c r="AF46" s="281"/>
      <c r="AG46" s="301"/>
      <c r="AH46" s="281"/>
      <c r="AI46" s="301"/>
      <c r="AJ46" s="281"/>
      <c r="AK46" s="301"/>
      <c r="AL46" s="281"/>
      <c r="AM46" s="301"/>
      <c r="AN46" s="281"/>
      <c r="AO46" s="301"/>
      <c r="AP46" s="281"/>
      <c r="AQ46" s="301"/>
      <c r="AR46" s="281"/>
      <c r="AS46" s="301"/>
      <c r="AT46" s="281"/>
      <c r="AU46" s="301"/>
      <c r="AV46" s="281"/>
      <c r="AW46" s="301"/>
      <c r="AX46" s="281"/>
      <c r="AY46" s="301"/>
      <c r="AZ46" s="281"/>
      <c r="BA46" s="301"/>
      <c r="BB46" s="281"/>
      <c r="BC46" s="301"/>
      <c r="BD46" s="281"/>
      <c r="BE46" s="301"/>
      <c r="BF46" s="281"/>
      <c r="BG46" s="301"/>
      <c r="BH46" s="281"/>
      <c r="BI46" s="301"/>
      <c r="BJ46" s="281"/>
      <c r="BK46" s="301"/>
      <c r="BL46" s="281"/>
      <c r="BM46" s="301"/>
      <c r="BN46" s="281"/>
      <c r="BO46" s="301"/>
      <c r="BP46" s="281"/>
      <c r="BQ46" s="301"/>
      <c r="BR46" s="281"/>
      <c r="BS46" s="301"/>
      <c r="BT46" s="281"/>
      <c r="BU46" s="301"/>
      <c r="BV46" s="281"/>
      <c r="BW46" s="301"/>
      <c r="BX46" s="281"/>
      <c r="BY46" s="301"/>
      <c r="BZ46" s="281"/>
      <c r="CA46" s="301"/>
      <c r="CB46" s="281"/>
      <c r="CC46" s="301"/>
      <c r="CD46" s="281"/>
      <c r="CE46" s="301"/>
      <c r="CF46" s="281"/>
      <c r="CG46" s="301"/>
      <c r="CH46" s="281"/>
      <c r="CI46" s="301"/>
      <c r="CJ46" s="281"/>
      <c r="CK46" s="301"/>
      <c r="CL46" s="281"/>
      <c r="CM46" s="301"/>
      <c r="CN46" s="281"/>
      <c r="CO46" s="301"/>
      <c r="CP46" s="281"/>
      <c r="CQ46" s="301"/>
      <c r="CR46" s="281"/>
      <c r="CS46" s="301"/>
      <c r="CT46" s="136"/>
      <c r="CU46" s="281"/>
      <c r="CV46" s="301"/>
      <c r="CW46" s="281"/>
      <c r="CX46" s="301"/>
      <c r="CY46" s="281"/>
      <c r="CZ46" s="301"/>
      <c r="DA46" s="281"/>
      <c r="DB46" s="301"/>
      <c r="DC46" s="281"/>
      <c r="DD46" s="301"/>
      <c r="DE46" s="281"/>
      <c r="DF46" s="301"/>
      <c r="DG46" s="281"/>
      <c r="DH46" s="301"/>
      <c r="DI46" s="281"/>
      <c r="DJ46" s="301"/>
      <c r="DK46" s="281"/>
      <c r="DL46" s="301"/>
      <c r="DM46" s="281"/>
      <c r="DN46" s="301"/>
      <c r="DO46" s="281"/>
      <c r="DP46" s="301"/>
      <c r="DQ46" s="281"/>
      <c r="DR46" s="301"/>
      <c r="DS46" s="281"/>
      <c r="DT46" s="301"/>
      <c r="DU46" s="281"/>
      <c r="DV46" s="301"/>
      <c r="DW46" s="281"/>
      <c r="DX46" s="301"/>
      <c r="DY46" s="281"/>
      <c r="DZ46" s="301"/>
      <c r="EA46" s="281"/>
      <c r="EB46" s="301"/>
      <c r="EC46" s="281"/>
      <c r="ED46" s="301"/>
      <c r="EE46" s="281"/>
      <c r="EF46" s="301"/>
      <c r="EG46" s="281"/>
      <c r="EH46" s="301"/>
      <c r="EI46" s="281"/>
      <c r="EJ46" s="301"/>
      <c r="EK46" s="281"/>
      <c r="EL46" s="301"/>
      <c r="EM46" s="281"/>
      <c r="EN46" s="301"/>
      <c r="EO46" s="281"/>
      <c r="EP46" s="301"/>
      <c r="EQ46" s="281"/>
      <c r="ER46" s="301"/>
      <c r="ES46" s="281"/>
      <c r="ET46" s="301"/>
      <c r="EU46" s="281"/>
      <c r="EV46" s="301"/>
      <c r="EW46" s="281"/>
      <c r="EX46" s="301"/>
      <c r="EY46" s="281"/>
      <c r="EZ46" s="301"/>
      <c r="FA46" s="281"/>
      <c r="FB46" s="301"/>
      <c r="FC46" s="281"/>
      <c r="FD46" s="301"/>
      <c r="FE46" s="281"/>
      <c r="FF46" s="301"/>
      <c r="FG46" s="281"/>
      <c r="FH46" s="301"/>
      <c r="FI46" s="281"/>
      <c r="FJ46" s="301"/>
      <c r="FK46" s="281"/>
      <c r="FL46" s="301"/>
      <c r="FM46" s="281"/>
      <c r="FN46" s="301"/>
      <c r="FO46" s="281"/>
      <c r="FP46" s="301"/>
      <c r="FQ46" s="177"/>
      <c r="FR46" s="281"/>
      <c r="FS46" s="301"/>
      <c r="FT46" s="281"/>
      <c r="FU46" s="301"/>
      <c r="FV46" s="281"/>
      <c r="FW46" s="301"/>
      <c r="FX46" s="281"/>
      <c r="FY46" s="301"/>
      <c r="FZ46" s="281"/>
      <c r="GA46" s="301"/>
      <c r="GB46" s="281"/>
      <c r="GC46" s="301"/>
      <c r="GD46" s="281"/>
      <c r="GE46" s="301"/>
      <c r="GF46" s="281"/>
      <c r="GG46" s="301"/>
      <c r="GH46" s="281"/>
      <c r="GI46" s="301"/>
      <c r="GJ46" s="281"/>
      <c r="GK46" s="301"/>
      <c r="GL46" s="281"/>
      <c r="GM46" s="301"/>
      <c r="GN46" s="281"/>
      <c r="GO46" s="301"/>
      <c r="GP46" s="281"/>
      <c r="GQ46" s="301"/>
      <c r="GR46" s="281"/>
      <c r="GS46" s="301"/>
      <c r="GT46" s="281"/>
      <c r="GU46" s="301"/>
      <c r="GV46" s="281"/>
      <c r="GW46" s="301"/>
      <c r="GX46" s="281"/>
      <c r="GY46" s="301"/>
      <c r="GZ46" s="281"/>
      <c r="HA46" s="301"/>
      <c r="HB46" s="281"/>
      <c r="HC46" s="301"/>
      <c r="HD46" s="281"/>
      <c r="HE46" s="301"/>
      <c r="HF46" s="281"/>
      <c r="HG46" s="301"/>
      <c r="HH46" s="281"/>
      <c r="HI46" s="301"/>
      <c r="HJ46" s="281"/>
      <c r="HK46" s="301"/>
      <c r="HL46" s="281"/>
      <c r="HM46" s="301"/>
      <c r="HN46" s="281"/>
      <c r="HO46" s="301"/>
      <c r="HP46" s="281"/>
      <c r="HQ46" s="301"/>
      <c r="HR46" s="281"/>
      <c r="HS46" s="301"/>
      <c r="HT46" s="281"/>
      <c r="HU46" s="301"/>
      <c r="HV46" s="281"/>
      <c r="HW46" s="301"/>
      <c r="HX46" s="281"/>
      <c r="HY46" s="301"/>
      <c r="HZ46" s="281"/>
      <c r="IA46" s="301"/>
      <c r="IB46" s="281"/>
      <c r="IC46" s="301"/>
      <c r="ID46" s="281"/>
      <c r="IE46" s="301"/>
      <c r="IF46" s="281"/>
      <c r="IG46" s="301"/>
      <c r="IH46" s="281"/>
      <c r="II46" s="301"/>
      <c r="IJ46" s="281"/>
      <c r="IK46" s="301"/>
      <c r="IL46" s="281"/>
      <c r="IM46" s="301"/>
      <c r="IN46" s="281"/>
      <c r="IO46" s="301"/>
      <c r="IP46" s="281"/>
      <c r="IQ46" s="301"/>
      <c r="IR46" s="281"/>
      <c r="IS46" s="301"/>
      <c r="IT46" s="281"/>
      <c r="IU46" s="301"/>
      <c r="IV46" s="281"/>
      <c r="IW46" s="301"/>
      <c r="IX46" s="281"/>
      <c r="IY46" s="301"/>
      <c r="IZ46" s="177"/>
      <c r="JA46" s="281"/>
      <c r="JB46" s="301"/>
      <c r="JC46" s="281"/>
      <c r="JD46" s="301"/>
      <c r="JE46" s="177"/>
      <c r="JF46" s="281"/>
      <c r="JG46" s="301"/>
      <c r="JH46" s="281"/>
      <c r="JI46" s="301"/>
      <c r="JJ46" s="281"/>
      <c r="JK46" s="301"/>
      <c r="JL46" s="281"/>
      <c r="JM46" s="301"/>
      <c r="JN46" s="281"/>
      <c r="JO46" s="301"/>
      <c r="JP46" s="281"/>
      <c r="JQ46" s="301"/>
      <c r="JR46" s="281"/>
      <c r="JS46" s="301"/>
      <c r="JT46" s="281"/>
      <c r="JU46" s="301"/>
      <c r="JV46" s="281"/>
      <c r="JW46" s="301"/>
      <c r="JX46" s="281"/>
      <c r="JY46" s="301"/>
      <c r="JZ46" s="281"/>
      <c r="KA46" s="301"/>
      <c r="KB46" s="281"/>
      <c r="KC46" s="301"/>
      <c r="KD46" s="281"/>
      <c r="KE46" s="301"/>
      <c r="KF46" s="281"/>
      <c r="KG46" s="301"/>
      <c r="KH46" s="281"/>
      <c r="KI46" s="301"/>
      <c r="KJ46" s="281"/>
      <c r="KK46" s="301"/>
      <c r="KL46" s="281"/>
      <c r="KM46" s="301"/>
      <c r="KN46" s="281"/>
      <c r="KO46" s="301"/>
      <c r="KP46" s="281"/>
      <c r="KQ46" s="301"/>
      <c r="KR46" s="281"/>
      <c r="KS46" s="301"/>
      <c r="KT46" s="281"/>
      <c r="KU46" s="301"/>
      <c r="KV46" s="281"/>
      <c r="KW46" s="301"/>
      <c r="KX46" s="281"/>
      <c r="KY46" s="301"/>
      <c r="KZ46" s="281"/>
      <c r="LA46" s="301"/>
      <c r="LB46" s="281"/>
      <c r="LC46" s="301"/>
      <c r="LD46" s="281"/>
      <c r="LE46" s="301"/>
      <c r="LF46" s="281"/>
      <c r="LG46" s="301"/>
      <c r="LH46" s="281"/>
      <c r="LI46" s="301"/>
      <c r="LJ46" s="281"/>
      <c r="LK46" s="301"/>
      <c r="LL46" s="281"/>
      <c r="LM46" s="301"/>
      <c r="LN46" s="281"/>
      <c r="LO46" s="301"/>
      <c r="LP46" s="281"/>
      <c r="LQ46" s="301"/>
      <c r="LR46" s="281"/>
      <c r="LS46" s="301"/>
      <c r="LT46" s="281"/>
      <c r="LU46" s="301"/>
      <c r="LV46" s="281"/>
      <c r="LW46" s="301"/>
      <c r="LX46" s="281"/>
      <c r="LY46" s="301"/>
      <c r="LZ46" s="281"/>
      <c r="MA46" s="301"/>
      <c r="MB46" s="281"/>
      <c r="MC46" s="301"/>
      <c r="MD46" s="281"/>
      <c r="ME46" s="301"/>
      <c r="MF46" s="281"/>
      <c r="MG46" s="301"/>
      <c r="MH46" s="177"/>
      <c r="MI46" s="281"/>
      <c r="MJ46" s="301"/>
      <c r="MK46" s="281"/>
      <c r="ML46" s="301"/>
      <c r="MM46" s="281"/>
      <c r="MN46" s="301"/>
      <c r="MO46" s="281"/>
      <c r="MP46" s="301"/>
      <c r="MQ46" s="281"/>
      <c r="MR46" s="301"/>
      <c r="MS46" s="281"/>
      <c r="MT46" s="301"/>
      <c r="MU46" s="281"/>
      <c r="MV46" s="301"/>
      <c r="MW46" s="281"/>
      <c r="MX46" s="301"/>
      <c r="MY46" s="281"/>
      <c r="MZ46" s="301"/>
      <c r="NA46" s="281"/>
      <c r="NB46" s="301"/>
      <c r="NC46" s="281"/>
      <c r="ND46" s="301"/>
      <c r="NE46" s="281"/>
      <c r="NF46" s="301"/>
      <c r="NG46" s="281"/>
      <c r="NH46" s="301"/>
      <c r="NI46" s="281"/>
      <c r="NJ46" s="301"/>
      <c r="NK46" s="281"/>
      <c r="NL46" s="301"/>
      <c r="NM46" s="281"/>
      <c r="NN46" s="301"/>
      <c r="NO46" s="281"/>
      <c r="NP46" s="301"/>
      <c r="NQ46" s="281"/>
      <c r="NR46" s="301"/>
      <c r="NS46" s="281"/>
      <c r="NT46" s="301"/>
      <c r="NU46" s="281"/>
      <c r="NV46" s="301"/>
      <c r="NW46" s="281"/>
      <c r="NX46" s="301"/>
      <c r="NY46" s="281"/>
      <c r="NZ46" s="301"/>
      <c r="OA46" s="281"/>
      <c r="OB46" s="301"/>
      <c r="OC46" s="281"/>
      <c r="OD46" s="301"/>
      <c r="OE46" s="281"/>
      <c r="OF46" s="301"/>
      <c r="OG46" s="281"/>
      <c r="OH46" s="301"/>
      <c r="OI46" s="281"/>
      <c r="OJ46" s="301"/>
      <c r="OK46" s="281"/>
      <c r="OL46" s="301"/>
      <c r="OM46" s="281"/>
      <c r="ON46" s="301"/>
      <c r="OO46" s="281"/>
      <c r="OP46" s="301"/>
      <c r="OQ46" s="281"/>
      <c r="OR46" s="301"/>
      <c r="OS46" s="281"/>
      <c r="OT46" s="301"/>
      <c r="OU46" s="281"/>
      <c r="OV46" s="301"/>
      <c r="OW46" s="281"/>
      <c r="OX46" s="301"/>
      <c r="OY46" s="281"/>
      <c r="OZ46" s="301"/>
      <c r="PA46" s="281"/>
      <c r="PB46" s="301"/>
      <c r="PC46" s="281"/>
      <c r="PD46" s="301"/>
      <c r="PE46" s="281"/>
      <c r="PF46" s="301"/>
      <c r="PG46" s="281"/>
      <c r="PH46" s="301"/>
      <c r="PI46" s="281"/>
      <c r="PJ46" s="301"/>
      <c r="PK46" s="281"/>
      <c r="PL46" s="301"/>
      <c r="PM46" s="281"/>
      <c r="PN46" s="301"/>
      <c r="PO46" s="281"/>
      <c r="PP46" s="301"/>
      <c r="PR46" s="281"/>
      <c r="PS46" s="301"/>
      <c r="PT46" s="281"/>
      <c r="PU46" s="301"/>
      <c r="PV46" s="281"/>
      <c r="PW46" s="301"/>
      <c r="PX46" s="281"/>
      <c r="PY46" s="301"/>
      <c r="PZ46" s="281"/>
      <c r="QA46" s="301"/>
      <c r="QB46" s="281"/>
      <c r="QC46" s="301"/>
      <c r="QF46" s="281"/>
      <c r="QG46" s="301"/>
      <c r="QH46" s="281"/>
      <c r="QI46" s="301"/>
      <c r="QJ46" s="281"/>
      <c r="QK46" s="301"/>
      <c r="QL46" s="281"/>
      <c r="QM46" s="301"/>
      <c r="QN46" s="281"/>
      <c r="QO46" s="301"/>
      <c r="QP46" s="281"/>
      <c r="QQ46" s="301"/>
    </row>
    <row r="47" spans="1:459" x14ac:dyDescent="0.45">
      <c r="A47" s="871"/>
      <c r="B47" s="302" t="s">
        <v>352</v>
      </c>
      <c r="C47" s="303"/>
      <c r="D47" s="304" t="s">
        <v>353</v>
      </c>
      <c r="E47" s="219"/>
      <c r="F47" s="220"/>
      <c r="G47" s="305">
        <f>+G48+G52+G55+G50</f>
        <v>4.9432291666666677</v>
      </c>
      <c r="H47" s="220"/>
      <c r="I47" s="305">
        <f>+I48+I52+I55+I50</f>
        <v>4.9432291666666677</v>
      </c>
      <c r="J47" s="220"/>
      <c r="K47" s="305">
        <f>+K48+K52+K55+K50</f>
        <v>6.0932291666666671</v>
      </c>
      <c r="L47" s="220"/>
      <c r="M47" s="305">
        <f>+M48+M52+M55+M50</f>
        <v>6.0932291666666671</v>
      </c>
      <c r="N47" s="220"/>
      <c r="O47" s="305">
        <f>+O48+O52+O55+O50</f>
        <v>6.4432291666666677</v>
      </c>
      <c r="P47" s="220"/>
      <c r="Q47" s="305">
        <f>+Q48+Q52+Q55+Q50</f>
        <v>6.7432291666666675</v>
      </c>
      <c r="R47" s="220"/>
      <c r="S47" s="305">
        <f>+S48+S52+S55+S50</f>
        <v>6.7432291666666675</v>
      </c>
      <c r="T47" s="220"/>
      <c r="U47" s="305">
        <f>+U48+U52+U55+U50</f>
        <v>7.143229166666667</v>
      </c>
      <c r="V47" s="220"/>
      <c r="W47" s="305">
        <f>+W48+W52+W55+W50</f>
        <v>7.143229166666667</v>
      </c>
      <c r="X47" s="220"/>
      <c r="Y47" s="305">
        <f>+Y48+Y52+Y55+Y50</f>
        <v>7.0932291666666671</v>
      </c>
      <c r="Z47" s="220"/>
      <c r="AA47" s="305">
        <f>+AA48+AA52+AA55+AA50</f>
        <v>7.0932291666666671</v>
      </c>
      <c r="AB47" s="220"/>
      <c r="AC47" s="305">
        <f>+AC48+AC52+AC55+AC50</f>
        <v>7.0932291666666671</v>
      </c>
      <c r="AD47" s="220"/>
      <c r="AE47" s="305">
        <f>+AE48+AE52+AE55+AE50</f>
        <v>7.643229166666667</v>
      </c>
      <c r="AF47" s="220"/>
      <c r="AG47" s="305">
        <f>+AG48+AG52+AG55+AG50</f>
        <v>7.643229166666667</v>
      </c>
      <c r="AH47" s="220"/>
      <c r="AI47" s="305">
        <f>+AI48+AI52+AI55+AI50</f>
        <v>7.643229166666667</v>
      </c>
      <c r="AJ47" s="220"/>
      <c r="AK47" s="305">
        <f>+AK48+AK52+AK55+AK50</f>
        <v>7.643229166666667</v>
      </c>
      <c r="AL47" s="220"/>
      <c r="AM47" s="305">
        <f>+AM48+AM52+AM55+AM50</f>
        <v>7.643229166666667</v>
      </c>
      <c r="AN47" s="220"/>
      <c r="AO47" s="305">
        <f>+AO48+AO52+AO55+AO50</f>
        <v>7.643229166666667</v>
      </c>
      <c r="AP47" s="220"/>
      <c r="AQ47" s="305">
        <f>+AQ48+AQ52+AQ55+AQ50</f>
        <v>7.643229166666667</v>
      </c>
      <c r="AR47" s="220"/>
      <c r="AS47" s="305">
        <f>+AS48+AS52+AS55+AS50</f>
        <v>7.643229166666667</v>
      </c>
      <c r="AT47" s="220"/>
      <c r="AU47" s="305">
        <f>+AU48+AU52+AU55+AU50</f>
        <v>7.643229166666667</v>
      </c>
      <c r="AV47" s="220"/>
      <c r="AW47" s="305">
        <f>+AW48+AW52+AW55+AW50</f>
        <v>7.643229166666667</v>
      </c>
      <c r="AX47" s="220"/>
      <c r="AY47" s="305">
        <f>+AY48+AY52+AY55+AY50</f>
        <v>7.643229166666667</v>
      </c>
      <c r="AZ47" s="220"/>
      <c r="BA47" s="305">
        <f>+BA48+BA52+BA55+BA50</f>
        <v>7.643229166666667</v>
      </c>
      <c r="BB47" s="220"/>
      <c r="BC47" s="305">
        <f>+BC48+BC52+BC55+BC50</f>
        <v>7.643229166666667</v>
      </c>
      <c r="BD47" s="220"/>
      <c r="BE47" s="305">
        <f>+BE48+BE52+BE55+BE50</f>
        <v>7.643229166666667</v>
      </c>
      <c r="BF47" s="220"/>
      <c r="BG47" s="305">
        <f>+BG48+BG52+BG55+BG50</f>
        <v>7.643229166666667</v>
      </c>
      <c r="BH47" s="220"/>
      <c r="BI47" s="305">
        <f>+BI48+BI52+BI55+BI50</f>
        <v>7.643229166666667</v>
      </c>
      <c r="BJ47" s="220"/>
      <c r="BK47" s="305">
        <f>+BK48+BK52+BK55+BK50</f>
        <v>7.643229166666667</v>
      </c>
      <c r="BL47" s="220"/>
      <c r="BM47" s="305">
        <f>+BM48+BM52+BM55+BM50</f>
        <v>7.643229166666667</v>
      </c>
      <c r="BN47" s="220"/>
      <c r="BO47" s="305">
        <f>+BO48+BO52+BO55+BO50</f>
        <v>7.643229166666667</v>
      </c>
      <c r="BP47" s="220"/>
      <c r="BQ47" s="305">
        <f>+BQ48+BQ52+BQ55+BQ50</f>
        <v>7.643229166666667</v>
      </c>
      <c r="BR47" s="220"/>
      <c r="BS47" s="305">
        <f>+BS48+BS52+BS55+BS50</f>
        <v>7.643229166666667</v>
      </c>
      <c r="BT47" s="220"/>
      <c r="BU47" s="305">
        <f>+BU48+BU52+BU55+BU50</f>
        <v>7.643229166666667</v>
      </c>
      <c r="BV47" s="220"/>
      <c r="BW47" s="305">
        <f>+BW48+BW52+BW55+BW50</f>
        <v>7.643229166666667</v>
      </c>
      <c r="BX47" s="220"/>
      <c r="BY47" s="305">
        <f>+BY48+BY52+BY55+BY50</f>
        <v>7.643229166666667</v>
      </c>
      <c r="BZ47" s="220"/>
      <c r="CA47" s="305">
        <f>+CA48+CA52+CA55+CA50</f>
        <v>7.643229166666667</v>
      </c>
      <c r="CB47" s="220"/>
      <c r="CC47" s="305">
        <f>+CC48+CC52+CC55+CC50</f>
        <v>7.643229166666667</v>
      </c>
      <c r="CD47" s="220"/>
      <c r="CE47" s="305">
        <f>+CE48+CE52+CE55+CE50</f>
        <v>7.643229166666667</v>
      </c>
      <c r="CF47" s="220"/>
      <c r="CG47" s="305">
        <f>+CG48+CG52+CG55+CG50</f>
        <v>7.643229166666667</v>
      </c>
      <c r="CH47" s="220"/>
      <c r="CI47" s="305">
        <f>+CI48+CI52+CI55+CI50</f>
        <v>7.643229166666667</v>
      </c>
      <c r="CJ47" s="220"/>
      <c r="CK47" s="305">
        <f>+CK48+CK52+CK55+CK50</f>
        <v>7.643229166666667</v>
      </c>
      <c r="CL47" s="220"/>
      <c r="CM47" s="305">
        <f>+CM48+CM52+CM55+CM50</f>
        <v>7.643229166666667</v>
      </c>
      <c r="CN47" s="220"/>
      <c r="CO47" s="305">
        <f>+CO48+CO52+CO55+CO50</f>
        <v>7.643229166666667</v>
      </c>
      <c r="CP47" s="220"/>
      <c r="CQ47" s="305">
        <f>+CQ48+CQ52+CQ55+CQ50</f>
        <v>7.643229166666667</v>
      </c>
      <c r="CR47" s="220"/>
      <c r="CS47" s="305">
        <f>+CS48+CS52+CS55+CS50</f>
        <v>7.643229166666667</v>
      </c>
      <c r="CT47" s="306"/>
      <c r="CU47" s="220"/>
      <c r="CV47" s="305">
        <f>+CV48+CV52+CV55+CV50</f>
        <v>9.7304147465437794</v>
      </c>
      <c r="CW47" s="220"/>
      <c r="CX47" s="305">
        <f>+CX48+CX52+CX55+CX50</f>
        <v>9.7304147465437794</v>
      </c>
      <c r="CY47" s="220"/>
      <c r="CZ47" s="305">
        <f>+CZ48+CZ52+CZ55+CZ50</f>
        <v>10.030414746543778</v>
      </c>
      <c r="DA47" s="220"/>
      <c r="DB47" s="305">
        <f>+DB48+DB52+DB55+DB50</f>
        <v>10.030414746543778</v>
      </c>
      <c r="DC47" s="220"/>
      <c r="DD47" s="305">
        <f>+DD48+DD52+DD55+DD50</f>
        <v>11.13041474654378</v>
      </c>
      <c r="DE47" s="220"/>
      <c r="DF47" s="305">
        <f>+DF48+DF52+DF55+DF50</f>
        <v>11.13041474654378</v>
      </c>
      <c r="DG47" s="220"/>
      <c r="DH47" s="305">
        <f>+DH48+DH52+DH55+DH50</f>
        <v>11.13041474654378</v>
      </c>
      <c r="DI47" s="220"/>
      <c r="DJ47" s="305">
        <f>+DJ48+DJ52+DJ55+DJ50</f>
        <v>11.13041474654378</v>
      </c>
      <c r="DK47" s="220"/>
      <c r="DL47" s="305">
        <f>+DL48+DL52+DL55+DL50</f>
        <v>11.13041474654378</v>
      </c>
      <c r="DM47" s="220"/>
      <c r="DN47" s="305">
        <f>+DN48+DN52+DN55+DN50</f>
        <v>11.13041474654378</v>
      </c>
      <c r="DO47" s="220"/>
      <c r="DP47" s="305">
        <f>+DP48+DP52+DP55+DP50</f>
        <v>11.13041474654378</v>
      </c>
      <c r="DQ47" s="220"/>
      <c r="DR47" s="305">
        <f>+DR48+DR52+DR55+DR50</f>
        <v>11.13041474654378</v>
      </c>
      <c r="DS47" s="220"/>
      <c r="DT47" s="305">
        <f>+DT48+DT52+DT55+DT50</f>
        <v>11.13041474654378</v>
      </c>
      <c r="DU47" s="220"/>
      <c r="DV47" s="305">
        <f>+DV48+DV52+DV55+DV50</f>
        <v>11.13041474654378</v>
      </c>
      <c r="DW47" s="220"/>
      <c r="DX47" s="305">
        <f>+DX48+DX52+DX55+DX50</f>
        <v>11.13041474654378</v>
      </c>
      <c r="DY47" s="220"/>
      <c r="DZ47" s="305">
        <f>+DZ48+DZ52+DZ55+DZ50</f>
        <v>11.13041474654378</v>
      </c>
      <c r="EA47" s="220"/>
      <c r="EB47" s="305">
        <f>+EB48+EB52+EB55+EB50</f>
        <v>11.13041474654378</v>
      </c>
      <c r="EC47" s="220"/>
      <c r="ED47" s="305">
        <f>+ED48+ED52+ED55+ED50</f>
        <v>11.13041474654378</v>
      </c>
      <c r="EE47" s="220"/>
      <c r="EF47" s="305">
        <f>+EF48+EF52+EF55+EF50</f>
        <v>11.13041474654378</v>
      </c>
      <c r="EG47" s="220"/>
      <c r="EH47" s="305">
        <f>+EH48+EH52+EH55+EH50</f>
        <v>11.13041474654378</v>
      </c>
      <c r="EI47" s="220"/>
      <c r="EJ47" s="305">
        <f>+EJ48+EJ52+EJ55+EJ50</f>
        <v>11.13041474654378</v>
      </c>
      <c r="EK47" s="220"/>
      <c r="EL47" s="305">
        <f>+EL48+EL52+EL55+EL50</f>
        <v>11.13041474654378</v>
      </c>
      <c r="EM47" s="220"/>
      <c r="EN47" s="305">
        <f>+EN48+EN52+EN55+EN50</f>
        <v>11.13041474654378</v>
      </c>
      <c r="EO47" s="220"/>
      <c r="EP47" s="305">
        <f>+EP48+EP52+EP55+EP50</f>
        <v>11.13041474654378</v>
      </c>
      <c r="EQ47" s="220"/>
      <c r="ER47" s="305">
        <f>+ER48+ER52+ER55+ER50</f>
        <v>11.13041474654378</v>
      </c>
      <c r="ES47" s="220"/>
      <c r="ET47" s="305">
        <f>+ET48+ET52+ET55+ET50</f>
        <v>11.13041474654378</v>
      </c>
      <c r="EU47" s="220"/>
      <c r="EV47" s="305">
        <f>+EV48+EV52+EV55+EV50</f>
        <v>11.13041474654378</v>
      </c>
      <c r="EW47" s="220"/>
      <c r="EX47" s="305">
        <f>+EX48+EX52+EX55+EX50</f>
        <v>11.13041474654378</v>
      </c>
      <c r="EY47" s="220"/>
      <c r="EZ47" s="305">
        <f>+EZ48+EZ52+EZ55+EZ50</f>
        <v>11.13041474654378</v>
      </c>
      <c r="FA47" s="220"/>
      <c r="FB47" s="305">
        <f>+FB48+FB52+FB55+FB50</f>
        <v>11.13041474654378</v>
      </c>
      <c r="FC47" s="220"/>
      <c r="FD47" s="305">
        <f>+FD48+FD52+FD55+FD50</f>
        <v>11.13041474654378</v>
      </c>
      <c r="FE47" s="220"/>
      <c r="FF47" s="305">
        <f>+FF48+FF52+FF55+FF50</f>
        <v>11.13041474654378</v>
      </c>
      <c r="FG47" s="220"/>
      <c r="FH47" s="305">
        <f>+FH48+FH52+FH55+FH50</f>
        <v>11.13041474654378</v>
      </c>
      <c r="FI47" s="220"/>
      <c r="FJ47" s="305">
        <f>+FJ48+FJ52+FJ55+FJ50</f>
        <v>11.13041474654378</v>
      </c>
      <c r="FK47" s="220"/>
      <c r="FL47" s="305">
        <f>+FL48+FL52+FL55+FL50</f>
        <v>11.13041474654378</v>
      </c>
      <c r="FM47" s="220"/>
      <c r="FN47" s="305">
        <f>+FN48+FN52+FN55+FN50</f>
        <v>11.13041474654378</v>
      </c>
      <c r="FO47" s="220"/>
      <c r="FP47" s="305">
        <f>+FP48+FP52+FP55+FP50</f>
        <v>11.13041474654378</v>
      </c>
      <c r="FQ47" s="219"/>
      <c r="FR47" s="220"/>
      <c r="FS47" s="305">
        <f>+FS48+FS52+FS55+FS50</f>
        <v>6.0932291666666671</v>
      </c>
      <c r="FT47" s="220"/>
      <c r="FU47" s="305">
        <f>+FU48+FU52+FU55+FU50</f>
        <v>6.4432291666666677</v>
      </c>
      <c r="FV47" s="220"/>
      <c r="FW47" s="305">
        <f>+FW48+FW52+FW55+FW50</f>
        <v>6.7432291666666675</v>
      </c>
      <c r="FX47" s="220"/>
      <c r="FY47" s="305">
        <f>+FY48+FY52+FY55+FY50</f>
        <v>6.7432291666666675</v>
      </c>
      <c r="FZ47" s="220"/>
      <c r="GA47" s="305">
        <f>+GA48+GA52+GA55+GA50</f>
        <v>7.143229166666667</v>
      </c>
      <c r="GB47" s="220"/>
      <c r="GC47" s="305">
        <f>+GC48+GC52+GC55+GC50</f>
        <v>7.143229166666667</v>
      </c>
      <c r="GD47" s="220"/>
      <c r="GE47" s="305">
        <f>+GE48+GE52+GE55+GE50</f>
        <v>7.0932291666666671</v>
      </c>
      <c r="GF47" s="220"/>
      <c r="GG47" s="305">
        <f>+GG48+GG52+GG55+GG50</f>
        <v>7.0932291666666671</v>
      </c>
      <c r="GH47" s="220"/>
      <c r="GI47" s="305">
        <f>+GI48+GI52+GI55+GI50</f>
        <v>7.0932291666666671</v>
      </c>
      <c r="GJ47" s="220"/>
      <c r="GK47" s="305">
        <f>+GK48+GK52+GK55+GK50</f>
        <v>8.3432291666666654</v>
      </c>
      <c r="GL47" s="220"/>
      <c r="GM47" s="305">
        <f>+GM48+GM52+GM55+GM50</f>
        <v>8.3432291666666654</v>
      </c>
      <c r="GN47" s="220"/>
      <c r="GO47" s="305">
        <f>+GO48+GO52+GO55+GO50</f>
        <v>8.3432291666666654</v>
      </c>
      <c r="GP47" s="220"/>
      <c r="GQ47" s="305">
        <f>+GQ48+GQ52+GQ55+GQ50</f>
        <v>8.3432291666666654</v>
      </c>
      <c r="GR47" s="220"/>
      <c r="GS47" s="305">
        <f>+GS48+GS52+GS55+GS50</f>
        <v>8.3432291666666654</v>
      </c>
      <c r="GT47" s="220"/>
      <c r="GU47" s="305">
        <f>+GU48+GU52+GU55+GU50</f>
        <v>8.3432291666666654</v>
      </c>
      <c r="GV47" s="220"/>
      <c r="GW47" s="305">
        <f>+GW48+GW52+GW55+GW50</f>
        <v>8.3432291666666654</v>
      </c>
      <c r="GX47" s="220"/>
      <c r="GY47" s="305">
        <f>+GY48+GY52+GY55+GY50</f>
        <v>8.3432291666666654</v>
      </c>
      <c r="GZ47" s="220"/>
      <c r="HA47" s="305">
        <f>+HA48+HA52+HA55+HA50</f>
        <v>8.3432291666666654</v>
      </c>
      <c r="HB47" s="220"/>
      <c r="HC47" s="305">
        <f>+HC48+HC52+HC55+HC50</f>
        <v>8.3432291666666654</v>
      </c>
      <c r="HD47" s="220"/>
      <c r="HE47" s="305">
        <f>+HE48+HE52+HE55+HE50</f>
        <v>8.3432291666666654</v>
      </c>
      <c r="HF47" s="220"/>
      <c r="HG47" s="305">
        <f>+HG48+HG52+HG55+HG50</f>
        <v>8.3432291666666654</v>
      </c>
      <c r="HH47" s="220"/>
      <c r="HI47" s="305">
        <f>+HI48+HI52+HI55+HI50</f>
        <v>8.3432291666666654</v>
      </c>
      <c r="HJ47" s="220"/>
      <c r="HK47" s="305">
        <f>+HK48+HK52+HK55+HK50</f>
        <v>8.3432291666666654</v>
      </c>
      <c r="HL47" s="220"/>
      <c r="HM47" s="305">
        <f>+HM48+HM52+HM55+HM50</f>
        <v>8.3432291666666654</v>
      </c>
      <c r="HN47" s="220"/>
      <c r="HO47" s="305">
        <f>+HO48+HO52+HO55+HO50</f>
        <v>8.3432291666666654</v>
      </c>
      <c r="HP47" s="220"/>
      <c r="HQ47" s="305">
        <f>+HQ48+HQ52+HQ55+HQ50</f>
        <v>8.3432291666666654</v>
      </c>
      <c r="HR47" s="220"/>
      <c r="HS47" s="305">
        <f>+HS48+HS52+HS55+HS50</f>
        <v>8.3432291666666654</v>
      </c>
      <c r="HT47" s="220"/>
      <c r="HU47" s="305">
        <f>+HU48+HU52+HU55+HU50</f>
        <v>8.3432291666666654</v>
      </c>
      <c r="HV47" s="220"/>
      <c r="HW47" s="305">
        <f>+HW48+HW52+HW55+HW50</f>
        <v>8.3432291666666654</v>
      </c>
      <c r="HX47" s="220"/>
      <c r="HY47" s="305">
        <f>+HY48+HY52+HY55+HY50</f>
        <v>8.3432291666666654</v>
      </c>
      <c r="HZ47" s="220"/>
      <c r="IA47" s="305">
        <f>+IA48+IA52+IA55+IA50</f>
        <v>8.3432291666666654</v>
      </c>
      <c r="IB47" s="220"/>
      <c r="IC47" s="305">
        <f>+IC48+IC52+IC55+IC50</f>
        <v>8.3432291666666654</v>
      </c>
      <c r="ID47" s="220"/>
      <c r="IE47" s="305">
        <f>+IE48+IE52+IE55+IE50</f>
        <v>8.3432291666666654</v>
      </c>
      <c r="IF47" s="220"/>
      <c r="IG47" s="305">
        <f>+IG48+IG52+IG55+IG50</f>
        <v>8.3432291666666654</v>
      </c>
      <c r="IH47" s="220"/>
      <c r="II47" s="305">
        <f>+II48+II52+II55+II50</f>
        <v>8.3432291666666654</v>
      </c>
      <c r="IJ47" s="220"/>
      <c r="IK47" s="305">
        <f>+IK48+IK52+IK55+IK50</f>
        <v>8.3432291666666654</v>
      </c>
      <c r="IL47" s="220"/>
      <c r="IM47" s="305">
        <f>+IM48+IM52+IM55+IM50</f>
        <v>8.3432291666666654</v>
      </c>
      <c r="IN47" s="220"/>
      <c r="IO47" s="305">
        <f>+IO48+IO52+IO55+IO50</f>
        <v>8.3432291666666654</v>
      </c>
      <c r="IP47" s="220"/>
      <c r="IQ47" s="305">
        <f>+IQ48+IQ52+IQ55+IQ50</f>
        <v>8.3432291666666654</v>
      </c>
      <c r="IR47" s="220"/>
      <c r="IS47" s="305">
        <f>+IS48+IS52+IS55+IS50</f>
        <v>8.3432291666666654</v>
      </c>
      <c r="IT47" s="220"/>
      <c r="IU47" s="305">
        <f>+IU48+IU52+IU55+IU50</f>
        <v>8.3432291666666654</v>
      </c>
      <c r="IV47" s="220"/>
      <c r="IW47" s="305">
        <f>+IW48+IW52+IW55+IW50</f>
        <v>8.3432291666666654</v>
      </c>
      <c r="IX47" s="220"/>
      <c r="IY47" s="305">
        <f>+IY48+IY52+IY55+IY50</f>
        <v>8.3432291666666654</v>
      </c>
      <c r="IZ47" s="219"/>
      <c r="JA47" s="220"/>
      <c r="JB47" s="305">
        <f>+JB48+JB52+JB55+JB50</f>
        <v>8.3432291666666654</v>
      </c>
      <c r="JC47" s="220"/>
      <c r="JD47" s="305">
        <f>+JD48+JD52+JD55+JD50</f>
        <v>8.3432291666666654</v>
      </c>
      <c r="JE47" s="219"/>
      <c r="JF47" s="220"/>
      <c r="JG47" s="305">
        <f>+JG48+JG52+JG55+JG50</f>
        <v>5.7309523809523801</v>
      </c>
      <c r="JH47" s="220"/>
      <c r="JI47" s="305">
        <f>+JI48+JI52+JI55+JI50</f>
        <v>6.0809523809523807</v>
      </c>
      <c r="JJ47" s="220"/>
      <c r="JK47" s="305">
        <f>+JK48+JK52+JK55+JK50</f>
        <v>6.3309523809523807</v>
      </c>
      <c r="JL47" s="220"/>
      <c r="JM47" s="305">
        <f>+JM48+JM52+JM55+JM50</f>
        <v>6.3309523809523807</v>
      </c>
      <c r="JN47" s="220"/>
      <c r="JO47" s="305">
        <f>+JO48+JO52+JO55+JO50</f>
        <v>6.8309523809523807</v>
      </c>
      <c r="JP47" s="220"/>
      <c r="JQ47" s="305">
        <f>+JQ48+JQ52+JQ55+JQ50</f>
        <v>6.8309523809523807</v>
      </c>
      <c r="JR47" s="220"/>
      <c r="JS47" s="305">
        <f>+JS48+JS52+JS55+JS50</f>
        <v>6.8309523809523807</v>
      </c>
      <c r="JT47" s="220"/>
      <c r="JU47" s="305">
        <f>+JU48+JU52+JU55+JU50</f>
        <v>6.8309523809523807</v>
      </c>
      <c r="JV47" s="220"/>
      <c r="JW47" s="305">
        <f>+JW48+JW52+JW55+JW50</f>
        <v>6.8428571428571425</v>
      </c>
      <c r="JX47" s="220"/>
      <c r="JY47" s="305">
        <f>+JY48+JY52+JY55+JY50</f>
        <v>6.8428571428571425</v>
      </c>
      <c r="JZ47" s="220"/>
      <c r="KA47" s="305">
        <f>+KA48+KA52+KA55+KA50</f>
        <v>6.8428571428571425</v>
      </c>
      <c r="KB47" s="220"/>
      <c r="KC47" s="305">
        <f>+KC48+KC52+KC55+KC50</f>
        <v>6.8428571428571425</v>
      </c>
      <c r="KD47" s="220"/>
      <c r="KE47" s="305">
        <f>+KE48+KE52+KE55+KE50</f>
        <v>6.8428571428571425</v>
      </c>
      <c r="KF47" s="220"/>
      <c r="KG47" s="305">
        <f>+KG48+KG52+KG55+KG50</f>
        <v>6.8428571428571425</v>
      </c>
      <c r="KH47" s="220"/>
      <c r="KI47" s="305">
        <f>+KI48+KI52+KI55+KI50</f>
        <v>6.8428571428571425</v>
      </c>
      <c r="KJ47" s="220"/>
      <c r="KK47" s="305">
        <f>+KK48+KK52+KK55+KK50</f>
        <v>6.8428571428571425</v>
      </c>
      <c r="KL47" s="220"/>
      <c r="KM47" s="305">
        <f>+KM48+KM52+KM55+KM50</f>
        <v>6.8428571428571425</v>
      </c>
      <c r="KN47" s="220"/>
      <c r="KO47" s="305">
        <f>+KO48+KO52+KO55+KO50</f>
        <v>6.8428571428571425</v>
      </c>
      <c r="KP47" s="220"/>
      <c r="KQ47" s="305">
        <f>+KQ48+KQ52+KQ55+KQ50</f>
        <v>6.8428571428571425</v>
      </c>
      <c r="KR47" s="220"/>
      <c r="KS47" s="305">
        <f>+KS48+KS52+KS55+KS50</f>
        <v>6.8428571428571425</v>
      </c>
      <c r="KT47" s="220"/>
      <c r="KU47" s="305">
        <f>+KU48+KU52+KU55+KU50</f>
        <v>6.8428571428571425</v>
      </c>
      <c r="KV47" s="220"/>
      <c r="KW47" s="305">
        <f>+KW48+KW52+KW55+KW50</f>
        <v>6.8428571428571425</v>
      </c>
      <c r="KX47" s="220"/>
      <c r="KY47" s="305">
        <f>+KY48+KY52+KY55+KY50</f>
        <v>6.8428571428571425</v>
      </c>
      <c r="KZ47" s="220"/>
      <c r="LA47" s="305">
        <f>+LA48+LA52+LA55+LA50</f>
        <v>6.8428571428571425</v>
      </c>
      <c r="LB47" s="220"/>
      <c r="LC47" s="305">
        <f>+LC48+LC52+LC55+LC50</f>
        <v>6.8428571428571425</v>
      </c>
      <c r="LD47" s="220"/>
      <c r="LE47" s="305">
        <f>+LE48+LE52+LE55+LE50</f>
        <v>6.8428571428571425</v>
      </c>
      <c r="LF47" s="220"/>
      <c r="LG47" s="305">
        <f>+LG48+LG52+LG55+LG50</f>
        <v>6.8428571428571425</v>
      </c>
      <c r="LH47" s="220"/>
      <c r="LI47" s="305">
        <f>+LI48+LI52+LI55+LI50</f>
        <v>6.8428571428571425</v>
      </c>
      <c r="LJ47" s="220"/>
      <c r="LK47" s="305">
        <f>+LK48+LK52+LK55+LK50</f>
        <v>6.8428571428571425</v>
      </c>
      <c r="LL47" s="220"/>
      <c r="LM47" s="305">
        <f>+LM48+LM52+LM55+LM50</f>
        <v>6.8428571428571425</v>
      </c>
      <c r="LN47" s="220"/>
      <c r="LO47" s="305">
        <f>+LO48+LO52+LO55+LO50</f>
        <v>6.8428571428571425</v>
      </c>
      <c r="LP47" s="220"/>
      <c r="LQ47" s="305">
        <f>+LQ48+LQ52+LQ55+LQ50</f>
        <v>6.8428571428571425</v>
      </c>
      <c r="LR47" s="220"/>
      <c r="LS47" s="305">
        <f>+LS48+LS52+LS55+LS50</f>
        <v>6.8428571428571425</v>
      </c>
      <c r="LT47" s="220"/>
      <c r="LU47" s="305">
        <f>+LU48+LU52+LU55+LU50</f>
        <v>6.8428571428571425</v>
      </c>
      <c r="LV47" s="220"/>
      <c r="LW47" s="305">
        <f>+LW48+LW52+LW55+LW50</f>
        <v>6.8428571428571425</v>
      </c>
      <c r="LX47" s="220"/>
      <c r="LY47" s="305">
        <f>+LY48+LY52+LY55+LY50</f>
        <v>6.8428571428571425</v>
      </c>
      <c r="LZ47" s="220"/>
      <c r="MA47" s="305">
        <f>+MA48+MA52+MA55+MA50</f>
        <v>6.8428571428571425</v>
      </c>
      <c r="MB47" s="220"/>
      <c r="MC47" s="305">
        <f>+MC48+MC52+MC55+MC50</f>
        <v>6.8428571428571425</v>
      </c>
      <c r="MD47" s="220"/>
      <c r="ME47" s="305">
        <f>+ME48+ME52+ME55+ME50</f>
        <v>6.8428571428571425</v>
      </c>
      <c r="MF47" s="220"/>
      <c r="MG47" s="305">
        <f>+MG48+MG52+MG55+MG50</f>
        <v>6.8428571428571425</v>
      </c>
      <c r="MH47" s="219"/>
      <c r="MI47" s="220"/>
      <c r="MJ47" s="305">
        <f>+MJ48+MJ52+MJ55+MJ50</f>
        <v>4.3836898395721926</v>
      </c>
      <c r="MK47" s="220"/>
      <c r="ML47" s="305">
        <f>+ML48+ML52+ML55+ML50</f>
        <v>4.5836898395721928</v>
      </c>
      <c r="MM47" s="220"/>
      <c r="MN47" s="305">
        <f>+MN48+MN52+MN55+MN50</f>
        <v>4.8336898395721928</v>
      </c>
      <c r="MO47" s="220"/>
      <c r="MP47" s="305">
        <f>+MP48+MP52+MP55+MP50</f>
        <v>4.8336898395721928</v>
      </c>
      <c r="MQ47" s="220"/>
      <c r="MR47" s="305">
        <f>+MR48+MR52+MR55+MR50</f>
        <v>5.2336898395721922</v>
      </c>
      <c r="MS47" s="220"/>
      <c r="MT47" s="305">
        <f>+MT48+MT52+MT55+MT50</f>
        <v>5.1336898395721926</v>
      </c>
      <c r="MU47" s="220"/>
      <c r="MV47" s="305">
        <f>+MV48+MV52+MV55+MV50</f>
        <v>5.2336898395721922</v>
      </c>
      <c r="MW47" s="220"/>
      <c r="MX47" s="305">
        <f>+MX48+MX52+MX55+MX50</f>
        <v>6.3336898395721928</v>
      </c>
      <c r="MY47" s="220"/>
      <c r="MZ47" s="305">
        <f>+MZ48+MZ52+MZ55+MZ50</f>
        <v>6.3336898395721928</v>
      </c>
      <c r="NA47" s="220"/>
      <c r="NB47" s="305">
        <f>+NB48+NB52+NB55+NB50</f>
        <v>6.3336898395721928</v>
      </c>
      <c r="NC47" s="220"/>
      <c r="ND47" s="305">
        <f>+ND48+ND52+ND55+ND50</f>
        <v>6.3336898395721928</v>
      </c>
      <c r="NE47" s="220"/>
      <c r="NF47" s="305">
        <f>+NF48+NF52+NF55+NF50</f>
        <v>6.3336898395721928</v>
      </c>
      <c r="NG47" s="220"/>
      <c r="NH47" s="305">
        <f>+NH48+NH52+NH55+NH50</f>
        <v>6.3336898395721928</v>
      </c>
      <c r="NI47" s="220"/>
      <c r="NJ47" s="305">
        <f>+NJ48+NJ52+NJ55+NJ50</f>
        <v>6.3336898395721928</v>
      </c>
      <c r="NK47" s="220"/>
      <c r="NL47" s="305">
        <f>+NL48+NL52+NL55+NL50</f>
        <v>6.3336898395721928</v>
      </c>
      <c r="NM47" s="220"/>
      <c r="NN47" s="305">
        <f>+NN48+NN52+NN55+NN50</f>
        <v>6.3336898395721928</v>
      </c>
      <c r="NO47" s="220"/>
      <c r="NP47" s="305">
        <f>+NP48+NP52+NP55+NP50</f>
        <v>6.3336898395721928</v>
      </c>
      <c r="NQ47" s="220"/>
      <c r="NR47" s="305">
        <f>+NR48+NR52+NR55+NR50</f>
        <v>6.3336898395721928</v>
      </c>
      <c r="NS47" s="220"/>
      <c r="NT47" s="305">
        <f>+NT48+NT52+NT55+NT50</f>
        <v>6.3336898395721928</v>
      </c>
      <c r="NU47" s="220"/>
      <c r="NV47" s="305">
        <f>+NV48+NV52+NV55+NV50</f>
        <v>6.3336898395721928</v>
      </c>
      <c r="NW47" s="220"/>
      <c r="NX47" s="305">
        <f>+NX48+NX52+NX55+NX50</f>
        <v>6.3336898395721928</v>
      </c>
      <c r="NY47" s="220"/>
      <c r="NZ47" s="305">
        <f>+NZ48+NZ52+NZ55+NZ50</f>
        <v>6.3336898395721928</v>
      </c>
      <c r="OA47" s="220"/>
      <c r="OB47" s="305">
        <f>+OB48+OB52+OB55+OB50</f>
        <v>6.3336898395721928</v>
      </c>
      <c r="OC47" s="220"/>
      <c r="OD47" s="305">
        <f>+OD48+OD52+OD55+OD50</f>
        <v>6.3336898395721928</v>
      </c>
      <c r="OE47" s="220"/>
      <c r="OF47" s="305">
        <f>+OF48+OF52+OF55+OF50</f>
        <v>6.3336898395721928</v>
      </c>
      <c r="OG47" s="220"/>
      <c r="OH47" s="305">
        <f>+OH48+OH52+OH55+OH50</f>
        <v>6.3336898395721928</v>
      </c>
      <c r="OI47" s="220"/>
      <c r="OJ47" s="305">
        <f>+OJ48+OJ52+OJ55+OJ50</f>
        <v>6.3336898395721928</v>
      </c>
      <c r="OK47" s="220"/>
      <c r="OL47" s="305">
        <f>+OL48+OL52+OL55+OL50</f>
        <v>6.3336898395721928</v>
      </c>
      <c r="OM47" s="220"/>
      <c r="ON47" s="305">
        <f>+ON48+ON52+ON55+ON50</f>
        <v>6.3336898395721928</v>
      </c>
      <c r="OO47" s="220"/>
      <c r="OP47" s="305">
        <f>+OP48+OP52+OP55+OP50</f>
        <v>6.3336898395721928</v>
      </c>
      <c r="OQ47" s="220"/>
      <c r="OR47" s="305">
        <f>+OR48+OR52+OR55+OR50</f>
        <v>6.3336898395721928</v>
      </c>
      <c r="OS47" s="220"/>
      <c r="OT47" s="305">
        <f>+OT48+OT52+OT55+OT50</f>
        <v>6.3336898395721928</v>
      </c>
      <c r="OU47" s="220"/>
      <c r="OV47" s="305">
        <f>+OV48+OV52+OV55+OV50</f>
        <v>6.3336898395721928</v>
      </c>
      <c r="OW47" s="220"/>
      <c r="OX47" s="305">
        <f>+OX48+OX52+OX55+OX50</f>
        <v>6.3336898395721928</v>
      </c>
      <c r="OY47" s="220"/>
      <c r="OZ47" s="305">
        <f>+OZ48+OZ52+OZ55+OZ50</f>
        <v>6.3336898395721928</v>
      </c>
      <c r="PA47" s="220"/>
      <c r="PB47" s="305">
        <f>+PB48+PB52+PB55+PB50</f>
        <v>6.3336898395721928</v>
      </c>
      <c r="PC47" s="220"/>
      <c r="PD47" s="305">
        <f>+PD48+PD52+PD55+PD50</f>
        <v>6.3336898395721928</v>
      </c>
      <c r="PE47" s="220"/>
      <c r="PF47" s="305">
        <f>+PF48+PF52+PF55+PF50</f>
        <v>6.3336898395721928</v>
      </c>
      <c r="PG47" s="220"/>
      <c r="PH47" s="305">
        <f>+PH48+PH52+PH55+PH50</f>
        <v>6.3336898395721928</v>
      </c>
      <c r="PI47" s="220"/>
      <c r="PJ47" s="305">
        <f>+PJ48+PJ52+PJ55+PJ50</f>
        <v>5.9836898395721931</v>
      </c>
      <c r="PK47" s="220"/>
      <c r="PL47" s="305">
        <f>+PL48+PL52+PL55+PL50</f>
        <v>5.8336898395721928</v>
      </c>
      <c r="PM47" s="220"/>
      <c r="PN47" s="305">
        <f>+PN48+PN52+PN55+PN50</f>
        <v>6.3336898395721928</v>
      </c>
      <c r="PO47" s="220"/>
      <c r="PP47" s="305">
        <f>+PP48+PP52+PP55+PP50</f>
        <v>6.3336898395721928</v>
      </c>
      <c r="PQ47" s="307"/>
      <c r="PR47" s="220"/>
      <c r="PS47" s="305">
        <f>+PS48+PS52+PS55+PS50</f>
        <v>7.4948275862068972</v>
      </c>
      <c r="PT47" s="220"/>
      <c r="PU47" s="305">
        <f>+PU48+PU52+PU55+PU50</f>
        <v>7.4948275862068972</v>
      </c>
      <c r="PV47" s="220"/>
      <c r="PW47" s="305">
        <f>+PW48+PW52+PW55+PW50</f>
        <v>6.6948275862068973</v>
      </c>
      <c r="PX47" s="220"/>
      <c r="PY47" s="305">
        <f>+PY48+PY52+PY55+PY50</f>
        <v>6.6948275862068973</v>
      </c>
      <c r="PZ47" s="220"/>
      <c r="QA47" s="305">
        <f>+QA48+QA52+QA55+QA50</f>
        <v>5.1948275862068973</v>
      </c>
      <c r="QB47" s="220"/>
      <c r="QC47" s="305">
        <f>+QC48+QC52+QC55+QC50</f>
        <v>5.1948275862068973</v>
      </c>
      <c r="QD47" s="307"/>
      <c r="QE47" s="307"/>
      <c r="QF47" s="220"/>
      <c r="QG47" s="305">
        <f>+QG48+QG52+QG55+QG50</f>
        <v>7.4948275862068972</v>
      </c>
      <c r="QH47" s="220"/>
      <c r="QI47" s="305">
        <f>+QI48+QI52+QI55+QI50</f>
        <v>7.4948275862068972</v>
      </c>
      <c r="QJ47" s="220"/>
      <c r="QK47" s="305">
        <f>+QK48+QK52+QK55+QK50</f>
        <v>6.6948275862068973</v>
      </c>
      <c r="QL47" s="220"/>
      <c r="QM47" s="305">
        <f>+QM48+QM52+QM55+QM50</f>
        <v>6.6948275862068973</v>
      </c>
      <c r="QN47" s="220"/>
      <c r="QO47" s="305">
        <f>+QO48+QO52+QO55+QO50</f>
        <v>6.6948275862068964</v>
      </c>
      <c r="QP47" s="220"/>
      <c r="QQ47" s="305">
        <f>+QQ48+QQ52+QQ55+QQ50</f>
        <v>6.6948275862068964</v>
      </c>
    </row>
    <row r="48" spans="1:459" x14ac:dyDescent="0.45">
      <c r="A48" s="871"/>
      <c r="B48" s="180" t="s">
        <v>354</v>
      </c>
      <c r="C48" s="181"/>
      <c r="D48" s="199" t="s">
        <v>353</v>
      </c>
      <c r="E48" s="186"/>
      <c r="F48" s="292"/>
      <c r="G48" s="308">
        <f>+G49*G55</f>
        <v>0</v>
      </c>
      <c r="H48" s="292"/>
      <c r="I48" s="308">
        <f>+I49*I55</f>
        <v>0</v>
      </c>
      <c r="J48" s="292"/>
      <c r="K48" s="308">
        <f>+K49*K55</f>
        <v>0</v>
      </c>
      <c r="L48" s="292"/>
      <c r="M48" s="308">
        <f>+M49*M55</f>
        <v>0</v>
      </c>
      <c r="N48" s="292"/>
      <c r="O48" s="308">
        <f>+O49*O55</f>
        <v>0</v>
      </c>
      <c r="P48" s="292"/>
      <c r="Q48" s="308">
        <f>+Q49*Q55</f>
        <v>0</v>
      </c>
      <c r="R48" s="292"/>
      <c r="S48" s="308">
        <f>+S49*S55</f>
        <v>0</v>
      </c>
      <c r="T48" s="292"/>
      <c r="U48" s="308">
        <f>+U49*U55</f>
        <v>0</v>
      </c>
      <c r="V48" s="292"/>
      <c r="W48" s="308">
        <f>+W49*W55</f>
        <v>0</v>
      </c>
      <c r="X48" s="292"/>
      <c r="Y48" s="308">
        <f>+Y49*Y55</f>
        <v>0</v>
      </c>
      <c r="Z48" s="292"/>
      <c r="AA48" s="308">
        <f>+AA49*AA55</f>
        <v>0</v>
      </c>
      <c r="AB48" s="292"/>
      <c r="AC48" s="308">
        <f>+AC49*AC55</f>
        <v>0</v>
      </c>
      <c r="AD48" s="292"/>
      <c r="AE48" s="308">
        <f>+AE49*AE55</f>
        <v>0</v>
      </c>
      <c r="AF48" s="292"/>
      <c r="AG48" s="308">
        <f>+AG49*AG55</f>
        <v>0</v>
      </c>
      <c r="AH48" s="292"/>
      <c r="AI48" s="308">
        <f>+AI49*AI55</f>
        <v>0</v>
      </c>
      <c r="AJ48" s="292"/>
      <c r="AK48" s="308">
        <f>+AK49*AK55</f>
        <v>0</v>
      </c>
      <c r="AL48" s="292"/>
      <c r="AM48" s="308">
        <f>+AM49*AM55</f>
        <v>0</v>
      </c>
      <c r="AN48" s="292"/>
      <c r="AO48" s="308">
        <f>+AO49*AO55</f>
        <v>0</v>
      </c>
      <c r="AP48" s="292"/>
      <c r="AQ48" s="308">
        <f>+AQ49*AQ55</f>
        <v>0</v>
      </c>
      <c r="AR48" s="292"/>
      <c r="AS48" s="308">
        <f>+AS49*AS55</f>
        <v>0</v>
      </c>
      <c r="AT48" s="292"/>
      <c r="AU48" s="308">
        <f>+AU49*AU55</f>
        <v>0</v>
      </c>
      <c r="AV48" s="292"/>
      <c r="AW48" s="308">
        <f>+AW49*AW55</f>
        <v>0</v>
      </c>
      <c r="AX48" s="292"/>
      <c r="AY48" s="308">
        <f>+AY49*AY55</f>
        <v>0</v>
      </c>
      <c r="AZ48" s="292"/>
      <c r="BA48" s="308">
        <f>+BA49*BA55</f>
        <v>0</v>
      </c>
      <c r="BB48" s="292"/>
      <c r="BC48" s="308">
        <f>+BC49*BC55</f>
        <v>0</v>
      </c>
      <c r="BD48" s="292"/>
      <c r="BE48" s="308">
        <f>+BE49*BE55</f>
        <v>0</v>
      </c>
      <c r="BF48" s="292"/>
      <c r="BG48" s="308">
        <f>+BG49*BG55</f>
        <v>0</v>
      </c>
      <c r="BH48" s="292"/>
      <c r="BI48" s="308">
        <f>+BI49*BI55</f>
        <v>0</v>
      </c>
      <c r="BJ48" s="292"/>
      <c r="BK48" s="308">
        <f>+BK49*BK55</f>
        <v>0</v>
      </c>
      <c r="BL48" s="292"/>
      <c r="BM48" s="308">
        <f>+BM49*BM55</f>
        <v>0</v>
      </c>
      <c r="BN48" s="292"/>
      <c r="BO48" s="308">
        <f>+BO49*BO55</f>
        <v>0</v>
      </c>
      <c r="BP48" s="292"/>
      <c r="BQ48" s="308">
        <f>+BQ49*BQ55</f>
        <v>0</v>
      </c>
      <c r="BR48" s="292"/>
      <c r="BS48" s="308">
        <f>+BS49*BS55</f>
        <v>0</v>
      </c>
      <c r="BT48" s="292"/>
      <c r="BU48" s="308">
        <f>+BU49*BU55</f>
        <v>0</v>
      </c>
      <c r="BV48" s="292"/>
      <c r="BW48" s="308">
        <f>+BW49*BW55</f>
        <v>0</v>
      </c>
      <c r="BX48" s="292"/>
      <c r="BY48" s="308">
        <f>+BY49*BY55</f>
        <v>0</v>
      </c>
      <c r="BZ48" s="292"/>
      <c r="CA48" s="308">
        <f>+CA49*CA55</f>
        <v>0</v>
      </c>
      <c r="CB48" s="292"/>
      <c r="CC48" s="308">
        <f>+CC49*CC55</f>
        <v>0</v>
      </c>
      <c r="CD48" s="292"/>
      <c r="CE48" s="308">
        <f>+CE49*CE55</f>
        <v>0</v>
      </c>
      <c r="CF48" s="292"/>
      <c r="CG48" s="308">
        <f>+CG49*CG55</f>
        <v>0</v>
      </c>
      <c r="CH48" s="292"/>
      <c r="CI48" s="308">
        <f>+CI49*CI55</f>
        <v>0</v>
      </c>
      <c r="CJ48" s="292"/>
      <c r="CK48" s="308">
        <f>+CK49*CK55</f>
        <v>0</v>
      </c>
      <c r="CL48" s="292"/>
      <c r="CM48" s="308">
        <f>+CM49*CM55</f>
        <v>0</v>
      </c>
      <c r="CN48" s="292"/>
      <c r="CO48" s="308">
        <f>+CO49*CO55</f>
        <v>0</v>
      </c>
      <c r="CP48" s="292"/>
      <c r="CQ48" s="308">
        <f>+CQ49*CQ55</f>
        <v>0</v>
      </c>
      <c r="CR48" s="292"/>
      <c r="CS48" s="308">
        <f>+CS49*CS55</f>
        <v>0</v>
      </c>
      <c r="CT48" s="201"/>
      <c r="CU48" s="292"/>
      <c r="CV48" s="308">
        <f>+CV49*CV55</f>
        <v>0</v>
      </c>
      <c r="CW48" s="292"/>
      <c r="CX48" s="308">
        <f>+CX49*CX55</f>
        <v>0</v>
      </c>
      <c r="CY48" s="292"/>
      <c r="CZ48" s="308">
        <f>+CZ49*CZ55</f>
        <v>0</v>
      </c>
      <c r="DA48" s="292"/>
      <c r="DB48" s="308">
        <f>+DB49*DB55</f>
        <v>0</v>
      </c>
      <c r="DC48" s="292"/>
      <c r="DD48" s="308">
        <f>+DD49*DD55</f>
        <v>0</v>
      </c>
      <c r="DE48" s="292"/>
      <c r="DF48" s="308">
        <f>+DF49*DF55</f>
        <v>0</v>
      </c>
      <c r="DG48" s="292"/>
      <c r="DH48" s="308">
        <f>+DH49*DH55</f>
        <v>0</v>
      </c>
      <c r="DI48" s="292"/>
      <c r="DJ48" s="308">
        <f>+DJ49*DJ55</f>
        <v>0</v>
      </c>
      <c r="DK48" s="292"/>
      <c r="DL48" s="308">
        <f>+DL49*DL55</f>
        <v>0</v>
      </c>
      <c r="DM48" s="292"/>
      <c r="DN48" s="308">
        <f>+DN49*DN55</f>
        <v>0</v>
      </c>
      <c r="DO48" s="292"/>
      <c r="DP48" s="308">
        <f>+DP49*DP55</f>
        <v>0</v>
      </c>
      <c r="DQ48" s="292"/>
      <c r="DR48" s="308">
        <f>+DR49*DR55</f>
        <v>0</v>
      </c>
      <c r="DS48" s="292"/>
      <c r="DT48" s="308">
        <f>+DT49*DT55</f>
        <v>0</v>
      </c>
      <c r="DU48" s="292"/>
      <c r="DV48" s="308">
        <f>+DV49*DV55</f>
        <v>0</v>
      </c>
      <c r="DW48" s="292"/>
      <c r="DX48" s="308">
        <f>+DX49*DX55</f>
        <v>0</v>
      </c>
      <c r="DY48" s="292"/>
      <c r="DZ48" s="308">
        <f>+DZ49*DZ55</f>
        <v>0</v>
      </c>
      <c r="EA48" s="292"/>
      <c r="EB48" s="308">
        <f>+EB49*EB55</f>
        <v>0</v>
      </c>
      <c r="EC48" s="292"/>
      <c r="ED48" s="308">
        <f>+ED49*ED55</f>
        <v>0</v>
      </c>
      <c r="EE48" s="292"/>
      <c r="EF48" s="308">
        <f>+EF49*EF55</f>
        <v>0</v>
      </c>
      <c r="EG48" s="292"/>
      <c r="EH48" s="308">
        <f>+EH49*EH55</f>
        <v>0</v>
      </c>
      <c r="EI48" s="292"/>
      <c r="EJ48" s="308">
        <f>+EJ49*EJ55</f>
        <v>0</v>
      </c>
      <c r="EK48" s="292"/>
      <c r="EL48" s="308">
        <f>+EL49*EL55</f>
        <v>0</v>
      </c>
      <c r="EM48" s="292"/>
      <c r="EN48" s="308">
        <f>+EN49*EN55</f>
        <v>0</v>
      </c>
      <c r="EO48" s="292"/>
      <c r="EP48" s="308">
        <f>+EP49*EP55</f>
        <v>0</v>
      </c>
      <c r="EQ48" s="292"/>
      <c r="ER48" s="308">
        <f>+ER49*ER55</f>
        <v>0</v>
      </c>
      <c r="ES48" s="292"/>
      <c r="ET48" s="308">
        <f>+ET49*ET55</f>
        <v>0</v>
      </c>
      <c r="EU48" s="292"/>
      <c r="EV48" s="308">
        <f>+EV49*EV55</f>
        <v>0</v>
      </c>
      <c r="EW48" s="292"/>
      <c r="EX48" s="308">
        <f>+EX49*EX55</f>
        <v>0</v>
      </c>
      <c r="EY48" s="292"/>
      <c r="EZ48" s="308">
        <f>+EZ49*EZ55</f>
        <v>0</v>
      </c>
      <c r="FA48" s="292"/>
      <c r="FB48" s="308">
        <f>+FB49*FB55</f>
        <v>0</v>
      </c>
      <c r="FC48" s="292"/>
      <c r="FD48" s="308">
        <f>+FD49*FD55</f>
        <v>0</v>
      </c>
      <c r="FE48" s="292"/>
      <c r="FF48" s="308">
        <f>+FF49*FF55</f>
        <v>0</v>
      </c>
      <c r="FG48" s="292"/>
      <c r="FH48" s="308">
        <f>+FH49*FH55</f>
        <v>0</v>
      </c>
      <c r="FI48" s="292"/>
      <c r="FJ48" s="308">
        <f>+FJ49*FJ55</f>
        <v>0</v>
      </c>
      <c r="FK48" s="292"/>
      <c r="FL48" s="308">
        <f>+FL49*FL55</f>
        <v>0</v>
      </c>
      <c r="FM48" s="292"/>
      <c r="FN48" s="308">
        <f>+FN49*FN55</f>
        <v>0</v>
      </c>
      <c r="FO48" s="292"/>
      <c r="FP48" s="308">
        <f>+FP49*FP55</f>
        <v>0</v>
      </c>
      <c r="FQ48" s="186"/>
      <c r="FR48" s="292"/>
      <c r="FS48" s="308">
        <f>+FS49*FS55</f>
        <v>0</v>
      </c>
      <c r="FT48" s="292"/>
      <c r="FU48" s="308">
        <f>+FU49*FU55</f>
        <v>0</v>
      </c>
      <c r="FV48" s="292"/>
      <c r="FW48" s="308">
        <f>+FW49*FW55</f>
        <v>0</v>
      </c>
      <c r="FX48" s="292"/>
      <c r="FY48" s="308">
        <f>+FY49*FY55</f>
        <v>0</v>
      </c>
      <c r="FZ48" s="292"/>
      <c r="GA48" s="308">
        <f>+GA49*GA55</f>
        <v>0</v>
      </c>
      <c r="GB48" s="292"/>
      <c r="GC48" s="308">
        <f>+GC49*GC55</f>
        <v>0</v>
      </c>
      <c r="GD48" s="292"/>
      <c r="GE48" s="308">
        <f>+GE49*GE55</f>
        <v>0</v>
      </c>
      <c r="GF48" s="292"/>
      <c r="GG48" s="308">
        <f>+GG49*GG55</f>
        <v>0</v>
      </c>
      <c r="GH48" s="292"/>
      <c r="GI48" s="308">
        <f>+GI49*GI55</f>
        <v>0</v>
      </c>
      <c r="GJ48" s="292"/>
      <c r="GK48" s="308">
        <f>+GK49*GK55</f>
        <v>0</v>
      </c>
      <c r="GL48" s="292"/>
      <c r="GM48" s="308">
        <f>+GM49*GM55</f>
        <v>0</v>
      </c>
      <c r="GN48" s="292"/>
      <c r="GO48" s="308">
        <f>+GO49*GO55</f>
        <v>0</v>
      </c>
      <c r="GP48" s="292"/>
      <c r="GQ48" s="308">
        <f>+GQ49*GQ55</f>
        <v>0</v>
      </c>
      <c r="GR48" s="292"/>
      <c r="GS48" s="308">
        <f>+GS49*GS55</f>
        <v>0</v>
      </c>
      <c r="GT48" s="292"/>
      <c r="GU48" s="308">
        <f>+GU49*GU55</f>
        <v>0</v>
      </c>
      <c r="GV48" s="292"/>
      <c r="GW48" s="308">
        <f>+GW49*GW55</f>
        <v>0</v>
      </c>
      <c r="GX48" s="292"/>
      <c r="GY48" s="308">
        <f>+GY49*GY55</f>
        <v>0</v>
      </c>
      <c r="GZ48" s="292"/>
      <c r="HA48" s="308">
        <f>+HA49*HA55</f>
        <v>0</v>
      </c>
      <c r="HB48" s="292"/>
      <c r="HC48" s="308">
        <f>+HC49*HC55</f>
        <v>0</v>
      </c>
      <c r="HD48" s="292"/>
      <c r="HE48" s="308">
        <f>+HE49*HE55</f>
        <v>0</v>
      </c>
      <c r="HF48" s="292"/>
      <c r="HG48" s="308">
        <f>+HG49*HG55</f>
        <v>0</v>
      </c>
      <c r="HH48" s="292"/>
      <c r="HI48" s="308">
        <f>+HI49*HI55</f>
        <v>0</v>
      </c>
      <c r="HJ48" s="292"/>
      <c r="HK48" s="308">
        <f>+HK49*HK55</f>
        <v>0</v>
      </c>
      <c r="HL48" s="292"/>
      <c r="HM48" s="308">
        <f>+HM49*HM55</f>
        <v>0</v>
      </c>
      <c r="HN48" s="292"/>
      <c r="HO48" s="308">
        <f>+HO49*HO55</f>
        <v>0</v>
      </c>
      <c r="HP48" s="292"/>
      <c r="HQ48" s="308">
        <f>+HQ49*HQ55</f>
        <v>0</v>
      </c>
      <c r="HR48" s="292"/>
      <c r="HS48" s="308">
        <f>+HS49*HS55</f>
        <v>0</v>
      </c>
      <c r="HT48" s="292"/>
      <c r="HU48" s="308">
        <f>+HU49*HU55</f>
        <v>0</v>
      </c>
      <c r="HV48" s="292"/>
      <c r="HW48" s="308">
        <f>+HW49*HW55</f>
        <v>0</v>
      </c>
      <c r="HX48" s="292"/>
      <c r="HY48" s="308">
        <f>+HY49*HY55</f>
        <v>0</v>
      </c>
      <c r="HZ48" s="292"/>
      <c r="IA48" s="308">
        <f>+IA49*IA55</f>
        <v>0</v>
      </c>
      <c r="IB48" s="292"/>
      <c r="IC48" s="308">
        <f>+IC49*IC55</f>
        <v>0</v>
      </c>
      <c r="ID48" s="292"/>
      <c r="IE48" s="308">
        <f>+IE49*IE55</f>
        <v>0</v>
      </c>
      <c r="IF48" s="292"/>
      <c r="IG48" s="308">
        <f>+IG49*IG55</f>
        <v>0</v>
      </c>
      <c r="IH48" s="292"/>
      <c r="II48" s="308">
        <f>+II49*II55</f>
        <v>0</v>
      </c>
      <c r="IJ48" s="292"/>
      <c r="IK48" s="308">
        <f>+IK49*IK55</f>
        <v>0</v>
      </c>
      <c r="IL48" s="292"/>
      <c r="IM48" s="308">
        <f>+IM49*IM55</f>
        <v>0</v>
      </c>
      <c r="IN48" s="292"/>
      <c r="IO48" s="308">
        <f>+IO49*IO55</f>
        <v>0</v>
      </c>
      <c r="IP48" s="292"/>
      <c r="IQ48" s="308">
        <f>+IQ49*IQ55</f>
        <v>0</v>
      </c>
      <c r="IR48" s="292"/>
      <c r="IS48" s="308">
        <f>+IS49*IS55</f>
        <v>0</v>
      </c>
      <c r="IT48" s="292"/>
      <c r="IU48" s="308">
        <f>+IU49*IU55</f>
        <v>0</v>
      </c>
      <c r="IV48" s="292"/>
      <c r="IW48" s="308">
        <f>+IW49*IW55</f>
        <v>0</v>
      </c>
      <c r="IX48" s="292"/>
      <c r="IY48" s="308">
        <f>+IY49*IY55</f>
        <v>0</v>
      </c>
      <c r="IZ48" s="186"/>
      <c r="JA48" s="292"/>
      <c r="JB48" s="308">
        <f>+JB49*JB55</f>
        <v>0</v>
      </c>
      <c r="JC48" s="292"/>
      <c r="JD48" s="308">
        <f>+JD49*JD55</f>
        <v>0</v>
      </c>
      <c r="JE48" s="186"/>
      <c r="JF48" s="292"/>
      <c r="JG48" s="308">
        <f>+JG49*JG55</f>
        <v>0</v>
      </c>
      <c r="JH48" s="292"/>
      <c r="JI48" s="308">
        <f>+JI49*JI55</f>
        <v>0</v>
      </c>
      <c r="JJ48" s="292"/>
      <c r="JK48" s="308">
        <f>+JK49*JK55</f>
        <v>0</v>
      </c>
      <c r="JL48" s="292"/>
      <c r="JM48" s="308">
        <f>+JM49*JM55</f>
        <v>0</v>
      </c>
      <c r="JN48" s="292"/>
      <c r="JO48" s="308">
        <f>+JO49*JO55</f>
        <v>0</v>
      </c>
      <c r="JP48" s="292"/>
      <c r="JQ48" s="308">
        <f>+JQ49*JQ55</f>
        <v>0</v>
      </c>
      <c r="JR48" s="292"/>
      <c r="JS48" s="308">
        <f>+JS49*JS55</f>
        <v>0</v>
      </c>
      <c r="JT48" s="292"/>
      <c r="JU48" s="308">
        <f>+JU49*JU55</f>
        <v>0</v>
      </c>
      <c r="JV48" s="292"/>
      <c r="JW48" s="308">
        <f>+JW49*JW55</f>
        <v>0</v>
      </c>
      <c r="JX48" s="292"/>
      <c r="JY48" s="308">
        <f>+JY49*JY55</f>
        <v>0</v>
      </c>
      <c r="JZ48" s="292"/>
      <c r="KA48" s="308">
        <f>+KA49*KA55</f>
        <v>0</v>
      </c>
      <c r="KB48" s="292"/>
      <c r="KC48" s="308">
        <f>+KC49*KC55</f>
        <v>0</v>
      </c>
      <c r="KD48" s="292"/>
      <c r="KE48" s="308">
        <f>+KE49*KE55</f>
        <v>0</v>
      </c>
      <c r="KF48" s="292"/>
      <c r="KG48" s="308">
        <f>+KG49*KG55</f>
        <v>0</v>
      </c>
      <c r="KH48" s="292"/>
      <c r="KI48" s="308">
        <f>+KI49*KI55</f>
        <v>0</v>
      </c>
      <c r="KJ48" s="292"/>
      <c r="KK48" s="308">
        <f>+KK49*KK55</f>
        <v>0</v>
      </c>
      <c r="KL48" s="292"/>
      <c r="KM48" s="308">
        <f>+KM49*KM55</f>
        <v>0</v>
      </c>
      <c r="KN48" s="292"/>
      <c r="KO48" s="308">
        <f>+KO49*KO55</f>
        <v>0</v>
      </c>
      <c r="KP48" s="292"/>
      <c r="KQ48" s="308">
        <f>+KQ49*KQ55</f>
        <v>0</v>
      </c>
      <c r="KR48" s="292"/>
      <c r="KS48" s="308">
        <f>+KS49*KS55</f>
        <v>0</v>
      </c>
      <c r="KT48" s="292"/>
      <c r="KU48" s="308">
        <f>+KU49*KU55</f>
        <v>0</v>
      </c>
      <c r="KV48" s="292"/>
      <c r="KW48" s="308">
        <f>+KW49*KW55</f>
        <v>0</v>
      </c>
      <c r="KX48" s="292"/>
      <c r="KY48" s="308">
        <f>+KY49*KY55</f>
        <v>0</v>
      </c>
      <c r="KZ48" s="292"/>
      <c r="LA48" s="308">
        <f>+LA49*LA55</f>
        <v>0</v>
      </c>
      <c r="LB48" s="292"/>
      <c r="LC48" s="308">
        <f>+LC49*LC55</f>
        <v>0</v>
      </c>
      <c r="LD48" s="292"/>
      <c r="LE48" s="308">
        <f>+LE49*LE55</f>
        <v>0</v>
      </c>
      <c r="LF48" s="292"/>
      <c r="LG48" s="308">
        <f>+LG49*LG55</f>
        <v>0</v>
      </c>
      <c r="LH48" s="292"/>
      <c r="LI48" s="308">
        <f>+LI49*LI55</f>
        <v>0</v>
      </c>
      <c r="LJ48" s="292"/>
      <c r="LK48" s="308">
        <f>+LK49*LK55</f>
        <v>0</v>
      </c>
      <c r="LL48" s="292"/>
      <c r="LM48" s="308">
        <f>+LM49*LM55</f>
        <v>0</v>
      </c>
      <c r="LN48" s="292"/>
      <c r="LO48" s="308">
        <f>+LO49*LO55</f>
        <v>0</v>
      </c>
      <c r="LP48" s="292"/>
      <c r="LQ48" s="308">
        <f>+LQ49*LQ55</f>
        <v>0</v>
      </c>
      <c r="LR48" s="292"/>
      <c r="LS48" s="308">
        <f>+LS49*LS55</f>
        <v>0</v>
      </c>
      <c r="LT48" s="292"/>
      <c r="LU48" s="308">
        <f>+LU49*LU55</f>
        <v>0</v>
      </c>
      <c r="LV48" s="292"/>
      <c r="LW48" s="308">
        <f>+LW49*LW55</f>
        <v>0</v>
      </c>
      <c r="LX48" s="292"/>
      <c r="LY48" s="308">
        <f>+LY49*LY55</f>
        <v>0</v>
      </c>
      <c r="LZ48" s="292"/>
      <c r="MA48" s="308">
        <f>+MA49*MA55</f>
        <v>0</v>
      </c>
      <c r="MB48" s="292"/>
      <c r="MC48" s="308">
        <f>+MC49*MC55</f>
        <v>0</v>
      </c>
      <c r="MD48" s="292"/>
      <c r="ME48" s="308">
        <f>+ME49*ME55</f>
        <v>0</v>
      </c>
      <c r="MF48" s="292"/>
      <c r="MG48" s="308">
        <f>+MG49*MG55</f>
        <v>0</v>
      </c>
      <c r="MH48" s="186"/>
      <c r="MI48" s="292"/>
      <c r="MJ48" s="308">
        <f>+MJ49*MJ55</f>
        <v>0</v>
      </c>
      <c r="MK48" s="292"/>
      <c r="ML48" s="308">
        <f>+ML49*ML55</f>
        <v>0</v>
      </c>
      <c r="MM48" s="292"/>
      <c r="MN48" s="308">
        <f>+MN49*MN55</f>
        <v>0</v>
      </c>
      <c r="MO48" s="292"/>
      <c r="MP48" s="308">
        <f>+MP49*MP55</f>
        <v>0</v>
      </c>
      <c r="MQ48" s="292"/>
      <c r="MR48" s="308">
        <f>+MR49*MR55</f>
        <v>0</v>
      </c>
      <c r="MS48" s="292"/>
      <c r="MT48" s="308">
        <f>+MT49*MT55</f>
        <v>0</v>
      </c>
      <c r="MU48" s="292"/>
      <c r="MV48" s="308">
        <f>+MV49*MV55</f>
        <v>0</v>
      </c>
      <c r="MW48" s="292"/>
      <c r="MX48" s="308">
        <f>+MX49*MX55</f>
        <v>0</v>
      </c>
      <c r="MY48" s="292"/>
      <c r="MZ48" s="308">
        <f>+MZ49*MZ55</f>
        <v>0</v>
      </c>
      <c r="NA48" s="292"/>
      <c r="NB48" s="308">
        <f>+NB49*NB55</f>
        <v>0</v>
      </c>
      <c r="NC48" s="292"/>
      <c r="ND48" s="308">
        <f>+ND49*ND55</f>
        <v>0</v>
      </c>
      <c r="NE48" s="292"/>
      <c r="NF48" s="308">
        <f>+NF49*NF55</f>
        <v>0</v>
      </c>
      <c r="NG48" s="292"/>
      <c r="NH48" s="308">
        <f>+NH49*NH55</f>
        <v>0</v>
      </c>
      <c r="NI48" s="292"/>
      <c r="NJ48" s="308">
        <f>+NJ49*NJ55</f>
        <v>0</v>
      </c>
      <c r="NK48" s="292"/>
      <c r="NL48" s="308">
        <f>+NL49*NL55</f>
        <v>0</v>
      </c>
      <c r="NM48" s="292"/>
      <c r="NN48" s="308">
        <f>+NN49*NN55</f>
        <v>0</v>
      </c>
      <c r="NO48" s="292"/>
      <c r="NP48" s="308">
        <f>+NP49*NP55</f>
        <v>0</v>
      </c>
      <c r="NQ48" s="292"/>
      <c r="NR48" s="308">
        <f>+NR49*NR55</f>
        <v>0</v>
      </c>
      <c r="NS48" s="292"/>
      <c r="NT48" s="308">
        <f>+NT49*NT55</f>
        <v>0</v>
      </c>
      <c r="NU48" s="292"/>
      <c r="NV48" s="308">
        <f>+NV49*NV55</f>
        <v>0</v>
      </c>
      <c r="NW48" s="292"/>
      <c r="NX48" s="308">
        <f>+NX49*NX55</f>
        <v>0</v>
      </c>
      <c r="NY48" s="292"/>
      <c r="NZ48" s="308">
        <f>+NZ49*NZ55</f>
        <v>0</v>
      </c>
      <c r="OA48" s="292"/>
      <c r="OB48" s="308">
        <f>+OB49*OB55</f>
        <v>0</v>
      </c>
      <c r="OC48" s="292"/>
      <c r="OD48" s="308">
        <f>+OD49*OD55</f>
        <v>0</v>
      </c>
      <c r="OE48" s="292"/>
      <c r="OF48" s="308">
        <f>+OF49*OF55</f>
        <v>0</v>
      </c>
      <c r="OG48" s="292"/>
      <c r="OH48" s="308">
        <f>+OH49*OH55</f>
        <v>0</v>
      </c>
      <c r="OI48" s="292"/>
      <c r="OJ48" s="308">
        <f>+OJ49*OJ55</f>
        <v>0</v>
      </c>
      <c r="OK48" s="292"/>
      <c r="OL48" s="308">
        <f>+OL49*OL55</f>
        <v>0</v>
      </c>
      <c r="OM48" s="292"/>
      <c r="ON48" s="308">
        <f>+ON49*ON55</f>
        <v>0</v>
      </c>
      <c r="OO48" s="292"/>
      <c r="OP48" s="308">
        <f>+OP49*OP55</f>
        <v>0</v>
      </c>
      <c r="OQ48" s="292"/>
      <c r="OR48" s="308">
        <f>+OR49*OR55</f>
        <v>0</v>
      </c>
      <c r="OS48" s="292"/>
      <c r="OT48" s="308">
        <f>+OT49*OT55</f>
        <v>0</v>
      </c>
      <c r="OU48" s="292"/>
      <c r="OV48" s="308">
        <f>+OV49*OV55</f>
        <v>0</v>
      </c>
      <c r="OW48" s="292"/>
      <c r="OX48" s="308">
        <f>+OX49*OX55</f>
        <v>0</v>
      </c>
      <c r="OY48" s="292"/>
      <c r="OZ48" s="308">
        <f>+OZ49*OZ55</f>
        <v>0</v>
      </c>
      <c r="PA48" s="292"/>
      <c r="PB48" s="308">
        <f>+PB49*PB55</f>
        <v>0</v>
      </c>
      <c r="PC48" s="292"/>
      <c r="PD48" s="308">
        <f>+PD49*PD55</f>
        <v>0</v>
      </c>
      <c r="PE48" s="292"/>
      <c r="PF48" s="308">
        <f>+PF49*PF55</f>
        <v>0</v>
      </c>
      <c r="PG48" s="292"/>
      <c r="PH48" s="308">
        <f>+PH49*PH55</f>
        <v>0</v>
      </c>
      <c r="PI48" s="292"/>
      <c r="PJ48" s="308">
        <f>+PJ49*PJ55</f>
        <v>0</v>
      </c>
      <c r="PK48" s="292"/>
      <c r="PL48" s="308">
        <f>+PL49*PL55</f>
        <v>0</v>
      </c>
      <c r="PM48" s="292"/>
      <c r="PN48" s="308">
        <f>+PN49*PN55</f>
        <v>0</v>
      </c>
      <c r="PO48" s="292"/>
      <c r="PP48" s="308">
        <f>+PP49*PP55</f>
        <v>0</v>
      </c>
      <c r="PR48" s="292"/>
      <c r="PS48" s="308">
        <f>+PS49*PS55</f>
        <v>0</v>
      </c>
      <c r="PT48" s="292"/>
      <c r="PU48" s="308">
        <f>+PU49*PU55</f>
        <v>0</v>
      </c>
      <c r="PV48" s="292"/>
      <c r="PW48" s="308">
        <f>+PW49*PW55</f>
        <v>0</v>
      </c>
      <c r="PX48" s="292"/>
      <c r="PY48" s="308">
        <f>+PY49*PY55</f>
        <v>0</v>
      </c>
      <c r="PZ48" s="292"/>
      <c r="QA48" s="308">
        <f>+QA49*QA55</f>
        <v>0</v>
      </c>
      <c r="QB48" s="292"/>
      <c r="QC48" s="308">
        <f>+QC49*QC55</f>
        <v>0</v>
      </c>
      <c r="QF48" s="292"/>
      <c r="QG48" s="308">
        <f>+QG49*QG55</f>
        <v>0</v>
      </c>
      <c r="QH48" s="292"/>
      <c r="QI48" s="308">
        <f>+QI49*QI55</f>
        <v>0</v>
      </c>
      <c r="QJ48" s="292"/>
      <c r="QK48" s="308">
        <f>+QK49*QK55</f>
        <v>0</v>
      </c>
      <c r="QL48" s="292"/>
      <c r="QM48" s="308">
        <f>+QM49*QM55</f>
        <v>0</v>
      </c>
      <c r="QN48" s="292"/>
      <c r="QO48" s="308">
        <f>+QO49*QO55</f>
        <v>0</v>
      </c>
      <c r="QP48" s="292"/>
      <c r="QQ48" s="308">
        <f>+QQ49*QQ55</f>
        <v>0</v>
      </c>
    </row>
    <row r="49" spans="1:459" x14ac:dyDescent="0.45">
      <c r="A49" s="871"/>
      <c r="B49" s="309" t="s">
        <v>355</v>
      </c>
      <c r="C49" s="310"/>
      <c r="D49" s="311"/>
      <c r="E49" s="231"/>
      <c r="F49" s="312"/>
      <c r="G49" s="313">
        <v>0</v>
      </c>
      <c r="H49" s="312"/>
      <c r="I49" s="313">
        <v>0</v>
      </c>
      <c r="J49" s="312"/>
      <c r="K49" s="313">
        <v>0</v>
      </c>
      <c r="L49" s="312"/>
      <c r="M49" s="313">
        <v>0</v>
      </c>
      <c r="N49" s="312"/>
      <c r="O49" s="313">
        <v>0</v>
      </c>
      <c r="P49" s="312"/>
      <c r="Q49" s="313">
        <v>0</v>
      </c>
      <c r="R49" s="312"/>
      <c r="S49" s="313">
        <v>0</v>
      </c>
      <c r="T49" s="312"/>
      <c r="U49" s="313">
        <v>0</v>
      </c>
      <c r="V49" s="312"/>
      <c r="W49" s="313">
        <v>0</v>
      </c>
      <c r="X49" s="312"/>
      <c r="Y49" s="313">
        <v>0</v>
      </c>
      <c r="Z49" s="312"/>
      <c r="AA49" s="313">
        <v>0</v>
      </c>
      <c r="AB49" s="312"/>
      <c r="AC49" s="313">
        <v>0</v>
      </c>
      <c r="AD49" s="312"/>
      <c r="AE49" s="313">
        <v>0</v>
      </c>
      <c r="AF49" s="312"/>
      <c r="AG49" s="313">
        <v>0</v>
      </c>
      <c r="AH49" s="312"/>
      <c r="AI49" s="313">
        <v>0</v>
      </c>
      <c r="AJ49" s="312"/>
      <c r="AK49" s="313">
        <v>0</v>
      </c>
      <c r="AL49" s="312"/>
      <c r="AM49" s="313">
        <v>0</v>
      </c>
      <c r="AN49" s="312"/>
      <c r="AO49" s="313">
        <v>0</v>
      </c>
      <c r="AP49" s="312"/>
      <c r="AQ49" s="313">
        <v>0</v>
      </c>
      <c r="AR49" s="312"/>
      <c r="AS49" s="313">
        <v>0</v>
      </c>
      <c r="AT49" s="312"/>
      <c r="AU49" s="313">
        <v>0</v>
      </c>
      <c r="AV49" s="312"/>
      <c r="AW49" s="313">
        <v>0</v>
      </c>
      <c r="AX49" s="312"/>
      <c r="AY49" s="313">
        <v>0</v>
      </c>
      <c r="AZ49" s="312"/>
      <c r="BA49" s="313">
        <v>0</v>
      </c>
      <c r="BB49" s="312"/>
      <c r="BC49" s="313">
        <v>0</v>
      </c>
      <c r="BD49" s="312"/>
      <c r="BE49" s="313">
        <v>0</v>
      </c>
      <c r="BF49" s="312"/>
      <c r="BG49" s="313">
        <v>0</v>
      </c>
      <c r="BH49" s="312"/>
      <c r="BI49" s="313">
        <v>0</v>
      </c>
      <c r="BJ49" s="312"/>
      <c r="BK49" s="313">
        <v>0</v>
      </c>
      <c r="BL49" s="312"/>
      <c r="BM49" s="313">
        <v>0</v>
      </c>
      <c r="BN49" s="312"/>
      <c r="BO49" s="313">
        <v>0</v>
      </c>
      <c r="BP49" s="312"/>
      <c r="BQ49" s="313">
        <v>0</v>
      </c>
      <c r="BR49" s="312"/>
      <c r="BS49" s="313">
        <v>0</v>
      </c>
      <c r="BT49" s="312"/>
      <c r="BU49" s="313">
        <v>0</v>
      </c>
      <c r="BV49" s="312"/>
      <c r="BW49" s="313">
        <v>0</v>
      </c>
      <c r="BX49" s="312"/>
      <c r="BY49" s="313">
        <v>0</v>
      </c>
      <c r="BZ49" s="312"/>
      <c r="CA49" s="313">
        <v>0</v>
      </c>
      <c r="CB49" s="312"/>
      <c r="CC49" s="313">
        <v>0</v>
      </c>
      <c r="CD49" s="312"/>
      <c r="CE49" s="313">
        <v>0</v>
      </c>
      <c r="CF49" s="312"/>
      <c r="CG49" s="313">
        <v>0</v>
      </c>
      <c r="CH49" s="312"/>
      <c r="CI49" s="313">
        <v>0</v>
      </c>
      <c r="CJ49" s="312"/>
      <c r="CK49" s="313">
        <v>0</v>
      </c>
      <c r="CL49" s="312"/>
      <c r="CM49" s="313">
        <v>0</v>
      </c>
      <c r="CN49" s="312"/>
      <c r="CO49" s="313">
        <v>0</v>
      </c>
      <c r="CP49" s="312"/>
      <c r="CQ49" s="313">
        <v>0</v>
      </c>
      <c r="CR49" s="312"/>
      <c r="CS49" s="313">
        <v>0</v>
      </c>
      <c r="CT49" s="245"/>
      <c r="CU49" s="312"/>
      <c r="CV49" s="313">
        <v>0</v>
      </c>
      <c r="CW49" s="312"/>
      <c r="CX49" s="313">
        <v>0</v>
      </c>
      <c r="CY49" s="312"/>
      <c r="CZ49" s="313">
        <v>0</v>
      </c>
      <c r="DA49" s="312"/>
      <c r="DB49" s="313">
        <v>0</v>
      </c>
      <c r="DC49" s="312"/>
      <c r="DD49" s="313">
        <v>0</v>
      </c>
      <c r="DE49" s="312"/>
      <c r="DF49" s="313">
        <v>0</v>
      </c>
      <c r="DG49" s="312"/>
      <c r="DH49" s="313">
        <v>0</v>
      </c>
      <c r="DI49" s="312"/>
      <c r="DJ49" s="313">
        <v>0</v>
      </c>
      <c r="DK49" s="312"/>
      <c r="DL49" s="313">
        <v>0</v>
      </c>
      <c r="DM49" s="312"/>
      <c r="DN49" s="313">
        <v>0</v>
      </c>
      <c r="DO49" s="312"/>
      <c r="DP49" s="313">
        <v>0</v>
      </c>
      <c r="DQ49" s="312"/>
      <c r="DR49" s="313">
        <v>0</v>
      </c>
      <c r="DS49" s="312"/>
      <c r="DT49" s="313">
        <v>0</v>
      </c>
      <c r="DU49" s="312"/>
      <c r="DV49" s="313">
        <v>0</v>
      </c>
      <c r="DW49" s="312"/>
      <c r="DX49" s="313">
        <v>0</v>
      </c>
      <c r="DY49" s="312"/>
      <c r="DZ49" s="313">
        <v>0</v>
      </c>
      <c r="EA49" s="312"/>
      <c r="EB49" s="313">
        <v>0</v>
      </c>
      <c r="EC49" s="312"/>
      <c r="ED49" s="313">
        <v>0</v>
      </c>
      <c r="EE49" s="312"/>
      <c r="EF49" s="313">
        <v>0</v>
      </c>
      <c r="EG49" s="312"/>
      <c r="EH49" s="313">
        <v>0</v>
      </c>
      <c r="EI49" s="312"/>
      <c r="EJ49" s="313">
        <v>0</v>
      </c>
      <c r="EK49" s="312"/>
      <c r="EL49" s="313">
        <v>0</v>
      </c>
      <c r="EM49" s="312"/>
      <c r="EN49" s="313">
        <v>0</v>
      </c>
      <c r="EO49" s="312"/>
      <c r="EP49" s="313">
        <v>0</v>
      </c>
      <c r="EQ49" s="312"/>
      <c r="ER49" s="313">
        <v>0</v>
      </c>
      <c r="ES49" s="312"/>
      <c r="ET49" s="313">
        <v>0</v>
      </c>
      <c r="EU49" s="312"/>
      <c r="EV49" s="313">
        <v>0</v>
      </c>
      <c r="EW49" s="312"/>
      <c r="EX49" s="313">
        <v>0</v>
      </c>
      <c r="EY49" s="312"/>
      <c r="EZ49" s="313">
        <v>0</v>
      </c>
      <c r="FA49" s="312"/>
      <c r="FB49" s="313">
        <v>0</v>
      </c>
      <c r="FC49" s="312"/>
      <c r="FD49" s="313">
        <v>0</v>
      </c>
      <c r="FE49" s="312"/>
      <c r="FF49" s="313">
        <v>0</v>
      </c>
      <c r="FG49" s="312"/>
      <c r="FH49" s="313">
        <v>0</v>
      </c>
      <c r="FI49" s="312"/>
      <c r="FJ49" s="313">
        <v>0</v>
      </c>
      <c r="FK49" s="312"/>
      <c r="FL49" s="313">
        <v>0</v>
      </c>
      <c r="FM49" s="312"/>
      <c r="FN49" s="313">
        <v>0</v>
      </c>
      <c r="FO49" s="312"/>
      <c r="FP49" s="313">
        <v>0</v>
      </c>
      <c r="FQ49" s="231"/>
      <c r="FR49" s="312"/>
      <c r="FS49" s="313">
        <v>0</v>
      </c>
      <c r="FT49" s="312"/>
      <c r="FU49" s="313">
        <v>0</v>
      </c>
      <c r="FV49" s="312"/>
      <c r="FW49" s="313">
        <v>0</v>
      </c>
      <c r="FX49" s="312"/>
      <c r="FY49" s="313">
        <v>0</v>
      </c>
      <c r="FZ49" s="312"/>
      <c r="GA49" s="313">
        <v>0</v>
      </c>
      <c r="GB49" s="312"/>
      <c r="GC49" s="313">
        <v>0</v>
      </c>
      <c r="GD49" s="312"/>
      <c r="GE49" s="313">
        <v>0</v>
      </c>
      <c r="GF49" s="312"/>
      <c r="GG49" s="313">
        <v>0</v>
      </c>
      <c r="GH49" s="312"/>
      <c r="GI49" s="313">
        <v>0</v>
      </c>
      <c r="GJ49" s="312"/>
      <c r="GK49" s="313">
        <v>0</v>
      </c>
      <c r="GL49" s="312"/>
      <c r="GM49" s="313">
        <v>0</v>
      </c>
      <c r="GN49" s="312"/>
      <c r="GO49" s="313">
        <v>0</v>
      </c>
      <c r="GP49" s="312"/>
      <c r="GQ49" s="313">
        <v>0</v>
      </c>
      <c r="GR49" s="312"/>
      <c r="GS49" s="313">
        <v>0</v>
      </c>
      <c r="GT49" s="312"/>
      <c r="GU49" s="313">
        <v>0</v>
      </c>
      <c r="GV49" s="312"/>
      <c r="GW49" s="313">
        <v>0</v>
      </c>
      <c r="GX49" s="312"/>
      <c r="GY49" s="313">
        <v>0</v>
      </c>
      <c r="GZ49" s="312"/>
      <c r="HA49" s="313">
        <v>0</v>
      </c>
      <c r="HB49" s="312"/>
      <c r="HC49" s="313">
        <v>0</v>
      </c>
      <c r="HD49" s="312"/>
      <c r="HE49" s="313">
        <v>0</v>
      </c>
      <c r="HF49" s="312"/>
      <c r="HG49" s="313">
        <v>0</v>
      </c>
      <c r="HH49" s="312"/>
      <c r="HI49" s="313">
        <v>0</v>
      </c>
      <c r="HJ49" s="312"/>
      <c r="HK49" s="313">
        <v>0</v>
      </c>
      <c r="HL49" s="312"/>
      <c r="HM49" s="313">
        <v>0</v>
      </c>
      <c r="HN49" s="312"/>
      <c r="HO49" s="313">
        <v>0</v>
      </c>
      <c r="HP49" s="312"/>
      <c r="HQ49" s="313">
        <v>0</v>
      </c>
      <c r="HR49" s="312"/>
      <c r="HS49" s="313">
        <v>0</v>
      </c>
      <c r="HT49" s="312"/>
      <c r="HU49" s="313">
        <v>0</v>
      </c>
      <c r="HV49" s="312"/>
      <c r="HW49" s="313">
        <v>0</v>
      </c>
      <c r="HX49" s="312"/>
      <c r="HY49" s="313">
        <v>0</v>
      </c>
      <c r="HZ49" s="312"/>
      <c r="IA49" s="313">
        <v>0</v>
      </c>
      <c r="IB49" s="312"/>
      <c r="IC49" s="313">
        <v>0</v>
      </c>
      <c r="ID49" s="312"/>
      <c r="IE49" s="313">
        <v>0</v>
      </c>
      <c r="IF49" s="312"/>
      <c r="IG49" s="313">
        <v>0</v>
      </c>
      <c r="IH49" s="312"/>
      <c r="II49" s="313">
        <v>0</v>
      </c>
      <c r="IJ49" s="312"/>
      <c r="IK49" s="313">
        <v>0</v>
      </c>
      <c r="IL49" s="312"/>
      <c r="IM49" s="313">
        <v>0</v>
      </c>
      <c r="IN49" s="312"/>
      <c r="IO49" s="313">
        <v>0</v>
      </c>
      <c r="IP49" s="312"/>
      <c r="IQ49" s="313">
        <v>0</v>
      </c>
      <c r="IR49" s="312"/>
      <c r="IS49" s="313">
        <v>0</v>
      </c>
      <c r="IT49" s="312"/>
      <c r="IU49" s="313">
        <v>0</v>
      </c>
      <c r="IV49" s="312"/>
      <c r="IW49" s="313">
        <v>0</v>
      </c>
      <c r="IX49" s="312"/>
      <c r="IY49" s="313">
        <v>0</v>
      </c>
      <c r="IZ49" s="231"/>
      <c r="JA49" s="312"/>
      <c r="JB49" s="313">
        <v>0</v>
      </c>
      <c r="JC49" s="312"/>
      <c r="JD49" s="313">
        <v>0</v>
      </c>
      <c r="JE49" s="231"/>
      <c r="JF49" s="312"/>
      <c r="JG49" s="313">
        <v>0</v>
      </c>
      <c r="JH49" s="312"/>
      <c r="JI49" s="313">
        <v>0</v>
      </c>
      <c r="JJ49" s="312"/>
      <c r="JK49" s="313">
        <v>0</v>
      </c>
      <c r="JL49" s="312"/>
      <c r="JM49" s="313">
        <v>0</v>
      </c>
      <c r="JN49" s="312"/>
      <c r="JO49" s="313">
        <v>0</v>
      </c>
      <c r="JP49" s="312"/>
      <c r="JQ49" s="313">
        <v>0</v>
      </c>
      <c r="JR49" s="312"/>
      <c r="JS49" s="313">
        <v>0</v>
      </c>
      <c r="JT49" s="312"/>
      <c r="JU49" s="313">
        <v>0</v>
      </c>
      <c r="JV49" s="312"/>
      <c r="JW49" s="313">
        <v>0</v>
      </c>
      <c r="JX49" s="312"/>
      <c r="JY49" s="313">
        <v>0</v>
      </c>
      <c r="JZ49" s="312"/>
      <c r="KA49" s="313">
        <v>0</v>
      </c>
      <c r="KB49" s="312"/>
      <c r="KC49" s="313">
        <v>0</v>
      </c>
      <c r="KD49" s="312"/>
      <c r="KE49" s="313">
        <v>0</v>
      </c>
      <c r="KF49" s="312"/>
      <c r="KG49" s="313">
        <v>0</v>
      </c>
      <c r="KH49" s="312"/>
      <c r="KI49" s="313">
        <v>0</v>
      </c>
      <c r="KJ49" s="312"/>
      <c r="KK49" s="313">
        <v>0</v>
      </c>
      <c r="KL49" s="312"/>
      <c r="KM49" s="313">
        <v>0</v>
      </c>
      <c r="KN49" s="312"/>
      <c r="KO49" s="313">
        <v>0</v>
      </c>
      <c r="KP49" s="312"/>
      <c r="KQ49" s="313">
        <v>0</v>
      </c>
      <c r="KR49" s="312"/>
      <c r="KS49" s="313">
        <v>0</v>
      </c>
      <c r="KT49" s="312"/>
      <c r="KU49" s="313">
        <v>0</v>
      </c>
      <c r="KV49" s="312"/>
      <c r="KW49" s="313">
        <v>0</v>
      </c>
      <c r="KX49" s="312"/>
      <c r="KY49" s="313">
        <v>0</v>
      </c>
      <c r="KZ49" s="312"/>
      <c r="LA49" s="313">
        <v>0</v>
      </c>
      <c r="LB49" s="312"/>
      <c r="LC49" s="313">
        <v>0</v>
      </c>
      <c r="LD49" s="312"/>
      <c r="LE49" s="313">
        <v>0</v>
      </c>
      <c r="LF49" s="312"/>
      <c r="LG49" s="313">
        <v>0</v>
      </c>
      <c r="LH49" s="312"/>
      <c r="LI49" s="313">
        <v>0</v>
      </c>
      <c r="LJ49" s="312"/>
      <c r="LK49" s="313">
        <v>0</v>
      </c>
      <c r="LL49" s="312"/>
      <c r="LM49" s="313">
        <v>0</v>
      </c>
      <c r="LN49" s="312"/>
      <c r="LO49" s="313">
        <v>0</v>
      </c>
      <c r="LP49" s="312"/>
      <c r="LQ49" s="313">
        <v>0</v>
      </c>
      <c r="LR49" s="312"/>
      <c r="LS49" s="313">
        <v>0</v>
      </c>
      <c r="LT49" s="312"/>
      <c r="LU49" s="313">
        <v>0</v>
      </c>
      <c r="LV49" s="312"/>
      <c r="LW49" s="313">
        <v>0</v>
      </c>
      <c r="LX49" s="312"/>
      <c r="LY49" s="313">
        <v>0</v>
      </c>
      <c r="LZ49" s="312"/>
      <c r="MA49" s="313">
        <v>0</v>
      </c>
      <c r="MB49" s="312"/>
      <c r="MC49" s="313">
        <v>0</v>
      </c>
      <c r="MD49" s="312"/>
      <c r="ME49" s="313">
        <v>0</v>
      </c>
      <c r="MF49" s="312"/>
      <c r="MG49" s="313">
        <v>0</v>
      </c>
      <c r="MH49" s="231"/>
      <c r="MI49" s="312"/>
      <c r="MJ49" s="313">
        <v>0</v>
      </c>
      <c r="MK49" s="312"/>
      <c r="ML49" s="313">
        <v>0</v>
      </c>
      <c r="MM49" s="312"/>
      <c r="MN49" s="313">
        <v>0</v>
      </c>
      <c r="MO49" s="312"/>
      <c r="MP49" s="313">
        <v>0</v>
      </c>
      <c r="MQ49" s="312"/>
      <c r="MR49" s="313">
        <v>0</v>
      </c>
      <c r="MS49" s="312"/>
      <c r="MT49" s="313">
        <v>0</v>
      </c>
      <c r="MU49" s="312"/>
      <c r="MV49" s="313">
        <v>0</v>
      </c>
      <c r="MW49" s="312"/>
      <c r="MX49" s="313">
        <v>0</v>
      </c>
      <c r="MY49" s="312"/>
      <c r="MZ49" s="313">
        <v>0</v>
      </c>
      <c r="NA49" s="312"/>
      <c r="NB49" s="313">
        <v>0</v>
      </c>
      <c r="NC49" s="312"/>
      <c r="ND49" s="313">
        <v>0</v>
      </c>
      <c r="NE49" s="312"/>
      <c r="NF49" s="313">
        <v>0</v>
      </c>
      <c r="NG49" s="312"/>
      <c r="NH49" s="313">
        <v>0</v>
      </c>
      <c r="NI49" s="312"/>
      <c r="NJ49" s="313">
        <v>0</v>
      </c>
      <c r="NK49" s="312"/>
      <c r="NL49" s="313">
        <v>0</v>
      </c>
      <c r="NM49" s="312"/>
      <c r="NN49" s="313">
        <v>0</v>
      </c>
      <c r="NO49" s="312"/>
      <c r="NP49" s="313">
        <v>0</v>
      </c>
      <c r="NQ49" s="312"/>
      <c r="NR49" s="313">
        <v>0</v>
      </c>
      <c r="NS49" s="312"/>
      <c r="NT49" s="313">
        <v>0</v>
      </c>
      <c r="NU49" s="312"/>
      <c r="NV49" s="313">
        <v>0</v>
      </c>
      <c r="NW49" s="312"/>
      <c r="NX49" s="313">
        <v>0</v>
      </c>
      <c r="NY49" s="312"/>
      <c r="NZ49" s="313">
        <v>0</v>
      </c>
      <c r="OA49" s="312"/>
      <c r="OB49" s="313">
        <v>0</v>
      </c>
      <c r="OC49" s="312"/>
      <c r="OD49" s="313">
        <v>0</v>
      </c>
      <c r="OE49" s="312"/>
      <c r="OF49" s="313">
        <v>0</v>
      </c>
      <c r="OG49" s="312"/>
      <c r="OH49" s="313">
        <v>0</v>
      </c>
      <c r="OI49" s="312"/>
      <c r="OJ49" s="313">
        <v>0</v>
      </c>
      <c r="OK49" s="312"/>
      <c r="OL49" s="313">
        <v>0</v>
      </c>
      <c r="OM49" s="312"/>
      <c r="ON49" s="313">
        <v>0</v>
      </c>
      <c r="OO49" s="312"/>
      <c r="OP49" s="313">
        <v>0</v>
      </c>
      <c r="OQ49" s="312"/>
      <c r="OR49" s="313">
        <v>0</v>
      </c>
      <c r="OS49" s="312"/>
      <c r="OT49" s="313">
        <v>0</v>
      </c>
      <c r="OU49" s="312"/>
      <c r="OV49" s="313">
        <v>0</v>
      </c>
      <c r="OW49" s="312"/>
      <c r="OX49" s="313">
        <v>0</v>
      </c>
      <c r="OY49" s="312"/>
      <c r="OZ49" s="313">
        <v>0</v>
      </c>
      <c r="PA49" s="312"/>
      <c r="PB49" s="313">
        <v>0</v>
      </c>
      <c r="PC49" s="312"/>
      <c r="PD49" s="313">
        <v>0</v>
      </c>
      <c r="PE49" s="312"/>
      <c r="PF49" s="313">
        <v>0</v>
      </c>
      <c r="PG49" s="312"/>
      <c r="PH49" s="313">
        <v>0</v>
      </c>
      <c r="PI49" s="312"/>
      <c r="PJ49" s="313">
        <v>0</v>
      </c>
      <c r="PK49" s="312"/>
      <c r="PL49" s="313">
        <v>0</v>
      </c>
      <c r="PM49" s="312"/>
      <c r="PN49" s="313">
        <v>0</v>
      </c>
      <c r="PO49" s="312"/>
      <c r="PP49" s="313">
        <v>0</v>
      </c>
      <c r="PQ49" s="236"/>
      <c r="PR49" s="312"/>
      <c r="PS49" s="313">
        <v>0</v>
      </c>
      <c r="PT49" s="312"/>
      <c r="PU49" s="313">
        <v>0</v>
      </c>
      <c r="PV49" s="312"/>
      <c r="PW49" s="313">
        <v>0</v>
      </c>
      <c r="PX49" s="312"/>
      <c r="PY49" s="313">
        <v>0</v>
      </c>
      <c r="PZ49" s="312"/>
      <c r="QA49" s="313">
        <v>0</v>
      </c>
      <c r="QB49" s="312"/>
      <c r="QC49" s="313">
        <v>0</v>
      </c>
      <c r="QD49" s="236"/>
      <c r="QE49" s="236"/>
      <c r="QF49" s="312"/>
      <c r="QG49" s="313">
        <v>0</v>
      </c>
      <c r="QH49" s="312"/>
      <c r="QI49" s="313">
        <v>0</v>
      </c>
      <c r="QJ49" s="312"/>
      <c r="QK49" s="313">
        <v>0</v>
      </c>
      <c r="QL49" s="312"/>
      <c r="QM49" s="313">
        <v>0</v>
      </c>
      <c r="QN49" s="312"/>
      <c r="QO49" s="313">
        <v>0</v>
      </c>
      <c r="QP49" s="312"/>
      <c r="QQ49" s="313">
        <v>0</v>
      </c>
    </row>
    <row r="50" spans="1:459" x14ac:dyDescent="0.45">
      <c r="A50" s="871"/>
      <c r="B50" s="180" t="s">
        <v>356</v>
      </c>
      <c r="C50" s="181"/>
      <c r="D50" s="199" t="s">
        <v>353</v>
      </c>
      <c r="E50" s="186"/>
      <c r="F50" s="314"/>
      <c r="G50" s="308">
        <f>250/G66</f>
        <v>6.5104166666666671E-2</v>
      </c>
      <c r="H50" s="314"/>
      <c r="I50" s="308">
        <f>250/I66</f>
        <v>6.5104166666666671E-2</v>
      </c>
      <c r="J50" s="314"/>
      <c r="K50" s="308">
        <f>250/K66</f>
        <v>6.5104166666666671E-2</v>
      </c>
      <c r="L50" s="314"/>
      <c r="M50" s="308">
        <f>250/M66</f>
        <v>6.5104166666666671E-2</v>
      </c>
      <c r="N50" s="314"/>
      <c r="O50" s="308">
        <f>250/O66</f>
        <v>6.5104166666666671E-2</v>
      </c>
      <c r="P50" s="314"/>
      <c r="Q50" s="308">
        <f>250/Q66</f>
        <v>6.5104166666666671E-2</v>
      </c>
      <c r="R50" s="314"/>
      <c r="S50" s="308">
        <f>250/S66</f>
        <v>6.5104166666666671E-2</v>
      </c>
      <c r="T50" s="314"/>
      <c r="U50" s="308">
        <f>250/U66</f>
        <v>6.5104166666666671E-2</v>
      </c>
      <c r="V50" s="314"/>
      <c r="W50" s="308">
        <f>250/W66</f>
        <v>6.5104166666666671E-2</v>
      </c>
      <c r="X50" s="314"/>
      <c r="Y50" s="308">
        <f>250/Y66</f>
        <v>6.5104166666666671E-2</v>
      </c>
      <c r="Z50" s="314"/>
      <c r="AA50" s="308">
        <f>250/AA66</f>
        <v>6.5104166666666671E-2</v>
      </c>
      <c r="AB50" s="314"/>
      <c r="AC50" s="308">
        <f>250/AC66</f>
        <v>6.5104166666666671E-2</v>
      </c>
      <c r="AD50" s="314"/>
      <c r="AE50" s="308">
        <f>250/AE66</f>
        <v>6.5104166666666671E-2</v>
      </c>
      <c r="AF50" s="314"/>
      <c r="AG50" s="308">
        <f>250/AG66</f>
        <v>6.5104166666666671E-2</v>
      </c>
      <c r="AH50" s="314"/>
      <c r="AI50" s="308">
        <f>250/AI66</f>
        <v>6.5104166666666671E-2</v>
      </c>
      <c r="AJ50" s="314"/>
      <c r="AK50" s="308">
        <f>250/AK66</f>
        <v>6.5104166666666671E-2</v>
      </c>
      <c r="AL50" s="314"/>
      <c r="AM50" s="308">
        <f>250/AM66</f>
        <v>6.5104166666666671E-2</v>
      </c>
      <c r="AN50" s="314"/>
      <c r="AO50" s="308">
        <f>250/AO66</f>
        <v>6.5104166666666671E-2</v>
      </c>
      <c r="AP50" s="314"/>
      <c r="AQ50" s="308">
        <f>250/AQ66</f>
        <v>6.5104166666666671E-2</v>
      </c>
      <c r="AR50" s="314"/>
      <c r="AS50" s="308">
        <f>250/AS66</f>
        <v>6.5104166666666671E-2</v>
      </c>
      <c r="AT50" s="314"/>
      <c r="AU50" s="308">
        <f>250/AU66</f>
        <v>6.5104166666666671E-2</v>
      </c>
      <c r="AV50" s="314"/>
      <c r="AW50" s="308">
        <f>250/AW66</f>
        <v>6.5104166666666671E-2</v>
      </c>
      <c r="AX50" s="314"/>
      <c r="AY50" s="308">
        <f>250/AY66</f>
        <v>6.5104166666666671E-2</v>
      </c>
      <c r="AZ50" s="314"/>
      <c r="BA50" s="308">
        <f>250/BA66</f>
        <v>6.5104166666666671E-2</v>
      </c>
      <c r="BB50" s="314"/>
      <c r="BC50" s="308">
        <f>250/BC66</f>
        <v>6.5104166666666671E-2</v>
      </c>
      <c r="BD50" s="314"/>
      <c r="BE50" s="308">
        <f>250/BE66</f>
        <v>6.5104166666666671E-2</v>
      </c>
      <c r="BF50" s="314"/>
      <c r="BG50" s="308">
        <f>250/BG66</f>
        <v>6.5104166666666671E-2</v>
      </c>
      <c r="BH50" s="314"/>
      <c r="BI50" s="308">
        <f>250/BI66</f>
        <v>6.5104166666666671E-2</v>
      </c>
      <c r="BJ50" s="314"/>
      <c r="BK50" s="308">
        <f>250/BK66</f>
        <v>6.5104166666666671E-2</v>
      </c>
      <c r="BL50" s="314"/>
      <c r="BM50" s="308">
        <f>250/BM66</f>
        <v>6.5104166666666671E-2</v>
      </c>
      <c r="BN50" s="314"/>
      <c r="BO50" s="308">
        <f>250/BO66</f>
        <v>6.5104166666666671E-2</v>
      </c>
      <c r="BP50" s="314"/>
      <c r="BQ50" s="308">
        <f>250/BQ66</f>
        <v>6.5104166666666671E-2</v>
      </c>
      <c r="BR50" s="314"/>
      <c r="BS50" s="308">
        <f>250/BS66</f>
        <v>6.5104166666666671E-2</v>
      </c>
      <c r="BT50" s="314"/>
      <c r="BU50" s="308">
        <f>250/BU66</f>
        <v>6.5104166666666671E-2</v>
      </c>
      <c r="BV50" s="314"/>
      <c r="BW50" s="308">
        <f>250/BW66</f>
        <v>6.5104166666666671E-2</v>
      </c>
      <c r="BX50" s="314"/>
      <c r="BY50" s="308">
        <f>250/BY66</f>
        <v>6.5104166666666671E-2</v>
      </c>
      <c r="BZ50" s="314"/>
      <c r="CA50" s="308">
        <f>250/CA66</f>
        <v>6.5104166666666671E-2</v>
      </c>
      <c r="CB50" s="314"/>
      <c r="CC50" s="308">
        <f>250/CC66</f>
        <v>6.5104166666666671E-2</v>
      </c>
      <c r="CD50" s="314"/>
      <c r="CE50" s="308">
        <f>250/CE66</f>
        <v>6.5104166666666671E-2</v>
      </c>
      <c r="CF50" s="314"/>
      <c r="CG50" s="308">
        <f>250/CG66</f>
        <v>6.5104166666666671E-2</v>
      </c>
      <c r="CH50" s="314"/>
      <c r="CI50" s="308">
        <f>250/CI66</f>
        <v>6.5104166666666671E-2</v>
      </c>
      <c r="CJ50" s="314"/>
      <c r="CK50" s="308">
        <f>250/CK66</f>
        <v>6.5104166666666671E-2</v>
      </c>
      <c r="CL50" s="314"/>
      <c r="CM50" s="308">
        <f>250/CM66</f>
        <v>6.5104166666666671E-2</v>
      </c>
      <c r="CN50" s="314"/>
      <c r="CO50" s="308">
        <f>250/CO66</f>
        <v>6.5104166666666671E-2</v>
      </c>
      <c r="CP50" s="314"/>
      <c r="CQ50" s="308">
        <f>250/CQ66</f>
        <v>6.5104166666666671E-2</v>
      </c>
      <c r="CR50" s="314"/>
      <c r="CS50" s="308">
        <f>250/CS66</f>
        <v>6.5104166666666671E-2</v>
      </c>
      <c r="CT50" s="201"/>
      <c r="CU50" s="314"/>
      <c r="CV50" s="308">
        <f>250/CV66</f>
        <v>0.10473397570171764</v>
      </c>
      <c r="CW50" s="314"/>
      <c r="CX50" s="308">
        <f>250/CX66</f>
        <v>0.10473397570171764</v>
      </c>
      <c r="CY50" s="314"/>
      <c r="CZ50" s="308">
        <f>250/CZ66</f>
        <v>0.10473397570171764</v>
      </c>
      <c r="DA50" s="314"/>
      <c r="DB50" s="308">
        <f>250/DB66</f>
        <v>0.10473397570171764</v>
      </c>
      <c r="DC50" s="314"/>
      <c r="DD50" s="308">
        <f>250/DD66</f>
        <v>0.10473397570171764</v>
      </c>
      <c r="DE50" s="314"/>
      <c r="DF50" s="308">
        <f>250/DF66</f>
        <v>0.10473397570171764</v>
      </c>
      <c r="DG50" s="314"/>
      <c r="DH50" s="308">
        <f>250/DH66</f>
        <v>0.10473397570171764</v>
      </c>
      <c r="DI50" s="314"/>
      <c r="DJ50" s="308">
        <f>250/DJ66</f>
        <v>0.10473397570171764</v>
      </c>
      <c r="DK50" s="314"/>
      <c r="DL50" s="308">
        <f>250/DL66</f>
        <v>0.10473397570171764</v>
      </c>
      <c r="DM50" s="314"/>
      <c r="DN50" s="308">
        <f>250/DN66</f>
        <v>0.10473397570171764</v>
      </c>
      <c r="DO50" s="314"/>
      <c r="DP50" s="308">
        <f>250/DP66</f>
        <v>0.10473397570171764</v>
      </c>
      <c r="DQ50" s="314"/>
      <c r="DR50" s="308">
        <f>250/DR66</f>
        <v>0.10473397570171764</v>
      </c>
      <c r="DS50" s="314"/>
      <c r="DT50" s="308">
        <f>250/DT66</f>
        <v>0.10473397570171764</v>
      </c>
      <c r="DU50" s="314"/>
      <c r="DV50" s="308">
        <f>250/DV66</f>
        <v>0.10473397570171764</v>
      </c>
      <c r="DW50" s="314"/>
      <c r="DX50" s="308">
        <f>250/DX66</f>
        <v>0.10473397570171764</v>
      </c>
      <c r="DY50" s="314"/>
      <c r="DZ50" s="308">
        <f>250/DZ66</f>
        <v>0.10473397570171764</v>
      </c>
      <c r="EA50" s="314"/>
      <c r="EB50" s="308">
        <f>250/EB66</f>
        <v>0.10473397570171764</v>
      </c>
      <c r="EC50" s="314"/>
      <c r="ED50" s="308">
        <f>250/ED66</f>
        <v>0.10473397570171764</v>
      </c>
      <c r="EE50" s="314"/>
      <c r="EF50" s="308">
        <f>250/EF66</f>
        <v>0.10473397570171764</v>
      </c>
      <c r="EG50" s="314"/>
      <c r="EH50" s="308">
        <f>250/EH66</f>
        <v>0.10473397570171764</v>
      </c>
      <c r="EI50" s="314"/>
      <c r="EJ50" s="308">
        <f>250/EJ66</f>
        <v>0.10473397570171764</v>
      </c>
      <c r="EK50" s="314"/>
      <c r="EL50" s="308">
        <f>250/EL66</f>
        <v>0.10473397570171764</v>
      </c>
      <c r="EM50" s="314"/>
      <c r="EN50" s="308">
        <f>250/EN66</f>
        <v>0.10473397570171764</v>
      </c>
      <c r="EO50" s="314"/>
      <c r="EP50" s="308">
        <f>250/EP66</f>
        <v>0.10473397570171764</v>
      </c>
      <c r="EQ50" s="314"/>
      <c r="ER50" s="308">
        <f>250/ER66</f>
        <v>0.10473397570171764</v>
      </c>
      <c r="ES50" s="314"/>
      <c r="ET50" s="308">
        <f>250/ET66</f>
        <v>0.10473397570171764</v>
      </c>
      <c r="EU50" s="314"/>
      <c r="EV50" s="308">
        <f>250/EV66</f>
        <v>0.10473397570171764</v>
      </c>
      <c r="EW50" s="314"/>
      <c r="EX50" s="308">
        <f>250/EX66</f>
        <v>0.10473397570171764</v>
      </c>
      <c r="EY50" s="314"/>
      <c r="EZ50" s="308">
        <f>250/EZ66</f>
        <v>0.10473397570171764</v>
      </c>
      <c r="FA50" s="314"/>
      <c r="FB50" s="308">
        <f>250/FB66</f>
        <v>0.10473397570171764</v>
      </c>
      <c r="FC50" s="314"/>
      <c r="FD50" s="308">
        <f>250/FD66</f>
        <v>0.10473397570171764</v>
      </c>
      <c r="FE50" s="314"/>
      <c r="FF50" s="308">
        <f>250/FF66</f>
        <v>0.10473397570171764</v>
      </c>
      <c r="FG50" s="314"/>
      <c r="FH50" s="308">
        <f>250/FH66</f>
        <v>0.10473397570171764</v>
      </c>
      <c r="FI50" s="314"/>
      <c r="FJ50" s="308">
        <f>250/FJ66</f>
        <v>0.10473397570171764</v>
      </c>
      <c r="FK50" s="314"/>
      <c r="FL50" s="308">
        <f>250/FL66</f>
        <v>0.10473397570171764</v>
      </c>
      <c r="FM50" s="314"/>
      <c r="FN50" s="308">
        <f>250/FN66</f>
        <v>0.10473397570171764</v>
      </c>
      <c r="FO50" s="314"/>
      <c r="FP50" s="308">
        <f>250/FP66</f>
        <v>0.10473397570171764</v>
      </c>
      <c r="FQ50" s="186"/>
      <c r="FR50" s="314"/>
      <c r="FS50" s="308">
        <f>250/FS66</f>
        <v>6.5104166666666671E-2</v>
      </c>
      <c r="FT50" s="314"/>
      <c r="FU50" s="308">
        <f>250/FU66</f>
        <v>6.5104166666666671E-2</v>
      </c>
      <c r="FV50" s="314"/>
      <c r="FW50" s="308">
        <f>250/FW66</f>
        <v>6.5104166666666671E-2</v>
      </c>
      <c r="FX50" s="314"/>
      <c r="FY50" s="308">
        <f>250/FY66</f>
        <v>6.5104166666666671E-2</v>
      </c>
      <c r="FZ50" s="314"/>
      <c r="GA50" s="308">
        <f>250/GA66</f>
        <v>6.5104166666666671E-2</v>
      </c>
      <c r="GB50" s="314"/>
      <c r="GC50" s="308">
        <f>250/GC66</f>
        <v>6.5104166666666671E-2</v>
      </c>
      <c r="GD50" s="314"/>
      <c r="GE50" s="308">
        <f>250/GE66</f>
        <v>6.5104166666666671E-2</v>
      </c>
      <c r="GF50" s="314"/>
      <c r="GG50" s="308">
        <f>250/GG66</f>
        <v>6.5104166666666671E-2</v>
      </c>
      <c r="GH50" s="314"/>
      <c r="GI50" s="308">
        <f>250/GI66</f>
        <v>6.5104166666666671E-2</v>
      </c>
      <c r="GJ50" s="314"/>
      <c r="GK50" s="308">
        <f>250/GK66</f>
        <v>6.5104166666666671E-2</v>
      </c>
      <c r="GL50" s="314"/>
      <c r="GM50" s="308">
        <f>250/GM66</f>
        <v>6.5104166666666671E-2</v>
      </c>
      <c r="GN50" s="314"/>
      <c r="GO50" s="308">
        <f>250/GO66</f>
        <v>6.5104166666666671E-2</v>
      </c>
      <c r="GP50" s="314"/>
      <c r="GQ50" s="308">
        <f>250/GQ66</f>
        <v>6.5104166666666671E-2</v>
      </c>
      <c r="GR50" s="314"/>
      <c r="GS50" s="308">
        <f>250/GS66</f>
        <v>6.5104166666666671E-2</v>
      </c>
      <c r="GT50" s="314"/>
      <c r="GU50" s="308">
        <f>250/GU66</f>
        <v>6.5104166666666671E-2</v>
      </c>
      <c r="GV50" s="314"/>
      <c r="GW50" s="308">
        <f>250/GW66</f>
        <v>6.5104166666666671E-2</v>
      </c>
      <c r="GX50" s="314"/>
      <c r="GY50" s="308">
        <f>250/GY66</f>
        <v>6.5104166666666671E-2</v>
      </c>
      <c r="GZ50" s="314"/>
      <c r="HA50" s="308">
        <f>250/HA66</f>
        <v>6.5104166666666671E-2</v>
      </c>
      <c r="HB50" s="314"/>
      <c r="HC50" s="308">
        <f>250/HC66</f>
        <v>6.5104166666666671E-2</v>
      </c>
      <c r="HD50" s="314"/>
      <c r="HE50" s="308">
        <f>250/HE66</f>
        <v>6.5104166666666671E-2</v>
      </c>
      <c r="HF50" s="314"/>
      <c r="HG50" s="308">
        <f>250/HG66</f>
        <v>6.5104166666666671E-2</v>
      </c>
      <c r="HH50" s="314"/>
      <c r="HI50" s="308">
        <f>250/HI66</f>
        <v>6.5104166666666671E-2</v>
      </c>
      <c r="HJ50" s="314"/>
      <c r="HK50" s="308">
        <f>250/HK66</f>
        <v>6.5104166666666671E-2</v>
      </c>
      <c r="HL50" s="314"/>
      <c r="HM50" s="308">
        <f>250/HM66</f>
        <v>6.5104166666666671E-2</v>
      </c>
      <c r="HN50" s="314"/>
      <c r="HO50" s="308">
        <f>250/HO66</f>
        <v>6.5104166666666671E-2</v>
      </c>
      <c r="HP50" s="314"/>
      <c r="HQ50" s="308">
        <f>250/HQ66</f>
        <v>6.5104166666666671E-2</v>
      </c>
      <c r="HR50" s="314"/>
      <c r="HS50" s="308">
        <f>250/HS66</f>
        <v>6.5104166666666671E-2</v>
      </c>
      <c r="HT50" s="314"/>
      <c r="HU50" s="308">
        <f>250/HU66</f>
        <v>6.5104166666666671E-2</v>
      </c>
      <c r="HV50" s="314"/>
      <c r="HW50" s="308">
        <f>250/HW66</f>
        <v>6.5104166666666671E-2</v>
      </c>
      <c r="HX50" s="314"/>
      <c r="HY50" s="308">
        <f>250/HY66</f>
        <v>6.5104166666666671E-2</v>
      </c>
      <c r="HZ50" s="314"/>
      <c r="IA50" s="308">
        <f>250/IA66</f>
        <v>6.5104166666666671E-2</v>
      </c>
      <c r="IB50" s="314"/>
      <c r="IC50" s="308">
        <f>250/IC66</f>
        <v>6.5104166666666671E-2</v>
      </c>
      <c r="ID50" s="314"/>
      <c r="IE50" s="308">
        <f>250/IE66</f>
        <v>6.5104166666666671E-2</v>
      </c>
      <c r="IF50" s="314"/>
      <c r="IG50" s="308">
        <f>250/IG66</f>
        <v>6.5104166666666671E-2</v>
      </c>
      <c r="IH50" s="314"/>
      <c r="II50" s="308">
        <f>250/II66</f>
        <v>6.5104166666666671E-2</v>
      </c>
      <c r="IJ50" s="314"/>
      <c r="IK50" s="308">
        <f>250/IK66</f>
        <v>6.5104166666666671E-2</v>
      </c>
      <c r="IL50" s="314"/>
      <c r="IM50" s="308">
        <f>250/IM66</f>
        <v>6.5104166666666671E-2</v>
      </c>
      <c r="IN50" s="314"/>
      <c r="IO50" s="308">
        <f>250/IO66</f>
        <v>6.5104166666666671E-2</v>
      </c>
      <c r="IP50" s="314"/>
      <c r="IQ50" s="308">
        <f>250/IQ66</f>
        <v>6.5104166666666671E-2</v>
      </c>
      <c r="IR50" s="314"/>
      <c r="IS50" s="308">
        <f>250/IS66</f>
        <v>6.5104166666666671E-2</v>
      </c>
      <c r="IT50" s="314"/>
      <c r="IU50" s="308">
        <f>250/IU66</f>
        <v>6.5104166666666671E-2</v>
      </c>
      <c r="IV50" s="314"/>
      <c r="IW50" s="308">
        <f>250/IW66</f>
        <v>6.5104166666666671E-2</v>
      </c>
      <c r="IX50" s="314"/>
      <c r="IY50" s="308">
        <f>250/IY66</f>
        <v>6.5104166666666671E-2</v>
      </c>
      <c r="IZ50" s="186"/>
      <c r="JA50" s="314"/>
      <c r="JB50" s="308">
        <f>250/JB66</f>
        <v>6.5104166666666671E-2</v>
      </c>
      <c r="JC50" s="314"/>
      <c r="JD50" s="308">
        <f>250/JD66</f>
        <v>6.5104166666666671E-2</v>
      </c>
      <c r="JE50" s="186"/>
      <c r="JF50" s="314"/>
      <c r="JG50" s="308">
        <f>250/JG66</f>
        <v>5.9523809523809521E-2</v>
      </c>
      <c r="JH50" s="314"/>
      <c r="JI50" s="308">
        <f>250/JI66</f>
        <v>5.9523809523809521E-2</v>
      </c>
      <c r="JJ50" s="314"/>
      <c r="JK50" s="308">
        <f>250/JK66</f>
        <v>5.9523809523809521E-2</v>
      </c>
      <c r="JL50" s="314"/>
      <c r="JM50" s="308">
        <f>250/JM66</f>
        <v>5.9523809523809521E-2</v>
      </c>
      <c r="JN50" s="314"/>
      <c r="JO50" s="308">
        <f>250/JO66</f>
        <v>5.9523809523809521E-2</v>
      </c>
      <c r="JP50" s="314"/>
      <c r="JQ50" s="308">
        <f>250/JQ66</f>
        <v>5.9523809523809521E-2</v>
      </c>
      <c r="JR50" s="314"/>
      <c r="JS50" s="308">
        <f>250/JS66</f>
        <v>5.9523809523809521E-2</v>
      </c>
      <c r="JT50" s="314"/>
      <c r="JU50" s="308">
        <f>250/JU66</f>
        <v>5.9523809523809521E-2</v>
      </c>
      <c r="JV50" s="314"/>
      <c r="JW50" s="308">
        <f>250/JW66</f>
        <v>6.4935064935064929E-2</v>
      </c>
      <c r="JX50" s="314"/>
      <c r="JY50" s="308">
        <f>250/JY66</f>
        <v>6.4935064935064929E-2</v>
      </c>
      <c r="JZ50" s="314"/>
      <c r="KA50" s="308">
        <f>250/KA66</f>
        <v>6.4935064935064929E-2</v>
      </c>
      <c r="KB50" s="314"/>
      <c r="KC50" s="308">
        <f>250/KC66</f>
        <v>6.4935064935064929E-2</v>
      </c>
      <c r="KD50" s="314"/>
      <c r="KE50" s="308">
        <f>250/KE66</f>
        <v>6.4935064935064929E-2</v>
      </c>
      <c r="KF50" s="314"/>
      <c r="KG50" s="308">
        <f>250/KG66</f>
        <v>6.4935064935064929E-2</v>
      </c>
      <c r="KH50" s="314"/>
      <c r="KI50" s="308">
        <f>250/KI66</f>
        <v>6.4935064935064929E-2</v>
      </c>
      <c r="KJ50" s="314"/>
      <c r="KK50" s="308">
        <f>250/KK66</f>
        <v>6.4935064935064929E-2</v>
      </c>
      <c r="KL50" s="314"/>
      <c r="KM50" s="308">
        <f>250/KM66</f>
        <v>6.4935064935064929E-2</v>
      </c>
      <c r="KN50" s="314"/>
      <c r="KO50" s="308">
        <f>250/KO66</f>
        <v>6.4935064935064929E-2</v>
      </c>
      <c r="KP50" s="314"/>
      <c r="KQ50" s="308">
        <f>250/KQ66</f>
        <v>6.4935064935064929E-2</v>
      </c>
      <c r="KR50" s="314"/>
      <c r="KS50" s="308">
        <f>250/KS66</f>
        <v>6.4935064935064929E-2</v>
      </c>
      <c r="KT50" s="314"/>
      <c r="KU50" s="308">
        <f>250/KU66</f>
        <v>6.4935064935064929E-2</v>
      </c>
      <c r="KV50" s="314"/>
      <c r="KW50" s="308">
        <f>250/KW66</f>
        <v>6.4935064935064929E-2</v>
      </c>
      <c r="KX50" s="314"/>
      <c r="KY50" s="308">
        <f>250/KY66</f>
        <v>6.4935064935064929E-2</v>
      </c>
      <c r="KZ50" s="314"/>
      <c r="LA50" s="308">
        <f>250/LA66</f>
        <v>6.4935064935064929E-2</v>
      </c>
      <c r="LB50" s="314"/>
      <c r="LC50" s="308">
        <f>250/LC66</f>
        <v>6.4935064935064929E-2</v>
      </c>
      <c r="LD50" s="314"/>
      <c r="LE50" s="308">
        <f>250/LE66</f>
        <v>6.4935064935064929E-2</v>
      </c>
      <c r="LF50" s="314"/>
      <c r="LG50" s="308">
        <f>250/LG66</f>
        <v>6.4935064935064929E-2</v>
      </c>
      <c r="LH50" s="314"/>
      <c r="LI50" s="308">
        <f>250/LI66</f>
        <v>6.4935064935064929E-2</v>
      </c>
      <c r="LJ50" s="314"/>
      <c r="LK50" s="308">
        <f>250/LK66</f>
        <v>6.4935064935064929E-2</v>
      </c>
      <c r="LL50" s="314"/>
      <c r="LM50" s="308">
        <f>250/LM66</f>
        <v>6.4935064935064929E-2</v>
      </c>
      <c r="LN50" s="314"/>
      <c r="LO50" s="308">
        <f>250/LO66</f>
        <v>6.4935064935064929E-2</v>
      </c>
      <c r="LP50" s="314"/>
      <c r="LQ50" s="308">
        <f>250/LQ66</f>
        <v>6.4935064935064929E-2</v>
      </c>
      <c r="LR50" s="314"/>
      <c r="LS50" s="308">
        <f>250/LS66</f>
        <v>6.4935064935064929E-2</v>
      </c>
      <c r="LT50" s="314"/>
      <c r="LU50" s="308">
        <f>250/LU66</f>
        <v>6.4935064935064929E-2</v>
      </c>
      <c r="LV50" s="314"/>
      <c r="LW50" s="308">
        <f>250/LW66</f>
        <v>6.4935064935064929E-2</v>
      </c>
      <c r="LX50" s="314"/>
      <c r="LY50" s="308">
        <f>250/LY66</f>
        <v>6.4935064935064929E-2</v>
      </c>
      <c r="LZ50" s="314"/>
      <c r="MA50" s="308">
        <f>250/MA66</f>
        <v>6.4935064935064929E-2</v>
      </c>
      <c r="MB50" s="314"/>
      <c r="MC50" s="308">
        <f>250/MC66</f>
        <v>6.4935064935064929E-2</v>
      </c>
      <c r="MD50" s="314"/>
      <c r="ME50" s="308">
        <f>250/ME66</f>
        <v>6.4935064935064929E-2</v>
      </c>
      <c r="MF50" s="314"/>
      <c r="MG50" s="308">
        <f>250/MG66</f>
        <v>6.4935064935064929E-2</v>
      </c>
      <c r="MH50" s="186"/>
      <c r="MI50" s="314"/>
      <c r="MJ50" s="308">
        <f>250/MJ66</f>
        <v>6.0768108896451144E-2</v>
      </c>
      <c r="MK50" s="314"/>
      <c r="ML50" s="308">
        <f>250/ML66</f>
        <v>6.0768108896451144E-2</v>
      </c>
      <c r="MM50" s="314"/>
      <c r="MN50" s="308">
        <f>250/MN66</f>
        <v>6.0768108896451144E-2</v>
      </c>
      <c r="MO50" s="314"/>
      <c r="MP50" s="308">
        <f>250/MP66</f>
        <v>6.0768108896451144E-2</v>
      </c>
      <c r="MQ50" s="314"/>
      <c r="MR50" s="308">
        <f>250/MR66</f>
        <v>6.0768108896451144E-2</v>
      </c>
      <c r="MS50" s="314"/>
      <c r="MT50" s="308">
        <f>250/MT66</f>
        <v>6.0768108896451144E-2</v>
      </c>
      <c r="MU50" s="314"/>
      <c r="MV50" s="308">
        <f>250/MV66</f>
        <v>6.0768108896451144E-2</v>
      </c>
      <c r="MW50" s="314"/>
      <c r="MX50" s="308">
        <f>250/MX66</f>
        <v>6.0768108896451144E-2</v>
      </c>
      <c r="MY50" s="314"/>
      <c r="MZ50" s="308">
        <f>250/MZ66</f>
        <v>6.0768108896451144E-2</v>
      </c>
      <c r="NA50" s="314"/>
      <c r="NB50" s="308">
        <f>250/NB66</f>
        <v>6.0768108896451144E-2</v>
      </c>
      <c r="NC50" s="314"/>
      <c r="ND50" s="308">
        <f>250/ND66</f>
        <v>6.0768108896451144E-2</v>
      </c>
      <c r="NE50" s="314"/>
      <c r="NF50" s="308">
        <f>250/NF66</f>
        <v>6.0768108896451144E-2</v>
      </c>
      <c r="NG50" s="314"/>
      <c r="NH50" s="308">
        <f>250/NH66</f>
        <v>6.0768108896451144E-2</v>
      </c>
      <c r="NI50" s="314"/>
      <c r="NJ50" s="308">
        <f>250/NJ66</f>
        <v>6.0768108896451144E-2</v>
      </c>
      <c r="NK50" s="314"/>
      <c r="NL50" s="308">
        <f>250/NL66</f>
        <v>6.0768108896451144E-2</v>
      </c>
      <c r="NM50" s="314"/>
      <c r="NN50" s="308">
        <f>250/NN66</f>
        <v>6.0768108896451144E-2</v>
      </c>
      <c r="NO50" s="314"/>
      <c r="NP50" s="308">
        <f>250/NP66</f>
        <v>6.0768108896451144E-2</v>
      </c>
      <c r="NQ50" s="314"/>
      <c r="NR50" s="308">
        <f>250/NR66</f>
        <v>6.0768108896451144E-2</v>
      </c>
      <c r="NS50" s="314"/>
      <c r="NT50" s="308">
        <f>250/NT66</f>
        <v>6.0768108896451144E-2</v>
      </c>
      <c r="NU50" s="314"/>
      <c r="NV50" s="308">
        <f>250/NV66</f>
        <v>6.0768108896451144E-2</v>
      </c>
      <c r="NW50" s="314"/>
      <c r="NX50" s="308">
        <f>250/NX66</f>
        <v>6.0768108896451144E-2</v>
      </c>
      <c r="NY50" s="314"/>
      <c r="NZ50" s="308">
        <f>250/NZ66</f>
        <v>6.0768108896451144E-2</v>
      </c>
      <c r="OA50" s="314"/>
      <c r="OB50" s="308">
        <f>250/OB66</f>
        <v>6.0768108896451144E-2</v>
      </c>
      <c r="OC50" s="314"/>
      <c r="OD50" s="308">
        <f>250/OD66</f>
        <v>6.0768108896451144E-2</v>
      </c>
      <c r="OE50" s="314"/>
      <c r="OF50" s="308">
        <f>250/OF66</f>
        <v>6.0768108896451144E-2</v>
      </c>
      <c r="OG50" s="314"/>
      <c r="OH50" s="308">
        <f>250/OH66</f>
        <v>6.0768108896451144E-2</v>
      </c>
      <c r="OI50" s="314"/>
      <c r="OJ50" s="308">
        <f>250/OJ66</f>
        <v>6.0768108896451144E-2</v>
      </c>
      <c r="OK50" s="314"/>
      <c r="OL50" s="308">
        <f>250/OL66</f>
        <v>6.0768108896451144E-2</v>
      </c>
      <c r="OM50" s="314"/>
      <c r="ON50" s="308">
        <f>250/ON66</f>
        <v>6.0768108896451144E-2</v>
      </c>
      <c r="OO50" s="314"/>
      <c r="OP50" s="308">
        <f>250/OP66</f>
        <v>6.0768108896451144E-2</v>
      </c>
      <c r="OQ50" s="314"/>
      <c r="OR50" s="308">
        <f>250/OR66</f>
        <v>6.0768108896451144E-2</v>
      </c>
      <c r="OS50" s="314"/>
      <c r="OT50" s="308">
        <f>250/OT66</f>
        <v>6.0768108896451144E-2</v>
      </c>
      <c r="OU50" s="314"/>
      <c r="OV50" s="308">
        <f>250/OV66</f>
        <v>6.0768108896451144E-2</v>
      </c>
      <c r="OW50" s="314"/>
      <c r="OX50" s="308">
        <f>250/OX66</f>
        <v>6.0768108896451144E-2</v>
      </c>
      <c r="OY50" s="314"/>
      <c r="OZ50" s="308">
        <f>250/OZ66</f>
        <v>6.0768108896451144E-2</v>
      </c>
      <c r="PA50" s="314"/>
      <c r="PB50" s="308">
        <f>250/PB66</f>
        <v>6.0768108896451144E-2</v>
      </c>
      <c r="PC50" s="314"/>
      <c r="PD50" s="308">
        <f>250/PD66</f>
        <v>6.0768108896451144E-2</v>
      </c>
      <c r="PE50" s="314"/>
      <c r="PF50" s="308">
        <f>250/PF66</f>
        <v>6.0768108896451144E-2</v>
      </c>
      <c r="PG50" s="314"/>
      <c r="PH50" s="308">
        <f>250/PH66</f>
        <v>6.0768108896451144E-2</v>
      </c>
      <c r="PI50" s="314"/>
      <c r="PJ50" s="308">
        <f>250/PJ66</f>
        <v>6.0768108896451144E-2</v>
      </c>
      <c r="PK50" s="314"/>
      <c r="PL50" s="308">
        <f>250/PL66</f>
        <v>6.0768108896451144E-2</v>
      </c>
      <c r="PM50" s="314"/>
      <c r="PN50" s="308">
        <f>250/PN66</f>
        <v>6.0768108896451144E-2</v>
      </c>
      <c r="PO50" s="314"/>
      <c r="PP50" s="308">
        <f>250/PP66</f>
        <v>6.0768108896451144E-2</v>
      </c>
      <c r="PR50" s="314"/>
      <c r="PS50" s="308">
        <f>250/PS66</f>
        <v>4.3103448275862072E-2</v>
      </c>
      <c r="PT50" s="314"/>
      <c r="PU50" s="308">
        <f>250/PU66</f>
        <v>4.3103448275862072E-2</v>
      </c>
      <c r="PV50" s="314"/>
      <c r="PW50" s="308">
        <f>250/PW66</f>
        <v>4.3103448275862072E-2</v>
      </c>
      <c r="PX50" s="314"/>
      <c r="PY50" s="308">
        <f>250/PY66</f>
        <v>4.3103448275862072E-2</v>
      </c>
      <c r="PZ50" s="314"/>
      <c r="QA50" s="308">
        <f>250/QA66</f>
        <v>4.3103448275862072E-2</v>
      </c>
      <c r="QB50" s="314"/>
      <c r="QC50" s="308">
        <f>250/QC66</f>
        <v>4.3103448275862072E-2</v>
      </c>
      <c r="QF50" s="314"/>
      <c r="QG50" s="308">
        <f>250/QG66</f>
        <v>4.3103448275862072E-2</v>
      </c>
      <c r="QH50" s="314"/>
      <c r="QI50" s="308">
        <f>250/QI66</f>
        <v>4.3103448275862072E-2</v>
      </c>
      <c r="QJ50" s="314"/>
      <c r="QK50" s="308">
        <f>250/QK66</f>
        <v>4.3103448275862072E-2</v>
      </c>
      <c r="QL50" s="314"/>
      <c r="QM50" s="308">
        <f>250/QM66</f>
        <v>4.3103448275862072E-2</v>
      </c>
      <c r="QN50" s="314"/>
      <c r="QO50" s="308">
        <f>250/QO66</f>
        <v>4.3103448275862072E-2</v>
      </c>
      <c r="QP50" s="314"/>
      <c r="QQ50" s="308">
        <f>250/QQ66</f>
        <v>4.3103448275862072E-2</v>
      </c>
    </row>
    <row r="51" spans="1:459" x14ac:dyDescent="0.45">
      <c r="A51" s="871"/>
      <c r="B51" s="309" t="s">
        <v>357</v>
      </c>
      <c r="C51" s="310"/>
      <c r="D51" s="311"/>
      <c r="E51" s="231"/>
      <c r="F51" s="312"/>
      <c r="G51" s="313">
        <f>G50/G55</f>
        <v>1.3563368055555554E-2</v>
      </c>
      <c r="H51" s="312"/>
      <c r="I51" s="313">
        <f>I50/I55</f>
        <v>1.3563368055555554E-2</v>
      </c>
      <c r="J51" s="312"/>
      <c r="K51" s="313">
        <f>K50/K55</f>
        <v>1.0941876750700281E-2</v>
      </c>
      <c r="L51" s="312"/>
      <c r="M51" s="313">
        <f>M50/M55</f>
        <v>1.0941876750700281E-2</v>
      </c>
      <c r="N51" s="312"/>
      <c r="O51" s="313">
        <f>O50/O55</f>
        <v>1.0333994708994709E-2</v>
      </c>
      <c r="P51" s="312"/>
      <c r="Q51" s="313">
        <f>Q50/Q55</f>
        <v>9.8642676767676761E-3</v>
      </c>
      <c r="R51" s="312"/>
      <c r="S51" s="313">
        <f>S50/S55</f>
        <v>9.8642676767676761E-3</v>
      </c>
      <c r="T51" s="312"/>
      <c r="U51" s="313">
        <f>U50/U55</f>
        <v>9.300595238095238E-3</v>
      </c>
      <c r="V51" s="312"/>
      <c r="W51" s="313">
        <f>W50/W55</f>
        <v>9.300595238095238E-3</v>
      </c>
      <c r="X51" s="312"/>
      <c r="Y51" s="313">
        <f>Y50/Y55</f>
        <v>9.3675059952038377E-3</v>
      </c>
      <c r="Z51" s="312"/>
      <c r="AA51" s="313">
        <f>AA50/AA55</f>
        <v>9.3675059952038377E-3</v>
      </c>
      <c r="AB51" s="312"/>
      <c r="AC51" s="313">
        <f>AC50/AC55</f>
        <v>9.3675059952038377E-3</v>
      </c>
      <c r="AD51" s="312"/>
      <c r="AE51" s="313">
        <f>AE50/AE55</f>
        <v>8.6805555555555559E-3</v>
      </c>
      <c r="AF51" s="312"/>
      <c r="AG51" s="313">
        <f>AG50/AG55</f>
        <v>8.6805555555555559E-3</v>
      </c>
      <c r="AH51" s="312"/>
      <c r="AI51" s="313">
        <f>AI50/AI55</f>
        <v>8.6805555555555559E-3</v>
      </c>
      <c r="AJ51" s="312"/>
      <c r="AK51" s="313">
        <f>AK50/AK55</f>
        <v>8.6805555555555559E-3</v>
      </c>
      <c r="AL51" s="312"/>
      <c r="AM51" s="313">
        <f>AM50/AM55</f>
        <v>8.6805555555555559E-3</v>
      </c>
      <c r="AN51" s="312"/>
      <c r="AO51" s="313">
        <f>AO50/AO55</f>
        <v>8.6805555555555559E-3</v>
      </c>
      <c r="AP51" s="312"/>
      <c r="AQ51" s="313">
        <f>AQ50/AQ55</f>
        <v>8.6805555555555559E-3</v>
      </c>
      <c r="AR51" s="312"/>
      <c r="AS51" s="313">
        <f>AS50/AS55</f>
        <v>8.6805555555555559E-3</v>
      </c>
      <c r="AT51" s="312"/>
      <c r="AU51" s="313">
        <f>AU50/AU55</f>
        <v>8.6805555555555559E-3</v>
      </c>
      <c r="AV51" s="312"/>
      <c r="AW51" s="313">
        <f>AW50/AW55</f>
        <v>8.6805555555555559E-3</v>
      </c>
      <c r="AX51" s="312"/>
      <c r="AY51" s="313">
        <f>AY50/AY55</f>
        <v>8.6805555555555559E-3</v>
      </c>
      <c r="AZ51" s="312"/>
      <c r="BA51" s="313">
        <f>BA50/BA55</f>
        <v>8.6805555555555559E-3</v>
      </c>
      <c r="BB51" s="312"/>
      <c r="BC51" s="313">
        <f>BC50/BC55</f>
        <v>8.6805555555555559E-3</v>
      </c>
      <c r="BD51" s="312"/>
      <c r="BE51" s="313">
        <f>BE50/BE55</f>
        <v>8.6805555555555559E-3</v>
      </c>
      <c r="BF51" s="312"/>
      <c r="BG51" s="313">
        <f>BG50/BG55</f>
        <v>8.6805555555555559E-3</v>
      </c>
      <c r="BH51" s="312"/>
      <c r="BI51" s="313">
        <f>BI50/BI55</f>
        <v>8.6805555555555559E-3</v>
      </c>
      <c r="BJ51" s="312"/>
      <c r="BK51" s="313">
        <f>BK50/BK55</f>
        <v>8.6805555555555559E-3</v>
      </c>
      <c r="BL51" s="312"/>
      <c r="BM51" s="313">
        <f>BM50/BM55</f>
        <v>8.6805555555555559E-3</v>
      </c>
      <c r="BN51" s="312"/>
      <c r="BO51" s="313">
        <f>BO50/BO55</f>
        <v>8.6805555555555559E-3</v>
      </c>
      <c r="BP51" s="312"/>
      <c r="BQ51" s="313">
        <f>BQ50/BQ55</f>
        <v>8.6805555555555559E-3</v>
      </c>
      <c r="BR51" s="312"/>
      <c r="BS51" s="313">
        <f>BS50/BS55</f>
        <v>8.6805555555555559E-3</v>
      </c>
      <c r="BT51" s="312"/>
      <c r="BU51" s="313">
        <f>BU50/BU55</f>
        <v>8.6805555555555559E-3</v>
      </c>
      <c r="BV51" s="312"/>
      <c r="BW51" s="313">
        <f>BW50/BW55</f>
        <v>8.6805555555555559E-3</v>
      </c>
      <c r="BX51" s="312"/>
      <c r="BY51" s="313">
        <f>BY50/BY55</f>
        <v>8.6805555555555559E-3</v>
      </c>
      <c r="BZ51" s="312"/>
      <c r="CA51" s="313">
        <f>CA50/CA55</f>
        <v>8.6805555555555559E-3</v>
      </c>
      <c r="CB51" s="312"/>
      <c r="CC51" s="313">
        <f>CC50/CC55</f>
        <v>8.6805555555555559E-3</v>
      </c>
      <c r="CD51" s="312"/>
      <c r="CE51" s="313">
        <f>CE50/CE55</f>
        <v>8.6805555555555559E-3</v>
      </c>
      <c r="CF51" s="312"/>
      <c r="CG51" s="313">
        <f>CG50/CG55</f>
        <v>8.6805555555555559E-3</v>
      </c>
      <c r="CH51" s="312"/>
      <c r="CI51" s="313">
        <f>CI50/CI55</f>
        <v>8.6805555555555559E-3</v>
      </c>
      <c r="CJ51" s="312"/>
      <c r="CK51" s="313">
        <f>CK50/CK55</f>
        <v>8.6805555555555559E-3</v>
      </c>
      <c r="CL51" s="312"/>
      <c r="CM51" s="313">
        <f>CM50/CM55</f>
        <v>8.6805555555555559E-3</v>
      </c>
      <c r="CN51" s="312"/>
      <c r="CO51" s="313">
        <f>CO50/CO55</f>
        <v>8.6805555555555559E-3</v>
      </c>
      <c r="CP51" s="312"/>
      <c r="CQ51" s="313">
        <f>CQ50/CQ55</f>
        <v>8.6805555555555559E-3</v>
      </c>
      <c r="CR51" s="312"/>
      <c r="CS51" s="313">
        <f>CS50/CS55</f>
        <v>8.6805555555555559E-3</v>
      </c>
      <c r="CT51" s="245"/>
      <c r="CU51" s="312"/>
      <c r="CV51" s="313">
        <f>CV50/CV55</f>
        <v>1.1024629021233434E-2</v>
      </c>
      <c r="CW51" s="312"/>
      <c r="CX51" s="313">
        <f>CX50/CX55</f>
        <v>1.1024629021233434E-2</v>
      </c>
      <c r="CY51" s="312"/>
      <c r="CZ51" s="313">
        <f>CZ50/CZ55</f>
        <v>1.0687140377726291E-2</v>
      </c>
      <c r="DA51" s="312"/>
      <c r="DB51" s="313">
        <f>DB50/DB55</f>
        <v>1.0687140377726291E-2</v>
      </c>
      <c r="DC51" s="312"/>
      <c r="DD51" s="313">
        <f>DD50/DD55</f>
        <v>9.6086216240107922E-3</v>
      </c>
      <c r="DE51" s="312"/>
      <c r="DF51" s="313">
        <f>DF50/DF55</f>
        <v>9.6086216240107922E-3</v>
      </c>
      <c r="DG51" s="312"/>
      <c r="DH51" s="313">
        <f>DH50/DH55</f>
        <v>9.6086216240107922E-3</v>
      </c>
      <c r="DI51" s="312"/>
      <c r="DJ51" s="313">
        <f>DJ50/DJ55</f>
        <v>9.6086216240107922E-3</v>
      </c>
      <c r="DK51" s="312"/>
      <c r="DL51" s="313">
        <f>DL50/DL55</f>
        <v>9.6086216240107922E-3</v>
      </c>
      <c r="DM51" s="312"/>
      <c r="DN51" s="313">
        <f>DN50/DN55</f>
        <v>9.6086216240107922E-3</v>
      </c>
      <c r="DO51" s="312"/>
      <c r="DP51" s="313">
        <f>DP50/DP55</f>
        <v>9.6086216240107922E-3</v>
      </c>
      <c r="DQ51" s="312"/>
      <c r="DR51" s="313">
        <f>DR50/DR55</f>
        <v>9.6086216240107922E-3</v>
      </c>
      <c r="DS51" s="312"/>
      <c r="DT51" s="313">
        <f>DT50/DT55</f>
        <v>9.6086216240107922E-3</v>
      </c>
      <c r="DU51" s="312"/>
      <c r="DV51" s="313">
        <f>DV50/DV55</f>
        <v>9.6086216240107922E-3</v>
      </c>
      <c r="DW51" s="312"/>
      <c r="DX51" s="313">
        <f>DX50/DX55</f>
        <v>9.6086216240107922E-3</v>
      </c>
      <c r="DY51" s="312"/>
      <c r="DZ51" s="313">
        <f>DZ50/DZ55</f>
        <v>9.6086216240107922E-3</v>
      </c>
      <c r="EA51" s="312"/>
      <c r="EB51" s="313">
        <f>EB50/EB55</f>
        <v>9.6086216240107922E-3</v>
      </c>
      <c r="EC51" s="312"/>
      <c r="ED51" s="313">
        <f>ED50/ED55</f>
        <v>9.6086216240107922E-3</v>
      </c>
      <c r="EE51" s="312"/>
      <c r="EF51" s="313">
        <f>EF50/EF55</f>
        <v>9.6086216240107922E-3</v>
      </c>
      <c r="EG51" s="312"/>
      <c r="EH51" s="313">
        <f>EH50/EH55</f>
        <v>9.6086216240107922E-3</v>
      </c>
      <c r="EI51" s="312"/>
      <c r="EJ51" s="313">
        <f>EJ50/EJ55</f>
        <v>9.6086216240107922E-3</v>
      </c>
      <c r="EK51" s="312"/>
      <c r="EL51" s="313">
        <f>EL50/EL55</f>
        <v>9.6086216240107922E-3</v>
      </c>
      <c r="EM51" s="312"/>
      <c r="EN51" s="313">
        <f>EN50/EN55</f>
        <v>9.6086216240107922E-3</v>
      </c>
      <c r="EO51" s="312"/>
      <c r="EP51" s="313">
        <f>EP50/EP55</f>
        <v>9.6086216240107922E-3</v>
      </c>
      <c r="EQ51" s="312"/>
      <c r="ER51" s="313">
        <f>ER50/ER55</f>
        <v>9.6086216240107922E-3</v>
      </c>
      <c r="ES51" s="312"/>
      <c r="ET51" s="313">
        <f>ET50/ET55</f>
        <v>9.6086216240107922E-3</v>
      </c>
      <c r="EU51" s="312"/>
      <c r="EV51" s="313">
        <f>EV50/EV55</f>
        <v>9.6086216240107922E-3</v>
      </c>
      <c r="EW51" s="312"/>
      <c r="EX51" s="313">
        <f>EX50/EX55</f>
        <v>9.6086216240107922E-3</v>
      </c>
      <c r="EY51" s="312"/>
      <c r="EZ51" s="313">
        <f>EZ50/EZ55</f>
        <v>9.6086216240107922E-3</v>
      </c>
      <c r="FA51" s="312"/>
      <c r="FB51" s="313">
        <f>FB50/FB55</f>
        <v>9.6086216240107922E-3</v>
      </c>
      <c r="FC51" s="312"/>
      <c r="FD51" s="313">
        <f>FD50/FD55</f>
        <v>9.6086216240107922E-3</v>
      </c>
      <c r="FE51" s="312"/>
      <c r="FF51" s="313">
        <f>FF50/FF55</f>
        <v>9.6086216240107922E-3</v>
      </c>
      <c r="FG51" s="312"/>
      <c r="FH51" s="313">
        <f>FH50/FH55</f>
        <v>9.6086216240107922E-3</v>
      </c>
      <c r="FI51" s="312"/>
      <c r="FJ51" s="313">
        <f>FJ50/FJ55</f>
        <v>9.6086216240107922E-3</v>
      </c>
      <c r="FK51" s="312"/>
      <c r="FL51" s="313">
        <f>FL50/FL55</f>
        <v>9.6086216240107922E-3</v>
      </c>
      <c r="FM51" s="312"/>
      <c r="FN51" s="313">
        <f>FN50/FN55</f>
        <v>9.6086216240107922E-3</v>
      </c>
      <c r="FO51" s="312"/>
      <c r="FP51" s="313">
        <f>FP50/FP55</f>
        <v>9.6086216240107922E-3</v>
      </c>
      <c r="FQ51" s="231"/>
      <c r="FR51" s="312"/>
      <c r="FS51" s="313">
        <f>FS50/FS55</f>
        <v>1.0941876750700281E-2</v>
      </c>
      <c r="FT51" s="312"/>
      <c r="FU51" s="313">
        <f>FU50/FU55</f>
        <v>1.0333994708994709E-2</v>
      </c>
      <c r="FV51" s="312"/>
      <c r="FW51" s="313">
        <f>FW50/FW55</f>
        <v>9.8642676767676761E-3</v>
      </c>
      <c r="FX51" s="312"/>
      <c r="FY51" s="313">
        <f>FY50/FY55</f>
        <v>9.8642676767676761E-3</v>
      </c>
      <c r="FZ51" s="312"/>
      <c r="GA51" s="313">
        <f>GA50/GA55</f>
        <v>9.300595238095238E-3</v>
      </c>
      <c r="GB51" s="312"/>
      <c r="GC51" s="313">
        <f>GC50/GC55</f>
        <v>9.300595238095238E-3</v>
      </c>
      <c r="GD51" s="312"/>
      <c r="GE51" s="313">
        <f>GE50/GE55</f>
        <v>9.3675059952038377E-3</v>
      </c>
      <c r="GF51" s="312"/>
      <c r="GG51" s="313">
        <f>GG50/GG55</f>
        <v>9.3675059952038377E-3</v>
      </c>
      <c r="GH51" s="312"/>
      <c r="GI51" s="313">
        <f>GI50/GI55</f>
        <v>9.3675059952038377E-3</v>
      </c>
      <c r="GJ51" s="312"/>
      <c r="GK51" s="313">
        <f>GK50/GK55</f>
        <v>7.9395325203252039E-3</v>
      </c>
      <c r="GL51" s="312"/>
      <c r="GM51" s="313">
        <f>GM50/GM55</f>
        <v>7.9395325203252039E-3</v>
      </c>
      <c r="GN51" s="312"/>
      <c r="GO51" s="313">
        <f>GO50/GO55</f>
        <v>7.9395325203252039E-3</v>
      </c>
      <c r="GP51" s="312"/>
      <c r="GQ51" s="313">
        <f>GQ50/GQ55</f>
        <v>7.9395325203252039E-3</v>
      </c>
      <c r="GR51" s="312"/>
      <c r="GS51" s="313">
        <f>GS50/GS55</f>
        <v>7.9395325203252039E-3</v>
      </c>
      <c r="GT51" s="312"/>
      <c r="GU51" s="313">
        <f>GU50/GU55</f>
        <v>7.9395325203252039E-3</v>
      </c>
      <c r="GV51" s="312"/>
      <c r="GW51" s="313">
        <f>GW50/GW55</f>
        <v>7.9395325203252039E-3</v>
      </c>
      <c r="GX51" s="312"/>
      <c r="GY51" s="313">
        <f>GY50/GY55</f>
        <v>7.9395325203252039E-3</v>
      </c>
      <c r="GZ51" s="312"/>
      <c r="HA51" s="313">
        <f>HA50/HA55</f>
        <v>7.9395325203252039E-3</v>
      </c>
      <c r="HB51" s="312"/>
      <c r="HC51" s="313">
        <f>HC50/HC55</f>
        <v>7.9395325203252039E-3</v>
      </c>
      <c r="HD51" s="312"/>
      <c r="HE51" s="313">
        <f>HE50/HE55</f>
        <v>7.9395325203252039E-3</v>
      </c>
      <c r="HF51" s="312"/>
      <c r="HG51" s="313">
        <f>HG50/HG55</f>
        <v>7.9395325203252039E-3</v>
      </c>
      <c r="HH51" s="312"/>
      <c r="HI51" s="313">
        <f>HI50/HI55</f>
        <v>7.9395325203252039E-3</v>
      </c>
      <c r="HJ51" s="312"/>
      <c r="HK51" s="313">
        <f>HK50/HK55</f>
        <v>7.9395325203252039E-3</v>
      </c>
      <c r="HL51" s="312"/>
      <c r="HM51" s="313">
        <f>HM50/HM55</f>
        <v>7.9395325203252039E-3</v>
      </c>
      <c r="HN51" s="312"/>
      <c r="HO51" s="313">
        <f>HO50/HO55</f>
        <v>7.9395325203252039E-3</v>
      </c>
      <c r="HP51" s="312"/>
      <c r="HQ51" s="313">
        <f>HQ50/HQ55</f>
        <v>7.9395325203252039E-3</v>
      </c>
      <c r="HR51" s="312"/>
      <c r="HS51" s="313">
        <f>HS50/HS55</f>
        <v>7.9395325203252039E-3</v>
      </c>
      <c r="HT51" s="312"/>
      <c r="HU51" s="313">
        <f>HU50/HU55</f>
        <v>7.9395325203252039E-3</v>
      </c>
      <c r="HV51" s="312"/>
      <c r="HW51" s="313">
        <f>HW50/HW55</f>
        <v>7.9395325203252039E-3</v>
      </c>
      <c r="HX51" s="312"/>
      <c r="HY51" s="313">
        <f>HY50/HY55</f>
        <v>7.9395325203252039E-3</v>
      </c>
      <c r="HZ51" s="312"/>
      <c r="IA51" s="313">
        <f>IA50/IA55</f>
        <v>7.9395325203252039E-3</v>
      </c>
      <c r="IB51" s="312"/>
      <c r="IC51" s="313">
        <f>IC50/IC55</f>
        <v>7.9395325203252039E-3</v>
      </c>
      <c r="ID51" s="312"/>
      <c r="IE51" s="313">
        <f>IE50/IE55</f>
        <v>7.9395325203252039E-3</v>
      </c>
      <c r="IF51" s="312"/>
      <c r="IG51" s="313">
        <f>IG50/IG55</f>
        <v>7.9395325203252039E-3</v>
      </c>
      <c r="IH51" s="312"/>
      <c r="II51" s="313">
        <f>II50/II55</f>
        <v>7.9395325203252039E-3</v>
      </c>
      <c r="IJ51" s="312"/>
      <c r="IK51" s="313">
        <f>IK50/IK55</f>
        <v>7.9395325203252039E-3</v>
      </c>
      <c r="IL51" s="312"/>
      <c r="IM51" s="313">
        <f>IM50/IM55</f>
        <v>7.9395325203252039E-3</v>
      </c>
      <c r="IN51" s="312"/>
      <c r="IO51" s="313">
        <f>IO50/IO55</f>
        <v>7.9395325203252039E-3</v>
      </c>
      <c r="IP51" s="312"/>
      <c r="IQ51" s="313">
        <f>IQ50/IQ55</f>
        <v>7.9395325203252039E-3</v>
      </c>
      <c r="IR51" s="312"/>
      <c r="IS51" s="313">
        <f>IS50/IS55</f>
        <v>7.9395325203252039E-3</v>
      </c>
      <c r="IT51" s="312"/>
      <c r="IU51" s="313">
        <f>IU50/IU55</f>
        <v>7.9395325203252039E-3</v>
      </c>
      <c r="IV51" s="312"/>
      <c r="IW51" s="313">
        <f>IW50/IW55</f>
        <v>7.9395325203252039E-3</v>
      </c>
      <c r="IX51" s="312"/>
      <c r="IY51" s="313">
        <f>IY50/IY55</f>
        <v>7.9395325203252039E-3</v>
      </c>
      <c r="IZ51" s="231"/>
      <c r="JA51" s="312"/>
      <c r="JB51" s="313">
        <f>JB50/JB55</f>
        <v>7.9395325203252039E-3</v>
      </c>
      <c r="JC51" s="312"/>
      <c r="JD51" s="313">
        <f>JD50/JD55</f>
        <v>7.9395325203252039E-3</v>
      </c>
      <c r="JE51" s="231"/>
      <c r="JF51" s="312"/>
      <c r="JG51" s="313">
        <f>JG50/JG55</f>
        <v>1.0629251700680272E-2</v>
      </c>
      <c r="JH51" s="312"/>
      <c r="JI51" s="313">
        <f>JI50/JI55</f>
        <v>1.0004001600640255E-2</v>
      </c>
      <c r="JJ51" s="312"/>
      <c r="JK51" s="313">
        <f>JK50/JK55</f>
        <v>9.6006144393241157E-3</v>
      </c>
      <c r="JL51" s="312"/>
      <c r="JM51" s="313">
        <f>JM50/JM55</f>
        <v>9.6006144393241157E-3</v>
      </c>
      <c r="JN51" s="312"/>
      <c r="JO51" s="313">
        <f>JO50/JO55</f>
        <v>8.8841506751954503E-3</v>
      </c>
      <c r="JP51" s="312"/>
      <c r="JQ51" s="313">
        <f>JQ50/JQ55</f>
        <v>8.8841506751954503E-3</v>
      </c>
      <c r="JR51" s="312"/>
      <c r="JS51" s="313">
        <f>JS50/JS55</f>
        <v>8.8841506751954503E-3</v>
      </c>
      <c r="JT51" s="312"/>
      <c r="JU51" s="313">
        <f>JU50/JU55</f>
        <v>8.8841506751954503E-3</v>
      </c>
      <c r="JV51" s="312"/>
      <c r="JW51" s="313">
        <f>JW50/JW55</f>
        <v>9.6918007365768555E-3</v>
      </c>
      <c r="JX51" s="312"/>
      <c r="JY51" s="313">
        <f>JY50/JY55</f>
        <v>9.6918007365768555E-3</v>
      </c>
      <c r="JZ51" s="312"/>
      <c r="KA51" s="313">
        <f>KA50/KA55</f>
        <v>9.6918007365768555E-3</v>
      </c>
      <c r="KB51" s="312"/>
      <c r="KC51" s="313">
        <f>KC50/KC55</f>
        <v>9.6918007365768555E-3</v>
      </c>
      <c r="KD51" s="312"/>
      <c r="KE51" s="313">
        <f>KE50/KE55</f>
        <v>9.6918007365768555E-3</v>
      </c>
      <c r="KF51" s="312"/>
      <c r="KG51" s="313">
        <f>KG50/KG55</f>
        <v>9.6918007365768555E-3</v>
      </c>
      <c r="KH51" s="312"/>
      <c r="KI51" s="313">
        <f>KI50/KI55</f>
        <v>9.6918007365768555E-3</v>
      </c>
      <c r="KJ51" s="312"/>
      <c r="KK51" s="313">
        <f>KK50/KK55</f>
        <v>9.6918007365768555E-3</v>
      </c>
      <c r="KL51" s="312"/>
      <c r="KM51" s="313">
        <f>KM50/KM55</f>
        <v>9.6918007365768555E-3</v>
      </c>
      <c r="KN51" s="312"/>
      <c r="KO51" s="313">
        <f>KO50/KO55</f>
        <v>9.6918007365768555E-3</v>
      </c>
      <c r="KP51" s="312"/>
      <c r="KQ51" s="313">
        <f>KQ50/KQ55</f>
        <v>9.6918007365768555E-3</v>
      </c>
      <c r="KR51" s="312"/>
      <c r="KS51" s="313">
        <f>KS50/KS55</f>
        <v>9.6918007365768555E-3</v>
      </c>
      <c r="KT51" s="312"/>
      <c r="KU51" s="313">
        <f>KU50/KU55</f>
        <v>9.6918007365768555E-3</v>
      </c>
      <c r="KV51" s="312"/>
      <c r="KW51" s="313">
        <f>KW50/KW55</f>
        <v>9.6918007365768555E-3</v>
      </c>
      <c r="KX51" s="312"/>
      <c r="KY51" s="313">
        <f>KY50/KY55</f>
        <v>9.6918007365768555E-3</v>
      </c>
      <c r="KZ51" s="312"/>
      <c r="LA51" s="313">
        <f>LA50/LA55</f>
        <v>9.6918007365768555E-3</v>
      </c>
      <c r="LB51" s="312"/>
      <c r="LC51" s="313">
        <f>LC50/LC55</f>
        <v>9.6918007365768555E-3</v>
      </c>
      <c r="LD51" s="312"/>
      <c r="LE51" s="313">
        <f>LE50/LE55</f>
        <v>9.6918007365768555E-3</v>
      </c>
      <c r="LF51" s="312"/>
      <c r="LG51" s="313">
        <f>LG50/LG55</f>
        <v>9.6918007365768555E-3</v>
      </c>
      <c r="LH51" s="312"/>
      <c r="LI51" s="313">
        <f>LI50/LI55</f>
        <v>9.6918007365768555E-3</v>
      </c>
      <c r="LJ51" s="312"/>
      <c r="LK51" s="313">
        <f>LK50/LK55</f>
        <v>9.6918007365768555E-3</v>
      </c>
      <c r="LL51" s="312"/>
      <c r="LM51" s="313">
        <f>LM50/LM55</f>
        <v>9.6918007365768555E-3</v>
      </c>
      <c r="LN51" s="312"/>
      <c r="LO51" s="313">
        <f>LO50/LO55</f>
        <v>9.6918007365768555E-3</v>
      </c>
      <c r="LP51" s="312"/>
      <c r="LQ51" s="313">
        <f>LQ50/LQ55</f>
        <v>9.6918007365768555E-3</v>
      </c>
      <c r="LR51" s="312"/>
      <c r="LS51" s="313">
        <f>LS50/LS55</f>
        <v>9.6918007365768555E-3</v>
      </c>
      <c r="LT51" s="312"/>
      <c r="LU51" s="313">
        <f>LU50/LU55</f>
        <v>9.6918007365768555E-3</v>
      </c>
      <c r="LV51" s="312"/>
      <c r="LW51" s="313">
        <f>LW50/LW55</f>
        <v>9.6918007365768555E-3</v>
      </c>
      <c r="LX51" s="312"/>
      <c r="LY51" s="313">
        <f>LY50/LY55</f>
        <v>9.6918007365768555E-3</v>
      </c>
      <c r="LZ51" s="312"/>
      <c r="MA51" s="313">
        <f>MA50/MA55</f>
        <v>9.6918007365768555E-3</v>
      </c>
      <c r="MB51" s="312"/>
      <c r="MC51" s="313">
        <f>MC50/MC55</f>
        <v>9.6918007365768555E-3</v>
      </c>
      <c r="MD51" s="312"/>
      <c r="ME51" s="313">
        <f>ME50/ME55</f>
        <v>9.6918007365768555E-3</v>
      </c>
      <c r="MF51" s="312"/>
      <c r="MG51" s="313">
        <f>MG50/MG55</f>
        <v>9.6918007365768555E-3</v>
      </c>
      <c r="MH51" s="231"/>
      <c r="MI51" s="312"/>
      <c r="MJ51" s="313">
        <f>MJ50/MJ55</f>
        <v>1.4298378563870857E-2</v>
      </c>
      <c r="MK51" s="312"/>
      <c r="ML51" s="313">
        <f>ML50/ML55</f>
        <v>1.3655754808191268E-2</v>
      </c>
      <c r="MM51" s="312"/>
      <c r="MN51" s="313">
        <f>MN50/MN55</f>
        <v>1.2929384871585349E-2</v>
      </c>
      <c r="MO51" s="312"/>
      <c r="MP51" s="313">
        <f>MP50/MP55</f>
        <v>1.2929384871585349E-2</v>
      </c>
      <c r="MQ51" s="312"/>
      <c r="MR51" s="313">
        <f>MR50/MR55</f>
        <v>1.1915315469892381E-2</v>
      </c>
      <c r="MS51" s="312"/>
      <c r="MT51" s="313">
        <f>MT50/MT55</f>
        <v>1.2153621779290229E-2</v>
      </c>
      <c r="MU51" s="312"/>
      <c r="MV51" s="313">
        <f>MV50/MV55</f>
        <v>1.1915315469892381E-2</v>
      </c>
      <c r="MW51" s="312"/>
      <c r="MX51" s="313">
        <f>MX50/MX55</f>
        <v>9.8013078865243769E-3</v>
      </c>
      <c r="MY51" s="312"/>
      <c r="MZ51" s="313">
        <f>MZ50/MZ55</f>
        <v>9.8013078865243769E-3</v>
      </c>
      <c r="NA51" s="312"/>
      <c r="NB51" s="313">
        <f>NB50/NB55</f>
        <v>9.8013078865243769E-3</v>
      </c>
      <c r="NC51" s="312"/>
      <c r="ND51" s="313">
        <f>ND50/ND55</f>
        <v>9.8013078865243769E-3</v>
      </c>
      <c r="NE51" s="312"/>
      <c r="NF51" s="313">
        <f>NF50/NF55</f>
        <v>9.8013078865243769E-3</v>
      </c>
      <c r="NG51" s="312"/>
      <c r="NH51" s="313">
        <f>NH50/NH55</f>
        <v>9.8013078865243769E-3</v>
      </c>
      <c r="NI51" s="312"/>
      <c r="NJ51" s="313">
        <f>NJ50/NJ55</f>
        <v>9.8013078865243769E-3</v>
      </c>
      <c r="NK51" s="312"/>
      <c r="NL51" s="313">
        <f>NL50/NL55</f>
        <v>9.8013078865243769E-3</v>
      </c>
      <c r="NM51" s="312"/>
      <c r="NN51" s="313">
        <f>NN50/NN55</f>
        <v>9.8013078865243769E-3</v>
      </c>
      <c r="NO51" s="312"/>
      <c r="NP51" s="313">
        <f>NP50/NP55</f>
        <v>9.8013078865243769E-3</v>
      </c>
      <c r="NQ51" s="312"/>
      <c r="NR51" s="313">
        <f>NR50/NR55</f>
        <v>9.8013078865243769E-3</v>
      </c>
      <c r="NS51" s="312"/>
      <c r="NT51" s="313">
        <f>NT50/NT55</f>
        <v>9.8013078865243769E-3</v>
      </c>
      <c r="NU51" s="312"/>
      <c r="NV51" s="313">
        <f>NV50/NV55</f>
        <v>9.8013078865243769E-3</v>
      </c>
      <c r="NW51" s="312"/>
      <c r="NX51" s="313">
        <f>NX50/NX55</f>
        <v>9.8013078865243769E-3</v>
      </c>
      <c r="NY51" s="312"/>
      <c r="NZ51" s="313">
        <f>NZ50/NZ55</f>
        <v>9.8013078865243769E-3</v>
      </c>
      <c r="OA51" s="312"/>
      <c r="OB51" s="313">
        <f>OB50/OB55</f>
        <v>9.8013078865243769E-3</v>
      </c>
      <c r="OC51" s="312"/>
      <c r="OD51" s="313">
        <f>OD50/OD55</f>
        <v>9.8013078865243769E-3</v>
      </c>
      <c r="OE51" s="312"/>
      <c r="OF51" s="313">
        <f>OF50/OF55</f>
        <v>9.8013078865243769E-3</v>
      </c>
      <c r="OG51" s="312"/>
      <c r="OH51" s="313">
        <f>OH50/OH55</f>
        <v>9.8013078865243769E-3</v>
      </c>
      <c r="OI51" s="312"/>
      <c r="OJ51" s="313">
        <f>OJ50/OJ55</f>
        <v>9.8013078865243769E-3</v>
      </c>
      <c r="OK51" s="312"/>
      <c r="OL51" s="313">
        <f>OL50/OL55</f>
        <v>9.8013078865243769E-3</v>
      </c>
      <c r="OM51" s="312"/>
      <c r="ON51" s="313">
        <f>ON50/ON55</f>
        <v>9.8013078865243769E-3</v>
      </c>
      <c r="OO51" s="312"/>
      <c r="OP51" s="313">
        <f>OP50/OP55</f>
        <v>9.8013078865243769E-3</v>
      </c>
      <c r="OQ51" s="312"/>
      <c r="OR51" s="313">
        <f>OR50/OR55</f>
        <v>9.8013078865243769E-3</v>
      </c>
      <c r="OS51" s="312"/>
      <c r="OT51" s="313">
        <f>OT50/OT55</f>
        <v>9.8013078865243769E-3</v>
      </c>
      <c r="OU51" s="312"/>
      <c r="OV51" s="313">
        <f>OV50/OV55</f>
        <v>9.8013078865243769E-3</v>
      </c>
      <c r="OW51" s="312"/>
      <c r="OX51" s="313">
        <f>OX50/OX55</f>
        <v>9.8013078865243769E-3</v>
      </c>
      <c r="OY51" s="312"/>
      <c r="OZ51" s="313">
        <f>OZ50/OZ55</f>
        <v>9.8013078865243769E-3</v>
      </c>
      <c r="PA51" s="312"/>
      <c r="PB51" s="313">
        <f>PB50/PB55</f>
        <v>9.8013078865243769E-3</v>
      </c>
      <c r="PC51" s="312"/>
      <c r="PD51" s="313">
        <f>PD50/PD55</f>
        <v>9.8013078865243769E-3</v>
      </c>
      <c r="PE51" s="312"/>
      <c r="PF51" s="313">
        <f>PF50/PF55</f>
        <v>9.8013078865243769E-3</v>
      </c>
      <c r="PG51" s="312"/>
      <c r="PH51" s="313">
        <f>PH50/PH55</f>
        <v>9.8013078865243769E-3</v>
      </c>
      <c r="PI51" s="312"/>
      <c r="PJ51" s="313">
        <f>PJ50/PJ55</f>
        <v>1.038771092247028E-2</v>
      </c>
      <c r="PK51" s="312"/>
      <c r="PL51" s="313">
        <f>PL50/PL55</f>
        <v>1.0661071736219498E-2</v>
      </c>
      <c r="PM51" s="312"/>
      <c r="PN51" s="313">
        <f>PN50/PN55</f>
        <v>9.8013078865243769E-3</v>
      </c>
      <c r="PO51" s="312"/>
      <c r="PP51" s="313">
        <f>PP50/PP55</f>
        <v>9.8013078865243769E-3</v>
      </c>
      <c r="PQ51" s="236"/>
      <c r="PR51" s="312"/>
      <c r="PS51" s="313">
        <f>PS50/PS55</f>
        <v>5.824790307548928E-3</v>
      </c>
      <c r="PT51" s="312"/>
      <c r="PU51" s="313">
        <f>PU50/PU55</f>
        <v>5.824790307548928E-3</v>
      </c>
      <c r="PV51" s="312"/>
      <c r="PW51" s="313">
        <f>PW50/PW55</f>
        <v>6.5308254963427374E-3</v>
      </c>
      <c r="PX51" s="312"/>
      <c r="PY51" s="313">
        <f>PY50/PY55</f>
        <v>6.5308254963427374E-3</v>
      </c>
      <c r="PZ51" s="312"/>
      <c r="QA51" s="313">
        <f>QA50/QA55</f>
        <v>8.4516565246788369E-3</v>
      </c>
      <c r="QB51" s="312"/>
      <c r="QC51" s="313">
        <f>QC50/QC55</f>
        <v>8.4516565246788369E-3</v>
      </c>
      <c r="QD51" s="236"/>
      <c r="QE51" s="236"/>
      <c r="QF51" s="312"/>
      <c r="QG51" s="313">
        <f>QG50/QG55</f>
        <v>5.824790307548928E-3</v>
      </c>
      <c r="QH51" s="312"/>
      <c r="QI51" s="313">
        <f>QI50/QI55</f>
        <v>5.824790307548928E-3</v>
      </c>
      <c r="QJ51" s="312"/>
      <c r="QK51" s="313">
        <f>QK50/QK55</f>
        <v>6.5308254963427374E-3</v>
      </c>
      <c r="QL51" s="312"/>
      <c r="QM51" s="313">
        <f>QM50/QM55</f>
        <v>6.5308254963427374E-3</v>
      </c>
      <c r="QN51" s="312"/>
      <c r="QO51" s="313">
        <f>QO50/QO55</f>
        <v>6.5308254963427383E-3</v>
      </c>
      <c r="QP51" s="312"/>
      <c r="QQ51" s="313">
        <f>QQ50/QQ55</f>
        <v>6.5308254963427383E-3</v>
      </c>
    </row>
    <row r="52" spans="1:459" x14ac:dyDescent="0.45">
      <c r="A52" s="871"/>
      <c r="B52" s="180" t="s">
        <v>358</v>
      </c>
      <c r="C52" s="181"/>
      <c r="D52" s="199" t="s">
        <v>353</v>
      </c>
      <c r="E52" s="186"/>
      <c r="F52" s="292"/>
      <c r="G52" s="308">
        <f>300/G66</f>
        <v>7.8125E-2</v>
      </c>
      <c r="H52" s="292"/>
      <c r="I52" s="308">
        <f>300/I66</f>
        <v>7.8125E-2</v>
      </c>
      <c r="J52" s="292"/>
      <c r="K52" s="308">
        <f>300/K66</f>
        <v>7.8125E-2</v>
      </c>
      <c r="L52" s="292"/>
      <c r="M52" s="308">
        <f>300/M66</f>
        <v>7.8125E-2</v>
      </c>
      <c r="N52" s="292"/>
      <c r="O52" s="308">
        <f>300/O66</f>
        <v>7.8125E-2</v>
      </c>
      <c r="P52" s="292"/>
      <c r="Q52" s="308">
        <f>300/Q66</f>
        <v>7.8125E-2</v>
      </c>
      <c r="R52" s="292"/>
      <c r="S52" s="308">
        <f>300/S66</f>
        <v>7.8125E-2</v>
      </c>
      <c r="T52" s="292"/>
      <c r="U52" s="308">
        <f>300/U66</f>
        <v>7.8125E-2</v>
      </c>
      <c r="V52" s="292"/>
      <c r="W52" s="308">
        <f>300/W66</f>
        <v>7.8125E-2</v>
      </c>
      <c r="X52" s="292"/>
      <c r="Y52" s="308">
        <f>300/Y66</f>
        <v>7.8125E-2</v>
      </c>
      <c r="Z52" s="292"/>
      <c r="AA52" s="308">
        <f>300/AA66</f>
        <v>7.8125E-2</v>
      </c>
      <c r="AB52" s="292"/>
      <c r="AC52" s="308">
        <f>300/AC66</f>
        <v>7.8125E-2</v>
      </c>
      <c r="AD52" s="292"/>
      <c r="AE52" s="308">
        <f>300/AE66</f>
        <v>7.8125E-2</v>
      </c>
      <c r="AF52" s="292"/>
      <c r="AG52" s="308">
        <f>300/AG66</f>
        <v>7.8125E-2</v>
      </c>
      <c r="AH52" s="292"/>
      <c r="AI52" s="308">
        <f>300/AI66</f>
        <v>7.8125E-2</v>
      </c>
      <c r="AJ52" s="292"/>
      <c r="AK52" s="308">
        <f>300/AK66</f>
        <v>7.8125E-2</v>
      </c>
      <c r="AL52" s="292"/>
      <c r="AM52" s="308">
        <f>300/AM66</f>
        <v>7.8125E-2</v>
      </c>
      <c r="AN52" s="292"/>
      <c r="AO52" s="308">
        <f>300/AO66</f>
        <v>7.8125E-2</v>
      </c>
      <c r="AP52" s="292"/>
      <c r="AQ52" s="308">
        <f>300/AQ66</f>
        <v>7.8125E-2</v>
      </c>
      <c r="AR52" s="292"/>
      <c r="AS52" s="308">
        <f>300/AS66</f>
        <v>7.8125E-2</v>
      </c>
      <c r="AT52" s="292"/>
      <c r="AU52" s="308">
        <f>300/AU66</f>
        <v>7.8125E-2</v>
      </c>
      <c r="AV52" s="292"/>
      <c r="AW52" s="308">
        <f>300/AW66</f>
        <v>7.8125E-2</v>
      </c>
      <c r="AX52" s="292"/>
      <c r="AY52" s="308">
        <f>300/AY66</f>
        <v>7.8125E-2</v>
      </c>
      <c r="AZ52" s="292"/>
      <c r="BA52" s="308">
        <f>300/BA66</f>
        <v>7.8125E-2</v>
      </c>
      <c r="BB52" s="292"/>
      <c r="BC52" s="308">
        <f>300/BC66</f>
        <v>7.8125E-2</v>
      </c>
      <c r="BD52" s="292"/>
      <c r="BE52" s="308">
        <f>300/BE66</f>
        <v>7.8125E-2</v>
      </c>
      <c r="BF52" s="292"/>
      <c r="BG52" s="308">
        <f>300/BG66</f>
        <v>7.8125E-2</v>
      </c>
      <c r="BH52" s="292"/>
      <c r="BI52" s="308">
        <f>300/BI66</f>
        <v>7.8125E-2</v>
      </c>
      <c r="BJ52" s="292"/>
      <c r="BK52" s="308">
        <f>300/BK66</f>
        <v>7.8125E-2</v>
      </c>
      <c r="BL52" s="292"/>
      <c r="BM52" s="308">
        <f>300/BM66</f>
        <v>7.8125E-2</v>
      </c>
      <c r="BN52" s="292"/>
      <c r="BO52" s="308">
        <f>300/BO66</f>
        <v>7.8125E-2</v>
      </c>
      <c r="BP52" s="292"/>
      <c r="BQ52" s="308">
        <f>300/BQ66</f>
        <v>7.8125E-2</v>
      </c>
      <c r="BR52" s="292"/>
      <c r="BS52" s="308">
        <f>300/BS66</f>
        <v>7.8125E-2</v>
      </c>
      <c r="BT52" s="292"/>
      <c r="BU52" s="308">
        <f>300/BU66</f>
        <v>7.8125E-2</v>
      </c>
      <c r="BV52" s="292"/>
      <c r="BW52" s="308">
        <f>300/BW66</f>
        <v>7.8125E-2</v>
      </c>
      <c r="BX52" s="292"/>
      <c r="BY52" s="308">
        <f>300/BY66</f>
        <v>7.8125E-2</v>
      </c>
      <c r="BZ52" s="292"/>
      <c r="CA52" s="308">
        <f>300/CA66</f>
        <v>7.8125E-2</v>
      </c>
      <c r="CB52" s="292"/>
      <c r="CC52" s="308">
        <f>300/CC66</f>
        <v>7.8125E-2</v>
      </c>
      <c r="CD52" s="292"/>
      <c r="CE52" s="308">
        <f>300/CE66</f>
        <v>7.8125E-2</v>
      </c>
      <c r="CF52" s="292"/>
      <c r="CG52" s="308">
        <f>300/CG66</f>
        <v>7.8125E-2</v>
      </c>
      <c r="CH52" s="292"/>
      <c r="CI52" s="308">
        <f>300/CI66</f>
        <v>7.8125E-2</v>
      </c>
      <c r="CJ52" s="292"/>
      <c r="CK52" s="308">
        <f>300/CK66</f>
        <v>7.8125E-2</v>
      </c>
      <c r="CL52" s="292"/>
      <c r="CM52" s="308">
        <f>300/CM66</f>
        <v>7.8125E-2</v>
      </c>
      <c r="CN52" s="292"/>
      <c r="CO52" s="308">
        <f>300/CO66</f>
        <v>7.8125E-2</v>
      </c>
      <c r="CP52" s="292"/>
      <c r="CQ52" s="308">
        <f>300/CQ66</f>
        <v>7.8125E-2</v>
      </c>
      <c r="CR52" s="292"/>
      <c r="CS52" s="308">
        <f>300/CS66</f>
        <v>7.8125E-2</v>
      </c>
      <c r="CT52" s="201"/>
      <c r="CU52" s="292"/>
      <c r="CV52" s="308">
        <f>300/CV66</f>
        <v>0.12568077084206117</v>
      </c>
      <c r="CW52" s="292"/>
      <c r="CX52" s="308">
        <f>300/CX66</f>
        <v>0.12568077084206117</v>
      </c>
      <c r="CY52" s="292"/>
      <c r="CZ52" s="308">
        <f>300/CZ66</f>
        <v>0.12568077084206117</v>
      </c>
      <c r="DA52" s="292"/>
      <c r="DB52" s="308">
        <f>300/DB66</f>
        <v>0.12568077084206117</v>
      </c>
      <c r="DC52" s="292"/>
      <c r="DD52" s="308">
        <f>300/DD66</f>
        <v>0.12568077084206117</v>
      </c>
      <c r="DE52" s="292"/>
      <c r="DF52" s="308">
        <f>300/DF66</f>
        <v>0.12568077084206117</v>
      </c>
      <c r="DG52" s="292"/>
      <c r="DH52" s="308">
        <f>300/DH66</f>
        <v>0.12568077084206117</v>
      </c>
      <c r="DI52" s="292"/>
      <c r="DJ52" s="308">
        <f>300/DJ66</f>
        <v>0.12568077084206117</v>
      </c>
      <c r="DK52" s="292"/>
      <c r="DL52" s="308">
        <f>300/DL66</f>
        <v>0.12568077084206117</v>
      </c>
      <c r="DM52" s="292"/>
      <c r="DN52" s="308">
        <f>300/DN66</f>
        <v>0.12568077084206117</v>
      </c>
      <c r="DO52" s="292"/>
      <c r="DP52" s="308">
        <f>300/DP66</f>
        <v>0.12568077084206117</v>
      </c>
      <c r="DQ52" s="292"/>
      <c r="DR52" s="308">
        <f>300/DR66</f>
        <v>0.12568077084206117</v>
      </c>
      <c r="DS52" s="292"/>
      <c r="DT52" s="308">
        <f>300/DT66</f>
        <v>0.12568077084206117</v>
      </c>
      <c r="DU52" s="292"/>
      <c r="DV52" s="308">
        <f>300/DV66</f>
        <v>0.12568077084206117</v>
      </c>
      <c r="DW52" s="292"/>
      <c r="DX52" s="308">
        <f>300/DX66</f>
        <v>0.12568077084206117</v>
      </c>
      <c r="DY52" s="292"/>
      <c r="DZ52" s="308">
        <f>300/DZ66</f>
        <v>0.12568077084206117</v>
      </c>
      <c r="EA52" s="292"/>
      <c r="EB52" s="308">
        <f>300/EB66</f>
        <v>0.12568077084206117</v>
      </c>
      <c r="EC52" s="292"/>
      <c r="ED52" s="308">
        <f>300/ED66</f>
        <v>0.12568077084206117</v>
      </c>
      <c r="EE52" s="292"/>
      <c r="EF52" s="308">
        <f>300/EF66</f>
        <v>0.12568077084206117</v>
      </c>
      <c r="EG52" s="292"/>
      <c r="EH52" s="308">
        <f>300/EH66</f>
        <v>0.12568077084206117</v>
      </c>
      <c r="EI52" s="292"/>
      <c r="EJ52" s="308">
        <f>300/EJ66</f>
        <v>0.12568077084206117</v>
      </c>
      <c r="EK52" s="292"/>
      <c r="EL52" s="308">
        <f>300/EL66</f>
        <v>0.12568077084206117</v>
      </c>
      <c r="EM52" s="292"/>
      <c r="EN52" s="308">
        <f>300/EN66</f>
        <v>0.12568077084206117</v>
      </c>
      <c r="EO52" s="292"/>
      <c r="EP52" s="308">
        <f>300/EP66</f>
        <v>0.12568077084206117</v>
      </c>
      <c r="EQ52" s="292"/>
      <c r="ER52" s="308">
        <f>300/ER66</f>
        <v>0.12568077084206117</v>
      </c>
      <c r="ES52" s="292"/>
      <c r="ET52" s="308">
        <f>300/ET66</f>
        <v>0.12568077084206117</v>
      </c>
      <c r="EU52" s="292"/>
      <c r="EV52" s="308">
        <f>300/EV66</f>
        <v>0.12568077084206117</v>
      </c>
      <c r="EW52" s="292"/>
      <c r="EX52" s="308">
        <f>300/EX66</f>
        <v>0.12568077084206117</v>
      </c>
      <c r="EY52" s="292"/>
      <c r="EZ52" s="308">
        <f>300/EZ66</f>
        <v>0.12568077084206117</v>
      </c>
      <c r="FA52" s="292"/>
      <c r="FB52" s="308">
        <f>300/FB66</f>
        <v>0.12568077084206117</v>
      </c>
      <c r="FC52" s="292"/>
      <c r="FD52" s="308">
        <f>300/FD66</f>
        <v>0.12568077084206117</v>
      </c>
      <c r="FE52" s="292"/>
      <c r="FF52" s="308">
        <f>300/FF66</f>
        <v>0.12568077084206117</v>
      </c>
      <c r="FG52" s="292"/>
      <c r="FH52" s="308">
        <f>300/FH66</f>
        <v>0.12568077084206117</v>
      </c>
      <c r="FI52" s="292"/>
      <c r="FJ52" s="308">
        <f>300/FJ66</f>
        <v>0.12568077084206117</v>
      </c>
      <c r="FK52" s="292"/>
      <c r="FL52" s="308">
        <f>300/FL66</f>
        <v>0.12568077084206117</v>
      </c>
      <c r="FM52" s="292"/>
      <c r="FN52" s="308">
        <f>300/FN66</f>
        <v>0.12568077084206117</v>
      </c>
      <c r="FO52" s="292"/>
      <c r="FP52" s="308">
        <f>300/FP66</f>
        <v>0.12568077084206117</v>
      </c>
      <c r="FQ52" s="186"/>
      <c r="FR52" s="292"/>
      <c r="FS52" s="308">
        <f>300/FS66</f>
        <v>7.8125E-2</v>
      </c>
      <c r="FT52" s="292"/>
      <c r="FU52" s="308">
        <f>300/FU66</f>
        <v>7.8125E-2</v>
      </c>
      <c r="FV52" s="292"/>
      <c r="FW52" s="308">
        <f>300/FW66</f>
        <v>7.8125E-2</v>
      </c>
      <c r="FX52" s="292"/>
      <c r="FY52" s="308">
        <f>300/FY66</f>
        <v>7.8125E-2</v>
      </c>
      <c r="FZ52" s="292"/>
      <c r="GA52" s="308">
        <f>300/GA66</f>
        <v>7.8125E-2</v>
      </c>
      <c r="GB52" s="292"/>
      <c r="GC52" s="308">
        <f>300/GC66</f>
        <v>7.8125E-2</v>
      </c>
      <c r="GD52" s="292"/>
      <c r="GE52" s="308">
        <f>300/GE66</f>
        <v>7.8125E-2</v>
      </c>
      <c r="GF52" s="292"/>
      <c r="GG52" s="308">
        <f>300/GG66</f>
        <v>7.8125E-2</v>
      </c>
      <c r="GH52" s="292"/>
      <c r="GI52" s="308">
        <f>300/GI66</f>
        <v>7.8125E-2</v>
      </c>
      <c r="GJ52" s="292"/>
      <c r="GK52" s="308">
        <f>300/GK66</f>
        <v>7.8125E-2</v>
      </c>
      <c r="GL52" s="292"/>
      <c r="GM52" s="308">
        <f>300/GM66</f>
        <v>7.8125E-2</v>
      </c>
      <c r="GN52" s="292"/>
      <c r="GO52" s="308">
        <f>300/GO66</f>
        <v>7.8125E-2</v>
      </c>
      <c r="GP52" s="292"/>
      <c r="GQ52" s="308">
        <f>300/GQ66</f>
        <v>7.8125E-2</v>
      </c>
      <c r="GR52" s="292"/>
      <c r="GS52" s="308">
        <f>300/GS66</f>
        <v>7.8125E-2</v>
      </c>
      <c r="GT52" s="292"/>
      <c r="GU52" s="308">
        <f>300/GU66</f>
        <v>7.8125E-2</v>
      </c>
      <c r="GV52" s="292"/>
      <c r="GW52" s="308">
        <f>300/GW66</f>
        <v>7.8125E-2</v>
      </c>
      <c r="GX52" s="292"/>
      <c r="GY52" s="308">
        <f>300/GY66</f>
        <v>7.8125E-2</v>
      </c>
      <c r="GZ52" s="292"/>
      <c r="HA52" s="308">
        <f>300/HA66</f>
        <v>7.8125E-2</v>
      </c>
      <c r="HB52" s="292"/>
      <c r="HC52" s="308">
        <f>300/HC66</f>
        <v>7.8125E-2</v>
      </c>
      <c r="HD52" s="292"/>
      <c r="HE52" s="308">
        <f>300/HE66</f>
        <v>7.8125E-2</v>
      </c>
      <c r="HF52" s="292"/>
      <c r="HG52" s="308">
        <f>300/HG66</f>
        <v>7.8125E-2</v>
      </c>
      <c r="HH52" s="292"/>
      <c r="HI52" s="308">
        <f>300/HI66</f>
        <v>7.8125E-2</v>
      </c>
      <c r="HJ52" s="292"/>
      <c r="HK52" s="308">
        <f>300/HK66</f>
        <v>7.8125E-2</v>
      </c>
      <c r="HL52" s="292"/>
      <c r="HM52" s="308">
        <f>300/HM66</f>
        <v>7.8125E-2</v>
      </c>
      <c r="HN52" s="292"/>
      <c r="HO52" s="308">
        <f>300/HO66</f>
        <v>7.8125E-2</v>
      </c>
      <c r="HP52" s="292"/>
      <c r="HQ52" s="308">
        <f>300/HQ66</f>
        <v>7.8125E-2</v>
      </c>
      <c r="HR52" s="292"/>
      <c r="HS52" s="308">
        <f>300/HS66</f>
        <v>7.8125E-2</v>
      </c>
      <c r="HT52" s="292"/>
      <c r="HU52" s="308">
        <f>300/HU66</f>
        <v>7.8125E-2</v>
      </c>
      <c r="HV52" s="292"/>
      <c r="HW52" s="308">
        <f>300/HW66</f>
        <v>7.8125E-2</v>
      </c>
      <c r="HX52" s="292"/>
      <c r="HY52" s="308">
        <f>300/HY66</f>
        <v>7.8125E-2</v>
      </c>
      <c r="HZ52" s="292"/>
      <c r="IA52" s="308">
        <f>300/IA66</f>
        <v>7.8125E-2</v>
      </c>
      <c r="IB52" s="292"/>
      <c r="IC52" s="308">
        <f>300/IC66</f>
        <v>7.8125E-2</v>
      </c>
      <c r="ID52" s="292"/>
      <c r="IE52" s="308">
        <f>300/IE66</f>
        <v>7.8125E-2</v>
      </c>
      <c r="IF52" s="292"/>
      <c r="IG52" s="308">
        <f>300/IG66</f>
        <v>7.8125E-2</v>
      </c>
      <c r="IH52" s="292"/>
      <c r="II52" s="308">
        <f>300/II66</f>
        <v>7.8125E-2</v>
      </c>
      <c r="IJ52" s="292"/>
      <c r="IK52" s="308">
        <f>300/IK66</f>
        <v>7.8125E-2</v>
      </c>
      <c r="IL52" s="292"/>
      <c r="IM52" s="308">
        <f>300/IM66</f>
        <v>7.8125E-2</v>
      </c>
      <c r="IN52" s="292"/>
      <c r="IO52" s="308">
        <f>300/IO66</f>
        <v>7.8125E-2</v>
      </c>
      <c r="IP52" s="292"/>
      <c r="IQ52" s="308">
        <f>300/IQ66</f>
        <v>7.8125E-2</v>
      </c>
      <c r="IR52" s="292"/>
      <c r="IS52" s="308">
        <f>300/IS66</f>
        <v>7.8125E-2</v>
      </c>
      <c r="IT52" s="292"/>
      <c r="IU52" s="308">
        <f>300/IU66</f>
        <v>7.8125E-2</v>
      </c>
      <c r="IV52" s="292"/>
      <c r="IW52" s="308">
        <f>300/IW66</f>
        <v>7.8125E-2</v>
      </c>
      <c r="IX52" s="292"/>
      <c r="IY52" s="308">
        <f>300/IY66</f>
        <v>7.8125E-2</v>
      </c>
      <c r="IZ52" s="186"/>
      <c r="JA52" s="292"/>
      <c r="JB52" s="308">
        <f>300/JB66</f>
        <v>7.8125E-2</v>
      </c>
      <c r="JC52" s="292"/>
      <c r="JD52" s="308">
        <f>300/JD66</f>
        <v>7.8125E-2</v>
      </c>
      <c r="JE52" s="186"/>
      <c r="JF52" s="292"/>
      <c r="JG52" s="308">
        <f>300/JG66</f>
        <v>7.1428571428571425E-2</v>
      </c>
      <c r="JH52" s="292"/>
      <c r="JI52" s="308">
        <f>300/JI66</f>
        <v>7.1428571428571425E-2</v>
      </c>
      <c r="JJ52" s="292"/>
      <c r="JK52" s="308">
        <f>300/JK66</f>
        <v>7.1428571428571425E-2</v>
      </c>
      <c r="JL52" s="292"/>
      <c r="JM52" s="308">
        <f>300/JM66</f>
        <v>7.1428571428571425E-2</v>
      </c>
      <c r="JN52" s="292"/>
      <c r="JO52" s="308">
        <f>300/JO66</f>
        <v>7.1428571428571425E-2</v>
      </c>
      <c r="JP52" s="292"/>
      <c r="JQ52" s="308">
        <f>300/JQ66</f>
        <v>7.1428571428571425E-2</v>
      </c>
      <c r="JR52" s="292"/>
      <c r="JS52" s="308">
        <f>300/JS66</f>
        <v>7.1428571428571425E-2</v>
      </c>
      <c r="JT52" s="292"/>
      <c r="JU52" s="308">
        <f>300/JU66</f>
        <v>7.1428571428571425E-2</v>
      </c>
      <c r="JV52" s="292"/>
      <c r="JW52" s="308">
        <f>300/JW66</f>
        <v>7.792207792207792E-2</v>
      </c>
      <c r="JX52" s="292"/>
      <c r="JY52" s="308">
        <f>300/JY66</f>
        <v>7.792207792207792E-2</v>
      </c>
      <c r="JZ52" s="292"/>
      <c r="KA52" s="308">
        <f>300/KA66</f>
        <v>7.792207792207792E-2</v>
      </c>
      <c r="KB52" s="292"/>
      <c r="KC52" s="308">
        <f>300/KC66</f>
        <v>7.792207792207792E-2</v>
      </c>
      <c r="KD52" s="292"/>
      <c r="KE52" s="308">
        <f>300/KE66</f>
        <v>7.792207792207792E-2</v>
      </c>
      <c r="KF52" s="292"/>
      <c r="KG52" s="308">
        <f>300/KG66</f>
        <v>7.792207792207792E-2</v>
      </c>
      <c r="KH52" s="292"/>
      <c r="KI52" s="308">
        <f>300/KI66</f>
        <v>7.792207792207792E-2</v>
      </c>
      <c r="KJ52" s="292"/>
      <c r="KK52" s="308">
        <f>300/KK66</f>
        <v>7.792207792207792E-2</v>
      </c>
      <c r="KL52" s="292"/>
      <c r="KM52" s="308">
        <f>300/KM66</f>
        <v>7.792207792207792E-2</v>
      </c>
      <c r="KN52" s="292"/>
      <c r="KO52" s="308">
        <f>300/KO66</f>
        <v>7.792207792207792E-2</v>
      </c>
      <c r="KP52" s="292"/>
      <c r="KQ52" s="308">
        <f>300/KQ66</f>
        <v>7.792207792207792E-2</v>
      </c>
      <c r="KR52" s="292"/>
      <c r="KS52" s="308">
        <f>300/KS66</f>
        <v>7.792207792207792E-2</v>
      </c>
      <c r="KT52" s="292"/>
      <c r="KU52" s="308">
        <f>300/KU66</f>
        <v>7.792207792207792E-2</v>
      </c>
      <c r="KV52" s="292"/>
      <c r="KW52" s="308">
        <f>300/KW66</f>
        <v>7.792207792207792E-2</v>
      </c>
      <c r="KX52" s="292"/>
      <c r="KY52" s="308">
        <f>300/KY66</f>
        <v>7.792207792207792E-2</v>
      </c>
      <c r="KZ52" s="292"/>
      <c r="LA52" s="308">
        <f>300/LA66</f>
        <v>7.792207792207792E-2</v>
      </c>
      <c r="LB52" s="292"/>
      <c r="LC52" s="308">
        <f>300/LC66</f>
        <v>7.792207792207792E-2</v>
      </c>
      <c r="LD52" s="292"/>
      <c r="LE52" s="308">
        <f>300/LE66</f>
        <v>7.792207792207792E-2</v>
      </c>
      <c r="LF52" s="292"/>
      <c r="LG52" s="308">
        <f>300/LG66</f>
        <v>7.792207792207792E-2</v>
      </c>
      <c r="LH52" s="292"/>
      <c r="LI52" s="308">
        <f>300/LI66</f>
        <v>7.792207792207792E-2</v>
      </c>
      <c r="LJ52" s="292"/>
      <c r="LK52" s="308">
        <f>300/LK66</f>
        <v>7.792207792207792E-2</v>
      </c>
      <c r="LL52" s="292"/>
      <c r="LM52" s="308">
        <f>300/LM66</f>
        <v>7.792207792207792E-2</v>
      </c>
      <c r="LN52" s="292"/>
      <c r="LO52" s="308">
        <f>300/LO66</f>
        <v>7.792207792207792E-2</v>
      </c>
      <c r="LP52" s="292"/>
      <c r="LQ52" s="308">
        <f>300/LQ66</f>
        <v>7.792207792207792E-2</v>
      </c>
      <c r="LR52" s="292"/>
      <c r="LS52" s="308">
        <f>300/LS66</f>
        <v>7.792207792207792E-2</v>
      </c>
      <c r="LT52" s="292"/>
      <c r="LU52" s="308">
        <f>300/LU66</f>
        <v>7.792207792207792E-2</v>
      </c>
      <c r="LV52" s="292"/>
      <c r="LW52" s="308">
        <f>300/LW66</f>
        <v>7.792207792207792E-2</v>
      </c>
      <c r="LX52" s="292"/>
      <c r="LY52" s="308">
        <f>300/LY66</f>
        <v>7.792207792207792E-2</v>
      </c>
      <c r="LZ52" s="292"/>
      <c r="MA52" s="308">
        <f>300/MA66</f>
        <v>7.792207792207792E-2</v>
      </c>
      <c r="MB52" s="292"/>
      <c r="MC52" s="308">
        <f>300/MC66</f>
        <v>7.792207792207792E-2</v>
      </c>
      <c r="MD52" s="292"/>
      <c r="ME52" s="308">
        <f>300/ME66</f>
        <v>7.792207792207792E-2</v>
      </c>
      <c r="MF52" s="292"/>
      <c r="MG52" s="308">
        <f>300/MG66</f>
        <v>7.792207792207792E-2</v>
      </c>
      <c r="MH52" s="186"/>
      <c r="MI52" s="292"/>
      <c r="MJ52" s="308">
        <f>300/MJ66</f>
        <v>7.292173067574137E-2</v>
      </c>
      <c r="MK52" s="292"/>
      <c r="ML52" s="308">
        <f>300/ML66</f>
        <v>7.292173067574137E-2</v>
      </c>
      <c r="MM52" s="292"/>
      <c r="MN52" s="308">
        <f>300/MN66</f>
        <v>7.292173067574137E-2</v>
      </c>
      <c r="MO52" s="292"/>
      <c r="MP52" s="308">
        <f>300/MP66</f>
        <v>7.292173067574137E-2</v>
      </c>
      <c r="MQ52" s="292"/>
      <c r="MR52" s="308">
        <f>300/MR66</f>
        <v>7.292173067574137E-2</v>
      </c>
      <c r="MS52" s="292"/>
      <c r="MT52" s="308">
        <f>300/MT66</f>
        <v>7.292173067574137E-2</v>
      </c>
      <c r="MU52" s="292"/>
      <c r="MV52" s="308">
        <f>300/MV66</f>
        <v>7.292173067574137E-2</v>
      </c>
      <c r="MW52" s="292"/>
      <c r="MX52" s="308">
        <f>300/MX66</f>
        <v>7.292173067574137E-2</v>
      </c>
      <c r="MY52" s="292"/>
      <c r="MZ52" s="308">
        <f>300/MZ66</f>
        <v>7.292173067574137E-2</v>
      </c>
      <c r="NA52" s="292"/>
      <c r="NB52" s="308">
        <f>300/NB66</f>
        <v>7.292173067574137E-2</v>
      </c>
      <c r="NC52" s="292"/>
      <c r="ND52" s="308">
        <f>300/ND66</f>
        <v>7.292173067574137E-2</v>
      </c>
      <c r="NE52" s="292"/>
      <c r="NF52" s="308">
        <f>300/NF66</f>
        <v>7.292173067574137E-2</v>
      </c>
      <c r="NG52" s="292"/>
      <c r="NH52" s="308">
        <f>300/NH66</f>
        <v>7.292173067574137E-2</v>
      </c>
      <c r="NI52" s="292"/>
      <c r="NJ52" s="308">
        <f>300/NJ66</f>
        <v>7.292173067574137E-2</v>
      </c>
      <c r="NK52" s="292"/>
      <c r="NL52" s="308">
        <f>300/NL66</f>
        <v>7.292173067574137E-2</v>
      </c>
      <c r="NM52" s="292"/>
      <c r="NN52" s="308">
        <f>300/NN66</f>
        <v>7.292173067574137E-2</v>
      </c>
      <c r="NO52" s="292"/>
      <c r="NP52" s="308">
        <f>300/NP66</f>
        <v>7.292173067574137E-2</v>
      </c>
      <c r="NQ52" s="292"/>
      <c r="NR52" s="308">
        <f>300/NR66</f>
        <v>7.292173067574137E-2</v>
      </c>
      <c r="NS52" s="292"/>
      <c r="NT52" s="308">
        <f>300/NT66</f>
        <v>7.292173067574137E-2</v>
      </c>
      <c r="NU52" s="292"/>
      <c r="NV52" s="308">
        <f>300/NV66</f>
        <v>7.292173067574137E-2</v>
      </c>
      <c r="NW52" s="292"/>
      <c r="NX52" s="308">
        <f>300/NX66</f>
        <v>7.292173067574137E-2</v>
      </c>
      <c r="NY52" s="292"/>
      <c r="NZ52" s="308">
        <f>300/NZ66</f>
        <v>7.292173067574137E-2</v>
      </c>
      <c r="OA52" s="292"/>
      <c r="OB52" s="308">
        <f>300/OB66</f>
        <v>7.292173067574137E-2</v>
      </c>
      <c r="OC52" s="292"/>
      <c r="OD52" s="308">
        <f>300/OD66</f>
        <v>7.292173067574137E-2</v>
      </c>
      <c r="OE52" s="292"/>
      <c r="OF52" s="308">
        <f>300/OF66</f>
        <v>7.292173067574137E-2</v>
      </c>
      <c r="OG52" s="292"/>
      <c r="OH52" s="308">
        <f>300/OH66</f>
        <v>7.292173067574137E-2</v>
      </c>
      <c r="OI52" s="292"/>
      <c r="OJ52" s="308">
        <f>300/OJ66</f>
        <v>7.292173067574137E-2</v>
      </c>
      <c r="OK52" s="292"/>
      <c r="OL52" s="308">
        <f>300/OL66</f>
        <v>7.292173067574137E-2</v>
      </c>
      <c r="OM52" s="292"/>
      <c r="ON52" s="308">
        <f>300/ON66</f>
        <v>7.292173067574137E-2</v>
      </c>
      <c r="OO52" s="292"/>
      <c r="OP52" s="308">
        <f>300/OP66</f>
        <v>7.292173067574137E-2</v>
      </c>
      <c r="OQ52" s="292"/>
      <c r="OR52" s="308">
        <f>300/OR66</f>
        <v>7.292173067574137E-2</v>
      </c>
      <c r="OS52" s="292"/>
      <c r="OT52" s="308">
        <f>300/OT66</f>
        <v>7.292173067574137E-2</v>
      </c>
      <c r="OU52" s="292"/>
      <c r="OV52" s="308">
        <f>300/OV66</f>
        <v>7.292173067574137E-2</v>
      </c>
      <c r="OW52" s="292"/>
      <c r="OX52" s="308">
        <f>300/OX66</f>
        <v>7.292173067574137E-2</v>
      </c>
      <c r="OY52" s="292"/>
      <c r="OZ52" s="308">
        <f>300/OZ66</f>
        <v>7.292173067574137E-2</v>
      </c>
      <c r="PA52" s="292"/>
      <c r="PB52" s="308">
        <f>300/PB66</f>
        <v>7.292173067574137E-2</v>
      </c>
      <c r="PC52" s="292"/>
      <c r="PD52" s="308">
        <f>300/PD66</f>
        <v>7.292173067574137E-2</v>
      </c>
      <c r="PE52" s="292"/>
      <c r="PF52" s="308">
        <f>300/PF66</f>
        <v>7.292173067574137E-2</v>
      </c>
      <c r="PG52" s="292"/>
      <c r="PH52" s="308">
        <f>300/PH66</f>
        <v>7.292173067574137E-2</v>
      </c>
      <c r="PI52" s="292"/>
      <c r="PJ52" s="308">
        <f>300/PJ66</f>
        <v>7.292173067574137E-2</v>
      </c>
      <c r="PK52" s="292"/>
      <c r="PL52" s="308">
        <f>300/PL66</f>
        <v>7.292173067574137E-2</v>
      </c>
      <c r="PM52" s="292"/>
      <c r="PN52" s="308">
        <f>300/PN66</f>
        <v>7.292173067574137E-2</v>
      </c>
      <c r="PO52" s="292"/>
      <c r="PP52" s="308">
        <f>300/PP66</f>
        <v>7.292173067574137E-2</v>
      </c>
      <c r="PR52" s="292"/>
      <c r="PS52" s="308">
        <f>300/PS66</f>
        <v>5.1724137931034482E-2</v>
      </c>
      <c r="PT52" s="292"/>
      <c r="PU52" s="308">
        <f>300/PU66</f>
        <v>5.1724137931034482E-2</v>
      </c>
      <c r="PV52" s="292"/>
      <c r="PW52" s="308">
        <f>300/PW66</f>
        <v>5.1724137931034482E-2</v>
      </c>
      <c r="PX52" s="292"/>
      <c r="PY52" s="308">
        <f>300/PY66</f>
        <v>5.1724137931034482E-2</v>
      </c>
      <c r="PZ52" s="292"/>
      <c r="QA52" s="308">
        <f>300/QA66</f>
        <v>5.1724137931034482E-2</v>
      </c>
      <c r="QB52" s="292"/>
      <c r="QC52" s="308">
        <f>300/QC66</f>
        <v>5.1724137931034482E-2</v>
      </c>
      <c r="QF52" s="292"/>
      <c r="QG52" s="308">
        <f>300/QG66</f>
        <v>5.1724137931034482E-2</v>
      </c>
      <c r="QH52" s="292"/>
      <c r="QI52" s="308">
        <f>300/QI66</f>
        <v>5.1724137931034482E-2</v>
      </c>
      <c r="QJ52" s="292"/>
      <c r="QK52" s="308">
        <f>300/QK66</f>
        <v>5.1724137931034482E-2</v>
      </c>
      <c r="QL52" s="292"/>
      <c r="QM52" s="308">
        <f>300/QM66</f>
        <v>5.1724137931034482E-2</v>
      </c>
      <c r="QN52" s="292"/>
      <c r="QO52" s="308">
        <f>300/QO66</f>
        <v>5.1724137931034482E-2</v>
      </c>
      <c r="QP52" s="292"/>
      <c r="QQ52" s="308">
        <f>300/QQ66</f>
        <v>5.1724137931034482E-2</v>
      </c>
    </row>
    <row r="53" spans="1:459" x14ac:dyDescent="0.45">
      <c r="A53" s="871"/>
      <c r="B53" s="309" t="s">
        <v>359</v>
      </c>
      <c r="C53" s="310"/>
      <c r="D53" s="311"/>
      <c r="E53" s="231"/>
      <c r="F53" s="312"/>
      <c r="G53" s="313">
        <f>G52/G55</f>
        <v>1.6276041666666664E-2</v>
      </c>
      <c r="H53" s="312"/>
      <c r="I53" s="313">
        <f>I52/I55</f>
        <v>1.6276041666666664E-2</v>
      </c>
      <c r="J53" s="312"/>
      <c r="K53" s="313">
        <f>K52/K55</f>
        <v>1.3130252100840336E-2</v>
      </c>
      <c r="L53" s="312"/>
      <c r="M53" s="313">
        <f>M52/M55</f>
        <v>1.3130252100840336E-2</v>
      </c>
      <c r="N53" s="312"/>
      <c r="O53" s="313">
        <f>O52/O55</f>
        <v>1.240079365079365E-2</v>
      </c>
      <c r="P53" s="312"/>
      <c r="Q53" s="313">
        <f>Q52/Q55</f>
        <v>1.1837121212121212E-2</v>
      </c>
      <c r="R53" s="312"/>
      <c r="S53" s="313">
        <f>S52/S55</f>
        <v>1.1837121212121212E-2</v>
      </c>
      <c r="T53" s="312"/>
      <c r="U53" s="313">
        <f>U52/U55</f>
        <v>1.1160714285714286E-2</v>
      </c>
      <c r="V53" s="312"/>
      <c r="W53" s="313">
        <f>W52/W55</f>
        <v>1.1160714285714286E-2</v>
      </c>
      <c r="X53" s="312"/>
      <c r="Y53" s="313">
        <f>Y52/Y55</f>
        <v>1.1241007194244604E-2</v>
      </c>
      <c r="Z53" s="312"/>
      <c r="AA53" s="313">
        <f>AA52/AA55</f>
        <v>1.1241007194244604E-2</v>
      </c>
      <c r="AB53" s="312"/>
      <c r="AC53" s="313">
        <f>AC52/AC55</f>
        <v>1.1241007194244604E-2</v>
      </c>
      <c r="AD53" s="312"/>
      <c r="AE53" s="313">
        <f>AE52/AE55</f>
        <v>1.0416666666666666E-2</v>
      </c>
      <c r="AF53" s="312"/>
      <c r="AG53" s="313">
        <f>AG52/AG55</f>
        <v>1.0416666666666666E-2</v>
      </c>
      <c r="AH53" s="312"/>
      <c r="AI53" s="313">
        <f>AI52/AI55</f>
        <v>1.0416666666666666E-2</v>
      </c>
      <c r="AJ53" s="312"/>
      <c r="AK53" s="313">
        <f>AK52/AK55</f>
        <v>1.0416666666666666E-2</v>
      </c>
      <c r="AL53" s="312"/>
      <c r="AM53" s="313">
        <f>AM52/AM55</f>
        <v>1.0416666666666666E-2</v>
      </c>
      <c r="AN53" s="312"/>
      <c r="AO53" s="313">
        <f>AO52/AO55</f>
        <v>1.0416666666666666E-2</v>
      </c>
      <c r="AP53" s="312"/>
      <c r="AQ53" s="313">
        <f>AQ52/AQ55</f>
        <v>1.0416666666666666E-2</v>
      </c>
      <c r="AR53" s="312"/>
      <c r="AS53" s="313">
        <f>AS52/AS55</f>
        <v>1.0416666666666666E-2</v>
      </c>
      <c r="AT53" s="312"/>
      <c r="AU53" s="313">
        <f>AU52/AU55</f>
        <v>1.0416666666666666E-2</v>
      </c>
      <c r="AV53" s="312"/>
      <c r="AW53" s="313">
        <f>AW52/AW55</f>
        <v>1.0416666666666666E-2</v>
      </c>
      <c r="AX53" s="312"/>
      <c r="AY53" s="313">
        <f>AY52/AY55</f>
        <v>1.0416666666666666E-2</v>
      </c>
      <c r="AZ53" s="312"/>
      <c r="BA53" s="313">
        <f>BA52/BA55</f>
        <v>1.0416666666666666E-2</v>
      </c>
      <c r="BB53" s="312"/>
      <c r="BC53" s="313">
        <f>BC52/BC55</f>
        <v>1.0416666666666666E-2</v>
      </c>
      <c r="BD53" s="312"/>
      <c r="BE53" s="313">
        <f>BE52/BE55</f>
        <v>1.0416666666666666E-2</v>
      </c>
      <c r="BF53" s="312"/>
      <c r="BG53" s="313">
        <f>BG52/BG55</f>
        <v>1.0416666666666666E-2</v>
      </c>
      <c r="BH53" s="312"/>
      <c r="BI53" s="313">
        <f>BI52/BI55</f>
        <v>1.0416666666666666E-2</v>
      </c>
      <c r="BJ53" s="312"/>
      <c r="BK53" s="313">
        <f>BK52/BK55</f>
        <v>1.0416666666666666E-2</v>
      </c>
      <c r="BL53" s="312"/>
      <c r="BM53" s="313">
        <f>BM52/BM55</f>
        <v>1.0416666666666666E-2</v>
      </c>
      <c r="BN53" s="312"/>
      <c r="BO53" s="313">
        <f>BO52/BO55</f>
        <v>1.0416666666666666E-2</v>
      </c>
      <c r="BP53" s="312"/>
      <c r="BQ53" s="313">
        <f>BQ52/BQ55</f>
        <v>1.0416666666666666E-2</v>
      </c>
      <c r="BR53" s="312"/>
      <c r="BS53" s="313">
        <f>BS52/BS55</f>
        <v>1.0416666666666666E-2</v>
      </c>
      <c r="BT53" s="312"/>
      <c r="BU53" s="313">
        <f>BU52/BU55</f>
        <v>1.0416666666666666E-2</v>
      </c>
      <c r="BV53" s="312"/>
      <c r="BW53" s="313">
        <f>BW52/BW55</f>
        <v>1.0416666666666666E-2</v>
      </c>
      <c r="BX53" s="312"/>
      <c r="BY53" s="313">
        <f>BY52/BY55</f>
        <v>1.0416666666666666E-2</v>
      </c>
      <c r="BZ53" s="312"/>
      <c r="CA53" s="313">
        <f>CA52/CA55</f>
        <v>1.0416666666666666E-2</v>
      </c>
      <c r="CB53" s="312"/>
      <c r="CC53" s="313">
        <f>CC52/CC55</f>
        <v>1.0416666666666666E-2</v>
      </c>
      <c r="CD53" s="312"/>
      <c r="CE53" s="313">
        <f>CE52/CE55</f>
        <v>1.0416666666666666E-2</v>
      </c>
      <c r="CF53" s="312"/>
      <c r="CG53" s="313">
        <f>CG52/CG55</f>
        <v>1.0416666666666666E-2</v>
      </c>
      <c r="CH53" s="312"/>
      <c r="CI53" s="313">
        <f>CI52/CI55</f>
        <v>1.0416666666666666E-2</v>
      </c>
      <c r="CJ53" s="312"/>
      <c r="CK53" s="313">
        <f>CK52/CK55</f>
        <v>1.0416666666666666E-2</v>
      </c>
      <c r="CL53" s="312"/>
      <c r="CM53" s="313">
        <f>CM52/CM55</f>
        <v>1.0416666666666666E-2</v>
      </c>
      <c r="CN53" s="312"/>
      <c r="CO53" s="313">
        <f>CO52/CO55</f>
        <v>1.0416666666666666E-2</v>
      </c>
      <c r="CP53" s="312"/>
      <c r="CQ53" s="313">
        <f>CQ52/CQ55</f>
        <v>1.0416666666666666E-2</v>
      </c>
      <c r="CR53" s="312"/>
      <c r="CS53" s="313">
        <f>CS52/CS55</f>
        <v>1.0416666666666666E-2</v>
      </c>
      <c r="CT53" s="245"/>
      <c r="CU53" s="312"/>
      <c r="CV53" s="313">
        <f>CV52/CV55</f>
        <v>1.3229554825480123E-2</v>
      </c>
      <c r="CW53" s="312"/>
      <c r="CX53" s="313">
        <f>CX52/CX55</f>
        <v>1.3229554825480123E-2</v>
      </c>
      <c r="CY53" s="312"/>
      <c r="CZ53" s="313">
        <f>CZ52/CZ55</f>
        <v>1.2824568453271548E-2</v>
      </c>
      <c r="DA53" s="312"/>
      <c r="DB53" s="313">
        <f>DB52/DB55</f>
        <v>1.2824568453271548E-2</v>
      </c>
      <c r="DC53" s="312"/>
      <c r="DD53" s="313">
        <f>DD52/DD55</f>
        <v>1.1530345948812951E-2</v>
      </c>
      <c r="DE53" s="312"/>
      <c r="DF53" s="313">
        <f>DF52/DF55</f>
        <v>1.1530345948812951E-2</v>
      </c>
      <c r="DG53" s="312"/>
      <c r="DH53" s="313">
        <f>DH52/DH55</f>
        <v>1.1530345948812951E-2</v>
      </c>
      <c r="DI53" s="312"/>
      <c r="DJ53" s="313">
        <f>DJ52/DJ55</f>
        <v>1.1530345948812951E-2</v>
      </c>
      <c r="DK53" s="312"/>
      <c r="DL53" s="313">
        <f>DL52/DL55</f>
        <v>1.1530345948812951E-2</v>
      </c>
      <c r="DM53" s="312"/>
      <c r="DN53" s="313">
        <f>DN52/DN55</f>
        <v>1.1530345948812951E-2</v>
      </c>
      <c r="DO53" s="312"/>
      <c r="DP53" s="313">
        <f>DP52/DP55</f>
        <v>1.1530345948812951E-2</v>
      </c>
      <c r="DQ53" s="312"/>
      <c r="DR53" s="313">
        <f>DR52/DR55</f>
        <v>1.1530345948812951E-2</v>
      </c>
      <c r="DS53" s="312"/>
      <c r="DT53" s="313">
        <f>DT52/DT55</f>
        <v>1.1530345948812951E-2</v>
      </c>
      <c r="DU53" s="312"/>
      <c r="DV53" s="313">
        <f>DV52/DV55</f>
        <v>1.1530345948812951E-2</v>
      </c>
      <c r="DW53" s="312"/>
      <c r="DX53" s="313">
        <f>DX52/DX55</f>
        <v>1.1530345948812951E-2</v>
      </c>
      <c r="DY53" s="312"/>
      <c r="DZ53" s="313">
        <f>DZ52/DZ55</f>
        <v>1.1530345948812951E-2</v>
      </c>
      <c r="EA53" s="312"/>
      <c r="EB53" s="313">
        <f>EB52/EB55</f>
        <v>1.1530345948812951E-2</v>
      </c>
      <c r="EC53" s="312"/>
      <c r="ED53" s="313">
        <f>ED52/ED55</f>
        <v>1.1530345948812951E-2</v>
      </c>
      <c r="EE53" s="312"/>
      <c r="EF53" s="313">
        <f>EF52/EF55</f>
        <v>1.1530345948812951E-2</v>
      </c>
      <c r="EG53" s="312"/>
      <c r="EH53" s="313">
        <f>EH52/EH55</f>
        <v>1.1530345948812951E-2</v>
      </c>
      <c r="EI53" s="312"/>
      <c r="EJ53" s="313">
        <f>EJ52/EJ55</f>
        <v>1.1530345948812951E-2</v>
      </c>
      <c r="EK53" s="312"/>
      <c r="EL53" s="313">
        <f>EL52/EL55</f>
        <v>1.1530345948812951E-2</v>
      </c>
      <c r="EM53" s="312"/>
      <c r="EN53" s="313">
        <f>EN52/EN55</f>
        <v>1.1530345948812951E-2</v>
      </c>
      <c r="EO53" s="312"/>
      <c r="EP53" s="313">
        <f>EP52/EP55</f>
        <v>1.1530345948812951E-2</v>
      </c>
      <c r="EQ53" s="312"/>
      <c r="ER53" s="313">
        <f>ER52/ER55</f>
        <v>1.1530345948812951E-2</v>
      </c>
      <c r="ES53" s="312"/>
      <c r="ET53" s="313">
        <f>ET52/ET55</f>
        <v>1.1530345948812951E-2</v>
      </c>
      <c r="EU53" s="312"/>
      <c r="EV53" s="313">
        <f>EV52/EV55</f>
        <v>1.1530345948812951E-2</v>
      </c>
      <c r="EW53" s="312"/>
      <c r="EX53" s="313">
        <f>EX52/EX55</f>
        <v>1.1530345948812951E-2</v>
      </c>
      <c r="EY53" s="312"/>
      <c r="EZ53" s="313">
        <f>EZ52/EZ55</f>
        <v>1.1530345948812951E-2</v>
      </c>
      <c r="FA53" s="312"/>
      <c r="FB53" s="313">
        <f>FB52/FB55</f>
        <v>1.1530345948812951E-2</v>
      </c>
      <c r="FC53" s="312"/>
      <c r="FD53" s="313">
        <f>FD52/FD55</f>
        <v>1.1530345948812951E-2</v>
      </c>
      <c r="FE53" s="312"/>
      <c r="FF53" s="313">
        <f>FF52/FF55</f>
        <v>1.1530345948812951E-2</v>
      </c>
      <c r="FG53" s="312"/>
      <c r="FH53" s="313">
        <f>FH52/FH55</f>
        <v>1.1530345948812951E-2</v>
      </c>
      <c r="FI53" s="312"/>
      <c r="FJ53" s="313">
        <f>FJ52/FJ55</f>
        <v>1.1530345948812951E-2</v>
      </c>
      <c r="FK53" s="312"/>
      <c r="FL53" s="313">
        <f>FL52/FL55</f>
        <v>1.1530345948812951E-2</v>
      </c>
      <c r="FM53" s="312"/>
      <c r="FN53" s="313">
        <f>FN52/FN55</f>
        <v>1.1530345948812951E-2</v>
      </c>
      <c r="FO53" s="312"/>
      <c r="FP53" s="313">
        <f>FP52/FP55</f>
        <v>1.1530345948812951E-2</v>
      </c>
      <c r="FQ53" s="231"/>
      <c r="FR53" s="312"/>
      <c r="FS53" s="313">
        <f>FS52/FS55</f>
        <v>1.3130252100840336E-2</v>
      </c>
      <c r="FT53" s="312"/>
      <c r="FU53" s="313">
        <f>FU52/FU55</f>
        <v>1.240079365079365E-2</v>
      </c>
      <c r="FV53" s="312"/>
      <c r="FW53" s="313">
        <f>FW52/FW55</f>
        <v>1.1837121212121212E-2</v>
      </c>
      <c r="FX53" s="312"/>
      <c r="FY53" s="313">
        <f>FY52/FY55</f>
        <v>1.1837121212121212E-2</v>
      </c>
      <c r="FZ53" s="312"/>
      <c r="GA53" s="313">
        <f>GA52/GA55</f>
        <v>1.1160714285714286E-2</v>
      </c>
      <c r="GB53" s="312"/>
      <c r="GC53" s="313">
        <f>GC52/GC55</f>
        <v>1.1160714285714286E-2</v>
      </c>
      <c r="GD53" s="312"/>
      <c r="GE53" s="313">
        <f>GE52/GE55</f>
        <v>1.1241007194244604E-2</v>
      </c>
      <c r="GF53" s="312"/>
      <c r="GG53" s="313">
        <f>GG52/GG55</f>
        <v>1.1241007194244604E-2</v>
      </c>
      <c r="GH53" s="312"/>
      <c r="GI53" s="313">
        <f>GI52/GI55</f>
        <v>1.1241007194244604E-2</v>
      </c>
      <c r="GJ53" s="312"/>
      <c r="GK53" s="313">
        <f>GK52/GK55</f>
        <v>9.5274390243902454E-3</v>
      </c>
      <c r="GL53" s="312"/>
      <c r="GM53" s="313">
        <f>GM52/GM55</f>
        <v>9.5274390243902454E-3</v>
      </c>
      <c r="GN53" s="312"/>
      <c r="GO53" s="313">
        <f>GO52/GO55</f>
        <v>9.5274390243902454E-3</v>
      </c>
      <c r="GP53" s="312"/>
      <c r="GQ53" s="313">
        <f>GQ52/GQ55</f>
        <v>9.5274390243902454E-3</v>
      </c>
      <c r="GR53" s="312"/>
      <c r="GS53" s="313">
        <f>GS52/GS55</f>
        <v>9.5274390243902454E-3</v>
      </c>
      <c r="GT53" s="312"/>
      <c r="GU53" s="313">
        <f>GU52/GU55</f>
        <v>9.5274390243902454E-3</v>
      </c>
      <c r="GV53" s="312"/>
      <c r="GW53" s="313">
        <f>GW52/GW55</f>
        <v>9.5274390243902454E-3</v>
      </c>
      <c r="GX53" s="312"/>
      <c r="GY53" s="313">
        <f>GY52/GY55</f>
        <v>9.5274390243902454E-3</v>
      </c>
      <c r="GZ53" s="312"/>
      <c r="HA53" s="313">
        <f>HA52/HA55</f>
        <v>9.5274390243902454E-3</v>
      </c>
      <c r="HB53" s="312"/>
      <c r="HC53" s="313">
        <f>HC52/HC55</f>
        <v>9.5274390243902454E-3</v>
      </c>
      <c r="HD53" s="312"/>
      <c r="HE53" s="313">
        <f>HE52/HE55</f>
        <v>9.5274390243902454E-3</v>
      </c>
      <c r="HF53" s="312"/>
      <c r="HG53" s="313">
        <f>HG52/HG55</f>
        <v>9.5274390243902454E-3</v>
      </c>
      <c r="HH53" s="312"/>
      <c r="HI53" s="313">
        <f>HI52/HI55</f>
        <v>9.5274390243902454E-3</v>
      </c>
      <c r="HJ53" s="312"/>
      <c r="HK53" s="313">
        <f>HK52/HK55</f>
        <v>9.5274390243902454E-3</v>
      </c>
      <c r="HL53" s="312"/>
      <c r="HM53" s="313">
        <f>HM52/HM55</f>
        <v>9.5274390243902454E-3</v>
      </c>
      <c r="HN53" s="312"/>
      <c r="HO53" s="313">
        <f>HO52/HO55</f>
        <v>9.5274390243902454E-3</v>
      </c>
      <c r="HP53" s="312"/>
      <c r="HQ53" s="313">
        <f>HQ52/HQ55</f>
        <v>9.5274390243902454E-3</v>
      </c>
      <c r="HR53" s="312"/>
      <c r="HS53" s="313">
        <f>HS52/HS55</f>
        <v>9.5274390243902454E-3</v>
      </c>
      <c r="HT53" s="312"/>
      <c r="HU53" s="313">
        <f>HU52/HU55</f>
        <v>9.5274390243902454E-3</v>
      </c>
      <c r="HV53" s="312"/>
      <c r="HW53" s="313">
        <f>HW52/HW55</f>
        <v>9.5274390243902454E-3</v>
      </c>
      <c r="HX53" s="312"/>
      <c r="HY53" s="313">
        <f>HY52/HY55</f>
        <v>9.5274390243902454E-3</v>
      </c>
      <c r="HZ53" s="312"/>
      <c r="IA53" s="313">
        <f>IA52/IA55</f>
        <v>9.5274390243902454E-3</v>
      </c>
      <c r="IB53" s="312"/>
      <c r="IC53" s="313">
        <f>IC52/IC55</f>
        <v>9.5274390243902454E-3</v>
      </c>
      <c r="ID53" s="312"/>
      <c r="IE53" s="313">
        <f>IE52/IE55</f>
        <v>9.5274390243902454E-3</v>
      </c>
      <c r="IF53" s="312"/>
      <c r="IG53" s="313">
        <f>IG52/IG55</f>
        <v>9.5274390243902454E-3</v>
      </c>
      <c r="IH53" s="312"/>
      <c r="II53" s="313">
        <f>II52/II55</f>
        <v>9.5274390243902454E-3</v>
      </c>
      <c r="IJ53" s="312"/>
      <c r="IK53" s="313">
        <f>IK52/IK55</f>
        <v>9.5274390243902454E-3</v>
      </c>
      <c r="IL53" s="312"/>
      <c r="IM53" s="313">
        <f>IM52/IM55</f>
        <v>9.5274390243902454E-3</v>
      </c>
      <c r="IN53" s="312"/>
      <c r="IO53" s="313">
        <f>IO52/IO55</f>
        <v>9.5274390243902454E-3</v>
      </c>
      <c r="IP53" s="312"/>
      <c r="IQ53" s="313">
        <f>IQ52/IQ55</f>
        <v>9.5274390243902454E-3</v>
      </c>
      <c r="IR53" s="312"/>
      <c r="IS53" s="313">
        <f>IS52/IS55</f>
        <v>9.5274390243902454E-3</v>
      </c>
      <c r="IT53" s="312"/>
      <c r="IU53" s="313">
        <f>IU52/IU55</f>
        <v>9.5274390243902454E-3</v>
      </c>
      <c r="IV53" s="312"/>
      <c r="IW53" s="313">
        <f>IW52/IW55</f>
        <v>9.5274390243902454E-3</v>
      </c>
      <c r="IX53" s="312"/>
      <c r="IY53" s="313">
        <f>IY52/IY55</f>
        <v>9.5274390243902454E-3</v>
      </c>
      <c r="IZ53" s="231"/>
      <c r="JA53" s="312"/>
      <c r="JB53" s="313">
        <f>JB52/JB55</f>
        <v>9.5274390243902454E-3</v>
      </c>
      <c r="JC53" s="312"/>
      <c r="JD53" s="313">
        <f>JD52/JD55</f>
        <v>9.5274390243902454E-3</v>
      </c>
      <c r="JE53" s="231"/>
      <c r="JF53" s="312"/>
      <c r="JG53" s="313">
        <f>JG52/JG55</f>
        <v>1.2755102040816327E-2</v>
      </c>
      <c r="JH53" s="312"/>
      <c r="JI53" s="313">
        <f>JI52/JI55</f>
        <v>1.2004801920768306E-2</v>
      </c>
      <c r="JJ53" s="312"/>
      <c r="JK53" s="313">
        <f>JK52/JK55</f>
        <v>1.1520737327188939E-2</v>
      </c>
      <c r="JL53" s="312"/>
      <c r="JM53" s="313">
        <f>JM52/JM55</f>
        <v>1.1520737327188939E-2</v>
      </c>
      <c r="JN53" s="312"/>
      <c r="JO53" s="313">
        <f>JO52/JO55</f>
        <v>1.0660980810234541E-2</v>
      </c>
      <c r="JP53" s="312"/>
      <c r="JQ53" s="313">
        <f>JQ52/JQ55</f>
        <v>1.0660980810234541E-2</v>
      </c>
      <c r="JR53" s="312"/>
      <c r="JS53" s="313">
        <f>JS52/JS55</f>
        <v>1.0660980810234541E-2</v>
      </c>
      <c r="JT53" s="312"/>
      <c r="JU53" s="313">
        <f>JU52/JU55</f>
        <v>1.0660980810234541E-2</v>
      </c>
      <c r="JV53" s="312"/>
      <c r="JW53" s="313">
        <f>JW52/JW55</f>
        <v>1.1630160883892227E-2</v>
      </c>
      <c r="JX53" s="312"/>
      <c r="JY53" s="313">
        <f>JY52/JY55</f>
        <v>1.1630160883892227E-2</v>
      </c>
      <c r="JZ53" s="312"/>
      <c r="KA53" s="313">
        <f>KA52/KA55</f>
        <v>1.1630160883892227E-2</v>
      </c>
      <c r="KB53" s="312"/>
      <c r="KC53" s="313">
        <f>KC52/KC55</f>
        <v>1.1630160883892227E-2</v>
      </c>
      <c r="KD53" s="312"/>
      <c r="KE53" s="313">
        <f>KE52/KE55</f>
        <v>1.1630160883892227E-2</v>
      </c>
      <c r="KF53" s="312"/>
      <c r="KG53" s="313">
        <f>KG52/KG55</f>
        <v>1.1630160883892227E-2</v>
      </c>
      <c r="KH53" s="312"/>
      <c r="KI53" s="313">
        <f>KI52/KI55</f>
        <v>1.1630160883892227E-2</v>
      </c>
      <c r="KJ53" s="312"/>
      <c r="KK53" s="313">
        <f>KK52/KK55</f>
        <v>1.1630160883892227E-2</v>
      </c>
      <c r="KL53" s="312"/>
      <c r="KM53" s="313">
        <f>KM52/KM55</f>
        <v>1.1630160883892227E-2</v>
      </c>
      <c r="KN53" s="312"/>
      <c r="KO53" s="313">
        <f>KO52/KO55</f>
        <v>1.1630160883892227E-2</v>
      </c>
      <c r="KP53" s="312"/>
      <c r="KQ53" s="313">
        <f>KQ52/KQ55</f>
        <v>1.1630160883892227E-2</v>
      </c>
      <c r="KR53" s="312"/>
      <c r="KS53" s="313">
        <f>KS52/KS55</f>
        <v>1.1630160883892227E-2</v>
      </c>
      <c r="KT53" s="312"/>
      <c r="KU53" s="313">
        <f>KU52/KU55</f>
        <v>1.1630160883892227E-2</v>
      </c>
      <c r="KV53" s="312"/>
      <c r="KW53" s="313">
        <f>KW52/KW55</f>
        <v>1.1630160883892227E-2</v>
      </c>
      <c r="KX53" s="312"/>
      <c r="KY53" s="313">
        <f>KY52/KY55</f>
        <v>1.1630160883892227E-2</v>
      </c>
      <c r="KZ53" s="312"/>
      <c r="LA53" s="313">
        <f>LA52/LA55</f>
        <v>1.1630160883892227E-2</v>
      </c>
      <c r="LB53" s="312"/>
      <c r="LC53" s="313">
        <f>LC52/LC55</f>
        <v>1.1630160883892227E-2</v>
      </c>
      <c r="LD53" s="312"/>
      <c r="LE53" s="313">
        <f>LE52/LE55</f>
        <v>1.1630160883892227E-2</v>
      </c>
      <c r="LF53" s="312"/>
      <c r="LG53" s="313">
        <f>LG52/LG55</f>
        <v>1.1630160883892227E-2</v>
      </c>
      <c r="LH53" s="312"/>
      <c r="LI53" s="313">
        <f>LI52/LI55</f>
        <v>1.1630160883892227E-2</v>
      </c>
      <c r="LJ53" s="312"/>
      <c r="LK53" s="313">
        <f>LK52/LK55</f>
        <v>1.1630160883892227E-2</v>
      </c>
      <c r="LL53" s="312"/>
      <c r="LM53" s="313">
        <f>LM52/LM55</f>
        <v>1.1630160883892227E-2</v>
      </c>
      <c r="LN53" s="312"/>
      <c r="LO53" s="313">
        <f>LO52/LO55</f>
        <v>1.1630160883892227E-2</v>
      </c>
      <c r="LP53" s="312"/>
      <c r="LQ53" s="313">
        <f>LQ52/LQ55</f>
        <v>1.1630160883892227E-2</v>
      </c>
      <c r="LR53" s="312"/>
      <c r="LS53" s="313">
        <f>LS52/LS55</f>
        <v>1.1630160883892227E-2</v>
      </c>
      <c r="LT53" s="312"/>
      <c r="LU53" s="313">
        <f>LU52/LU55</f>
        <v>1.1630160883892227E-2</v>
      </c>
      <c r="LV53" s="312"/>
      <c r="LW53" s="313">
        <f>LW52/LW55</f>
        <v>1.1630160883892227E-2</v>
      </c>
      <c r="LX53" s="312"/>
      <c r="LY53" s="313">
        <f>LY52/LY55</f>
        <v>1.1630160883892227E-2</v>
      </c>
      <c r="LZ53" s="312"/>
      <c r="MA53" s="313">
        <f>MA52/MA55</f>
        <v>1.1630160883892227E-2</v>
      </c>
      <c r="MB53" s="312"/>
      <c r="MC53" s="313">
        <f>MC52/MC55</f>
        <v>1.1630160883892227E-2</v>
      </c>
      <c r="MD53" s="312"/>
      <c r="ME53" s="313">
        <f>ME52/ME55</f>
        <v>1.1630160883892227E-2</v>
      </c>
      <c r="MF53" s="312"/>
      <c r="MG53" s="313">
        <f>MG52/MG55</f>
        <v>1.1630160883892227E-2</v>
      </c>
      <c r="MH53" s="231"/>
      <c r="MI53" s="312"/>
      <c r="MJ53" s="313">
        <f>MJ52/MJ55</f>
        <v>1.7158054276645029E-2</v>
      </c>
      <c r="MK53" s="312"/>
      <c r="ML53" s="313">
        <f>ML52/ML55</f>
        <v>1.638690576982952E-2</v>
      </c>
      <c r="MM53" s="312"/>
      <c r="MN53" s="313">
        <f>MN52/MN55</f>
        <v>1.5515261845902418E-2</v>
      </c>
      <c r="MO53" s="312"/>
      <c r="MP53" s="313">
        <f>MP52/MP55</f>
        <v>1.5515261845902418E-2</v>
      </c>
      <c r="MQ53" s="312"/>
      <c r="MR53" s="313">
        <f>MR52/MR55</f>
        <v>1.4298378563870858E-2</v>
      </c>
      <c r="MS53" s="312"/>
      <c r="MT53" s="313">
        <f>MT52/MT55</f>
        <v>1.4584346135148274E-2</v>
      </c>
      <c r="MU53" s="312"/>
      <c r="MV53" s="313">
        <f>MV52/MV55</f>
        <v>1.4298378563870858E-2</v>
      </c>
      <c r="MW53" s="312"/>
      <c r="MX53" s="313">
        <f>MX52/MX55</f>
        <v>1.1761569463829252E-2</v>
      </c>
      <c r="MY53" s="312"/>
      <c r="MZ53" s="313">
        <f>MZ52/MZ55</f>
        <v>1.1761569463829252E-2</v>
      </c>
      <c r="NA53" s="312"/>
      <c r="NB53" s="313">
        <f>NB52/NB55</f>
        <v>1.1761569463829252E-2</v>
      </c>
      <c r="NC53" s="312"/>
      <c r="ND53" s="313">
        <f>ND52/ND55</f>
        <v>1.1761569463829252E-2</v>
      </c>
      <c r="NE53" s="312"/>
      <c r="NF53" s="313">
        <f>NF52/NF55</f>
        <v>1.1761569463829252E-2</v>
      </c>
      <c r="NG53" s="312"/>
      <c r="NH53" s="313">
        <f>NH52/NH55</f>
        <v>1.1761569463829252E-2</v>
      </c>
      <c r="NI53" s="312"/>
      <c r="NJ53" s="313">
        <f>NJ52/NJ55</f>
        <v>1.1761569463829252E-2</v>
      </c>
      <c r="NK53" s="312"/>
      <c r="NL53" s="313">
        <f>NL52/NL55</f>
        <v>1.1761569463829252E-2</v>
      </c>
      <c r="NM53" s="312"/>
      <c r="NN53" s="313">
        <f>NN52/NN55</f>
        <v>1.1761569463829252E-2</v>
      </c>
      <c r="NO53" s="312"/>
      <c r="NP53" s="313">
        <f>NP52/NP55</f>
        <v>1.1761569463829252E-2</v>
      </c>
      <c r="NQ53" s="312"/>
      <c r="NR53" s="313">
        <f>NR52/NR55</f>
        <v>1.1761569463829252E-2</v>
      </c>
      <c r="NS53" s="312"/>
      <c r="NT53" s="313">
        <f>NT52/NT55</f>
        <v>1.1761569463829252E-2</v>
      </c>
      <c r="NU53" s="312"/>
      <c r="NV53" s="313">
        <f>NV52/NV55</f>
        <v>1.1761569463829252E-2</v>
      </c>
      <c r="NW53" s="312"/>
      <c r="NX53" s="313">
        <f>NX52/NX55</f>
        <v>1.1761569463829252E-2</v>
      </c>
      <c r="NY53" s="312"/>
      <c r="NZ53" s="313">
        <f>NZ52/NZ55</f>
        <v>1.1761569463829252E-2</v>
      </c>
      <c r="OA53" s="312"/>
      <c r="OB53" s="313">
        <f>OB52/OB55</f>
        <v>1.1761569463829252E-2</v>
      </c>
      <c r="OC53" s="312"/>
      <c r="OD53" s="313">
        <f>OD52/OD55</f>
        <v>1.1761569463829252E-2</v>
      </c>
      <c r="OE53" s="312"/>
      <c r="OF53" s="313">
        <f>OF52/OF55</f>
        <v>1.1761569463829252E-2</v>
      </c>
      <c r="OG53" s="312"/>
      <c r="OH53" s="313">
        <f>OH52/OH55</f>
        <v>1.1761569463829252E-2</v>
      </c>
      <c r="OI53" s="312"/>
      <c r="OJ53" s="313">
        <f>OJ52/OJ55</f>
        <v>1.1761569463829252E-2</v>
      </c>
      <c r="OK53" s="312"/>
      <c r="OL53" s="313">
        <f>OL52/OL55</f>
        <v>1.1761569463829252E-2</v>
      </c>
      <c r="OM53" s="312"/>
      <c r="ON53" s="313">
        <f>ON52/ON55</f>
        <v>1.1761569463829252E-2</v>
      </c>
      <c r="OO53" s="312"/>
      <c r="OP53" s="313">
        <f>OP52/OP55</f>
        <v>1.1761569463829252E-2</v>
      </c>
      <c r="OQ53" s="312"/>
      <c r="OR53" s="313">
        <f>OR52/OR55</f>
        <v>1.1761569463829252E-2</v>
      </c>
      <c r="OS53" s="312"/>
      <c r="OT53" s="313">
        <f>OT52/OT55</f>
        <v>1.1761569463829252E-2</v>
      </c>
      <c r="OU53" s="312"/>
      <c r="OV53" s="313">
        <f>OV52/OV55</f>
        <v>1.1761569463829252E-2</v>
      </c>
      <c r="OW53" s="312"/>
      <c r="OX53" s="313">
        <f>OX52/OX55</f>
        <v>1.1761569463829252E-2</v>
      </c>
      <c r="OY53" s="312"/>
      <c r="OZ53" s="313">
        <f>OZ52/OZ55</f>
        <v>1.1761569463829252E-2</v>
      </c>
      <c r="PA53" s="312"/>
      <c r="PB53" s="313">
        <f>PB52/PB55</f>
        <v>1.1761569463829252E-2</v>
      </c>
      <c r="PC53" s="312"/>
      <c r="PD53" s="313">
        <f>PD52/PD55</f>
        <v>1.1761569463829252E-2</v>
      </c>
      <c r="PE53" s="312"/>
      <c r="PF53" s="313">
        <f>PF52/PF55</f>
        <v>1.1761569463829252E-2</v>
      </c>
      <c r="PG53" s="312"/>
      <c r="PH53" s="313">
        <f>PH52/PH55</f>
        <v>1.1761569463829252E-2</v>
      </c>
      <c r="PI53" s="312"/>
      <c r="PJ53" s="313">
        <f>PJ52/PJ55</f>
        <v>1.2465253106964336E-2</v>
      </c>
      <c r="PK53" s="312"/>
      <c r="PL53" s="313">
        <f>PL52/PL55</f>
        <v>1.2793286083463399E-2</v>
      </c>
      <c r="PM53" s="312"/>
      <c r="PN53" s="313">
        <f>PN52/PN55</f>
        <v>1.1761569463829252E-2</v>
      </c>
      <c r="PO53" s="312"/>
      <c r="PP53" s="313">
        <f>PP52/PP55</f>
        <v>1.1761569463829252E-2</v>
      </c>
      <c r="PQ53" s="236"/>
      <c r="PR53" s="312"/>
      <c r="PS53" s="313">
        <f>PS52/PS55</f>
        <v>6.9897483690587138E-3</v>
      </c>
      <c r="PT53" s="312"/>
      <c r="PU53" s="313">
        <f>PU52/PU55</f>
        <v>6.9897483690587138E-3</v>
      </c>
      <c r="PV53" s="312"/>
      <c r="PW53" s="313">
        <f>PW52/PW55</f>
        <v>7.8369905956112845E-3</v>
      </c>
      <c r="PX53" s="312"/>
      <c r="PY53" s="313">
        <f>PY52/PY55</f>
        <v>7.8369905956112845E-3</v>
      </c>
      <c r="PZ53" s="312"/>
      <c r="QA53" s="313">
        <f>QA52/QA55</f>
        <v>1.0141987829614603E-2</v>
      </c>
      <c r="QB53" s="312"/>
      <c r="QC53" s="313">
        <f>QC52/QC55</f>
        <v>1.0141987829614603E-2</v>
      </c>
      <c r="QD53" s="236"/>
      <c r="QE53" s="236"/>
      <c r="QF53" s="312"/>
      <c r="QG53" s="313">
        <f>QG52/QG55</f>
        <v>6.9897483690587138E-3</v>
      </c>
      <c r="QH53" s="312"/>
      <c r="QI53" s="313">
        <f>QI52/QI55</f>
        <v>6.9897483690587138E-3</v>
      </c>
      <c r="QJ53" s="312"/>
      <c r="QK53" s="313">
        <f>QK52/QK55</f>
        <v>7.8369905956112845E-3</v>
      </c>
      <c r="QL53" s="312"/>
      <c r="QM53" s="313">
        <f>QM52/QM55</f>
        <v>7.8369905956112845E-3</v>
      </c>
      <c r="QN53" s="312"/>
      <c r="QO53" s="313">
        <f>QO52/QO55</f>
        <v>7.8369905956112863E-3</v>
      </c>
      <c r="QP53" s="312"/>
      <c r="QQ53" s="313">
        <f>QQ52/QQ55</f>
        <v>7.8369905956112863E-3</v>
      </c>
    </row>
    <row r="54" spans="1:459" x14ac:dyDescent="0.45">
      <c r="A54" s="871"/>
      <c r="B54" s="180"/>
      <c r="C54" s="181"/>
      <c r="D54" s="182"/>
      <c r="E54" s="315"/>
      <c r="F54" s="314"/>
      <c r="G54" s="316"/>
      <c r="H54" s="314"/>
      <c r="I54" s="316"/>
      <c r="J54" s="314"/>
      <c r="K54" s="316"/>
      <c r="L54" s="314"/>
      <c r="M54" s="316"/>
      <c r="N54" s="314"/>
      <c r="O54" s="316"/>
      <c r="P54" s="314"/>
      <c r="Q54" s="316"/>
      <c r="R54" s="314"/>
      <c r="S54" s="316"/>
      <c r="T54" s="314"/>
      <c r="U54" s="316"/>
      <c r="V54" s="314"/>
      <c r="W54" s="316"/>
      <c r="X54" s="314"/>
      <c r="Y54" s="316"/>
      <c r="Z54" s="314"/>
      <c r="AA54" s="316"/>
      <c r="AB54" s="314"/>
      <c r="AC54" s="316"/>
      <c r="AD54" s="314"/>
      <c r="AE54" s="316"/>
      <c r="AF54" s="314"/>
      <c r="AG54" s="316"/>
      <c r="AH54" s="314"/>
      <c r="AI54" s="316"/>
      <c r="AJ54" s="314"/>
      <c r="AK54" s="316"/>
      <c r="AL54" s="314"/>
      <c r="AM54" s="316"/>
      <c r="AN54" s="314"/>
      <c r="AO54" s="316"/>
      <c r="AP54" s="314"/>
      <c r="AQ54" s="316"/>
      <c r="AR54" s="314"/>
      <c r="AS54" s="316"/>
      <c r="AT54" s="314"/>
      <c r="AU54" s="316"/>
      <c r="AV54" s="314"/>
      <c r="AW54" s="316"/>
      <c r="AX54" s="314"/>
      <c r="AY54" s="316"/>
      <c r="AZ54" s="314"/>
      <c r="BA54" s="316"/>
      <c r="BB54" s="314"/>
      <c r="BC54" s="316"/>
      <c r="BD54" s="314"/>
      <c r="BE54" s="316"/>
      <c r="BF54" s="314"/>
      <c r="BG54" s="316"/>
      <c r="BH54" s="314"/>
      <c r="BI54" s="316"/>
      <c r="BJ54" s="314"/>
      <c r="BK54" s="316"/>
      <c r="BL54" s="314"/>
      <c r="BM54" s="316"/>
      <c r="BN54" s="314"/>
      <c r="BO54" s="316"/>
      <c r="BP54" s="314"/>
      <c r="BQ54" s="316"/>
      <c r="BR54" s="314"/>
      <c r="BS54" s="316"/>
      <c r="BT54" s="314"/>
      <c r="BU54" s="316"/>
      <c r="BV54" s="314"/>
      <c r="BW54" s="316"/>
      <c r="BX54" s="314"/>
      <c r="BY54" s="316"/>
      <c r="BZ54" s="314"/>
      <c r="CA54" s="316"/>
      <c r="CB54" s="314"/>
      <c r="CC54" s="316"/>
      <c r="CD54" s="314"/>
      <c r="CE54" s="316"/>
      <c r="CF54" s="314"/>
      <c r="CG54" s="316"/>
      <c r="CH54" s="314"/>
      <c r="CI54" s="316"/>
      <c r="CJ54" s="314"/>
      <c r="CK54" s="316"/>
      <c r="CL54" s="314"/>
      <c r="CM54" s="316"/>
      <c r="CN54" s="314"/>
      <c r="CO54" s="316"/>
      <c r="CP54" s="314"/>
      <c r="CQ54" s="316"/>
      <c r="CR54" s="314"/>
      <c r="CS54" s="316"/>
      <c r="CT54" s="136"/>
      <c r="CU54" s="314"/>
      <c r="CV54" s="317"/>
      <c r="CW54" s="314"/>
      <c r="CX54" s="317"/>
      <c r="CY54" s="314"/>
      <c r="CZ54" s="317"/>
      <c r="DA54" s="314"/>
      <c r="DB54" s="317"/>
      <c r="DC54" s="314"/>
      <c r="DD54" s="317"/>
      <c r="DE54" s="314"/>
      <c r="DF54" s="317"/>
      <c r="DG54" s="314"/>
      <c r="DH54" s="317"/>
      <c r="DI54" s="314"/>
      <c r="DJ54" s="317"/>
      <c r="DK54" s="314"/>
      <c r="DL54" s="317"/>
      <c r="DM54" s="314"/>
      <c r="DN54" s="317"/>
      <c r="DO54" s="314"/>
      <c r="DP54" s="317"/>
      <c r="DQ54" s="314"/>
      <c r="DR54" s="317"/>
      <c r="DS54" s="314"/>
      <c r="DT54" s="317"/>
      <c r="DU54" s="314"/>
      <c r="DV54" s="317"/>
      <c r="DW54" s="314"/>
      <c r="DX54" s="317"/>
      <c r="DY54" s="314"/>
      <c r="DZ54" s="317"/>
      <c r="EA54" s="314"/>
      <c r="EB54" s="317"/>
      <c r="EC54" s="314"/>
      <c r="ED54" s="317"/>
      <c r="EE54" s="314"/>
      <c r="EF54" s="317"/>
      <c r="EG54" s="314"/>
      <c r="EH54" s="317"/>
      <c r="EI54" s="314"/>
      <c r="EJ54" s="317"/>
      <c r="EK54" s="314"/>
      <c r="EL54" s="317"/>
      <c r="EM54" s="314"/>
      <c r="EN54" s="317"/>
      <c r="EO54" s="314"/>
      <c r="EP54" s="317"/>
      <c r="EQ54" s="314"/>
      <c r="ER54" s="317"/>
      <c r="ES54" s="314"/>
      <c r="ET54" s="317"/>
      <c r="EU54" s="314"/>
      <c r="EV54" s="317"/>
      <c r="EW54" s="314"/>
      <c r="EX54" s="317"/>
      <c r="EY54" s="314"/>
      <c r="EZ54" s="317"/>
      <c r="FA54" s="314"/>
      <c r="FB54" s="317"/>
      <c r="FC54" s="314"/>
      <c r="FD54" s="317"/>
      <c r="FE54" s="314"/>
      <c r="FF54" s="317"/>
      <c r="FG54" s="314"/>
      <c r="FH54" s="317"/>
      <c r="FI54" s="314"/>
      <c r="FJ54" s="317"/>
      <c r="FK54" s="314"/>
      <c r="FL54" s="317"/>
      <c r="FM54" s="314"/>
      <c r="FN54" s="317"/>
      <c r="FO54" s="314"/>
      <c r="FP54" s="317"/>
      <c r="FQ54" s="315"/>
      <c r="FR54" s="314"/>
      <c r="FS54" s="316"/>
      <c r="FT54" s="314"/>
      <c r="FU54" s="316"/>
      <c r="FV54" s="314"/>
      <c r="FW54" s="316"/>
      <c r="FX54" s="314"/>
      <c r="FY54" s="316"/>
      <c r="FZ54" s="314"/>
      <c r="GA54" s="316"/>
      <c r="GB54" s="314"/>
      <c r="GC54" s="316"/>
      <c r="GD54" s="314"/>
      <c r="GE54" s="316"/>
      <c r="GF54" s="314"/>
      <c r="GG54" s="316"/>
      <c r="GH54" s="314"/>
      <c r="GI54" s="316"/>
      <c r="GJ54" s="314"/>
      <c r="GK54" s="316"/>
      <c r="GL54" s="314"/>
      <c r="GM54" s="316"/>
      <c r="GN54" s="314"/>
      <c r="GO54" s="316"/>
      <c r="GP54" s="314"/>
      <c r="GQ54" s="316"/>
      <c r="GR54" s="314"/>
      <c r="GS54" s="316"/>
      <c r="GT54" s="314"/>
      <c r="GU54" s="316"/>
      <c r="GV54" s="314"/>
      <c r="GW54" s="316"/>
      <c r="GX54" s="314"/>
      <c r="GY54" s="316"/>
      <c r="GZ54" s="314"/>
      <c r="HA54" s="316"/>
      <c r="HB54" s="314"/>
      <c r="HC54" s="316"/>
      <c r="HD54" s="314"/>
      <c r="HE54" s="316"/>
      <c r="HF54" s="314"/>
      <c r="HG54" s="316"/>
      <c r="HH54" s="314"/>
      <c r="HI54" s="316"/>
      <c r="HJ54" s="314"/>
      <c r="HK54" s="316"/>
      <c r="HL54" s="314"/>
      <c r="HM54" s="316"/>
      <c r="HN54" s="314"/>
      <c r="HO54" s="316"/>
      <c r="HP54" s="314"/>
      <c r="HQ54" s="316"/>
      <c r="HR54" s="314"/>
      <c r="HS54" s="316"/>
      <c r="HT54" s="314"/>
      <c r="HU54" s="316"/>
      <c r="HV54" s="314"/>
      <c r="HW54" s="316"/>
      <c r="HX54" s="314"/>
      <c r="HY54" s="316"/>
      <c r="HZ54" s="314"/>
      <c r="IA54" s="316"/>
      <c r="IB54" s="314"/>
      <c r="IC54" s="316"/>
      <c r="ID54" s="314"/>
      <c r="IE54" s="316"/>
      <c r="IF54" s="314"/>
      <c r="IG54" s="316"/>
      <c r="IH54" s="314"/>
      <c r="II54" s="316"/>
      <c r="IJ54" s="314"/>
      <c r="IK54" s="316"/>
      <c r="IL54" s="314"/>
      <c r="IM54" s="316"/>
      <c r="IN54" s="314"/>
      <c r="IO54" s="316"/>
      <c r="IP54" s="314"/>
      <c r="IQ54" s="316"/>
      <c r="IR54" s="314"/>
      <c r="IS54" s="316"/>
      <c r="IT54" s="314"/>
      <c r="IU54" s="316"/>
      <c r="IV54" s="314"/>
      <c r="IW54" s="316"/>
      <c r="IX54" s="314"/>
      <c r="IY54" s="316"/>
      <c r="IZ54" s="315"/>
      <c r="JA54" s="314"/>
      <c r="JB54" s="316"/>
      <c r="JC54" s="314"/>
      <c r="JD54" s="316"/>
      <c r="JE54" s="315"/>
      <c r="JF54" s="314"/>
      <c r="JG54" s="316"/>
      <c r="JH54" s="314"/>
      <c r="JI54" s="316"/>
      <c r="JJ54" s="314"/>
      <c r="JK54" s="317"/>
      <c r="JL54" s="314"/>
      <c r="JM54" s="317"/>
      <c r="JN54" s="314"/>
      <c r="JO54" s="317"/>
      <c r="JP54" s="314"/>
      <c r="JQ54" s="317"/>
      <c r="JR54" s="314"/>
      <c r="JS54" s="317"/>
      <c r="JT54" s="314"/>
      <c r="JU54" s="317"/>
      <c r="JV54" s="314"/>
      <c r="JW54" s="317"/>
      <c r="JX54" s="314"/>
      <c r="JY54" s="317"/>
      <c r="JZ54" s="314"/>
      <c r="KA54" s="317"/>
      <c r="KB54" s="314"/>
      <c r="KC54" s="317"/>
      <c r="KD54" s="314"/>
      <c r="KE54" s="317"/>
      <c r="KF54" s="314"/>
      <c r="KG54" s="317"/>
      <c r="KH54" s="314"/>
      <c r="KI54" s="317"/>
      <c r="KJ54" s="314"/>
      <c r="KK54" s="317"/>
      <c r="KL54" s="314"/>
      <c r="KM54" s="317"/>
      <c r="KN54" s="314"/>
      <c r="KO54" s="317"/>
      <c r="KP54" s="314"/>
      <c r="KQ54" s="317"/>
      <c r="KR54" s="314"/>
      <c r="KS54" s="317"/>
      <c r="KT54" s="314"/>
      <c r="KU54" s="317"/>
      <c r="KV54" s="314"/>
      <c r="KW54" s="317"/>
      <c r="KX54" s="314"/>
      <c r="KY54" s="317"/>
      <c r="KZ54" s="314"/>
      <c r="LA54" s="317"/>
      <c r="LB54" s="314"/>
      <c r="LC54" s="317"/>
      <c r="LD54" s="314"/>
      <c r="LE54" s="317"/>
      <c r="LF54" s="314"/>
      <c r="LG54" s="317"/>
      <c r="LH54" s="314"/>
      <c r="LI54" s="317"/>
      <c r="LJ54" s="314"/>
      <c r="LK54" s="317"/>
      <c r="LL54" s="314"/>
      <c r="LM54" s="317"/>
      <c r="LN54" s="314"/>
      <c r="LO54" s="317"/>
      <c r="LP54" s="314"/>
      <c r="LQ54" s="317"/>
      <c r="LR54" s="314"/>
      <c r="LS54" s="317"/>
      <c r="LT54" s="314"/>
      <c r="LU54" s="317"/>
      <c r="LV54" s="314"/>
      <c r="LW54" s="317"/>
      <c r="LX54" s="314"/>
      <c r="LY54" s="317"/>
      <c r="LZ54" s="314"/>
      <c r="MA54" s="317"/>
      <c r="MB54" s="314"/>
      <c r="MC54" s="317"/>
      <c r="MD54" s="314"/>
      <c r="ME54" s="317"/>
      <c r="MF54" s="314"/>
      <c r="MG54" s="317"/>
      <c r="MH54" s="315"/>
      <c r="MI54" s="314"/>
      <c r="MJ54" s="316"/>
      <c r="MK54" s="314"/>
      <c r="ML54" s="316"/>
      <c r="MM54" s="314"/>
      <c r="MN54" s="317"/>
      <c r="MO54" s="314"/>
      <c r="MP54" s="317"/>
      <c r="MQ54" s="314"/>
      <c r="MR54" s="317"/>
      <c r="MS54" s="314"/>
      <c r="MT54" s="317"/>
      <c r="MU54" s="314"/>
      <c r="MV54" s="317"/>
      <c r="MW54" s="314"/>
      <c r="MX54" s="317"/>
      <c r="MY54" s="314"/>
      <c r="MZ54" s="317"/>
      <c r="NA54" s="314"/>
      <c r="NB54" s="317"/>
      <c r="NC54" s="314"/>
      <c r="ND54" s="317"/>
      <c r="NE54" s="314"/>
      <c r="NF54" s="317"/>
      <c r="NG54" s="314"/>
      <c r="NH54" s="317"/>
      <c r="NI54" s="314"/>
      <c r="NJ54" s="317"/>
      <c r="NK54" s="314"/>
      <c r="NL54" s="317"/>
      <c r="NM54" s="314"/>
      <c r="NN54" s="317"/>
      <c r="NO54" s="314"/>
      <c r="NP54" s="317"/>
      <c r="NQ54" s="314"/>
      <c r="NR54" s="317"/>
      <c r="NS54" s="314"/>
      <c r="NT54" s="317"/>
      <c r="NU54" s="314"/>
      <c r="NV54" s="317"/>
      <c r="NW54" s="314"/>
      <c r="NX54" s="317"/>
      <c r="NY54" s="314"/>
      <c r="NZ54" s="317"/>
      <c r="OA54" s="314"/>
      <c r="OB54" s="317"/>
      <c r="OC54" s="314"/>
      <c r="OD54" s="317"/>
      <c r="OE54" s="314"/>
      <c r="OF54" s="317"/>
      <c r="OG54" s="314"/>
      <c r="OH54" s="317"/>
      <c r="OI54" s="314"/>
      <c r="OJ54" s="317"/>
      <c r="OK54" s="314"/>
      <c r="OL54" s="317"/>
      <c r="OM54" s="314"/>
      <c r="ON54" s="317"/>
      <c r="OO54" s="314"/>
      <c r="OP54" s="317"/>
      <c r="OQ54" s="314"/>
      <c r="OR54" s="317"/>
      <c r="OS54" s="314"/>
      <c r="OT54" s="317"/>
      <c r="OU54" s="314"/>
      <c r="OV54" s="317"/>
      <c r="OW54" s="314"/>
      <c r="OX54" s="317"/>
      <c r="OY54" s="314"/>
      <c r="OZ54" s="317"/>
      <c r="PA54" s="314"/>
      <c r="PB54" s="317"/>
      <c r="PC54" s="314"/>
      <c r="PD54" s="317"/>
      <c r="PE54" s="314"/>
      <c r="PF54" s="317"/>
      <c r="PG54" s="314"/>
      <c r="PH54" s="317"/>
      <c r="PI54" s="314"/>
      <c r="PJ54" s="317"/>
      <c r="PK54" s="314"/>
      <c r="PL54" s="317"/>
      <c r="PM54" s="314"/>
      <c r="PN54" s="317"/>
      <c r="PO54" s="314"/>
      <c r="PP54" s="317"/>
      <c r="PR54" s="314"/>
      <c r="PS54" s="317"/>
      <c r="PT54" s="314"/>
      <c r="PU54" s="317"/>
      <c r="PV54" s="314"/>
      <c r="PW54" s="317"/>
      <c r="PX54" s="314"/>
      <c r="PY54" s="317"/>
      <c r="PZ54" s="314"/>
      <c r="QA54" s="317"/>
      <c r="QB54" s="314"/>
      <c r="QC54" s="317"/>
      <c r="QF54" s="314"/>
      <c r="QG54" s="317"/>
      <c r="QH54" s="314"/>
      <c r="QI54" s="317"/>
      <c r="QJ54" s="314"/>
      <c r="QK54" s="317"/>
      <c r="QL54" s="314"/>
      <c r="QM54" s="317"/>
      <c r="QN54" s="314"/>
      <c r="QO54" s="317"/>
      <c r="QP54" s="314"/>
      <c r="QQ54" s="317"/>
    </row>
    <row r="55" spans="1:459" x14ac:dyDescent="0.45">
      <c r="A55" s="871"/>
      <c r="B55" s="318" t="s">
        <v>360</v>
      </c>
      <c r="C55" s="319"/>
      <c r="D55" s="320" t="s">
        <v>361</v>
      </c>
      <c r="E55" s="219"/>
      <c r="F55" s="321"/>
      <c r="G55" s="322">
        <f>G60-G57+G56</f>
        <v>4.8000000000000007</v>
      </c>
      <c r="H55" s="321"/>
      <c r="I55" s="322">
        <f>I60-I57+I56</f>
        <v>4.8000000000000007</v>
      </c>
      <c r="J55" s="321"/>
      <c r="K55" s="322">
        <f>K60-K57+K56</f>
        <v>5.95</v>
      </c>
      <c r="L55" s="321"/>
      <c r="M55" s="322">
        <f>M60-M57+M56</f>
        <v>5.95</v>
      </c>
      <c r="N55" s="321"/>
      <c r="O55" s="322">
        <f>O60-O57+O56</f>
        <v>6.3000000000000007</v>
      </c>
      <c r="P55" s="321"/>
      <c r="Q55" s="322">
        <f>Q60-Q57+Q56</f>
        <v>6.6000000000000005</v>
      </c>
      <c r="R55" s="321"/>
      <c r="S55" s="322">
        <f>S60-S57+S56</f>
        <v>6.6000000000000005</v>
      </c>
      <c r="T55" s="321"/>
      <c r="U55" s="322">
        <f>U60-U57+U56</f>
        <v>7</v>
      </c>
      <c r="V55" s="321"/>
      <c r="W55" s="322">
        <f>W60-W57+W56</f>
        <v>7</v>
      </c>
      <c r="X55" s="321"/>
      <c r="Y55" s="322">
        <f>Y60-Y57+Y56</f>
        <v>6.95</v>
      </c>
      <c r="Z55" s="321"/>
      <c r="AA55" s="322">
        <f>AA60-AA57+AA56</f>
        <v>6.95</v>
      </c>
      <c r="AB55" s="321"/>
      <c r="AC55" s="322">
        <f>AC60-AC57+AC56</f>
        <v>6.95</v>
      </c>
      <c r="AD55" s="321"/>
      <c r="AE55" s="322">
        <f>AE60-AE57+AE56</f>
        <v>7.5</v>
      </c>
      <c r="AF55" s="321"/>
      <c r="AG55" s="322">
        <f>AG60-AG57+AG56</f>
        <v>7.5</v>
      </c>
      <c r="AH55" s="321"/>
      <c r="AI55" s="322">
        <f>AI60-AI57+AI56</f>
        <v>7.5</v>
      </c>
      <c r="AJ55" s="321"/>
      <c r="AK55" s="322">
        <f>AK60-AK57+AK56</f>
        <v>7.5</v>
      </c>
      <c r="AL55" s="321"/>
      <c r="AM55" s="322">
        <f>AM60-AM57+AM56</f>
        <v>7.5</v>
      </c>
      <c r="AN55" s="321"/>
      <c r="AO55" s="322">
        <f>AO60-AO57+AO56</f>
        <v>7.5</v>
      </c>
      <c r="AP55" s="321"/>
      <c r="AQ55" s="322">
        <f>AQ60-AQ57+AQ56</f>
        <v>7.5</v>
      </c>
      <c r="AR55" s="321"/>
      <c r="AS55" s="322">
        <f>AS60-AS57+AS56</f>
        <v>7.5</v>
      </c>
      <c r="AT55" s="321"/>
      <c r="AU55" s="322">
        <f>AU60-AU57+AU56</f>
        <v>7.5</v>
      </c>
      <c r="AV55" s="321"/>
      <c r="AW55" s="322">
        <f>AW60-AW57+AW56</f>
        <v>7.5</v>
      </c>
      <c r="AX55" s="321"/>
      <c r="AY55" s="322">
        <f>AY60-AY57+AY56</f>
        <v>7.5</v>
      </c>
      <c r="AZ55" s="321"/>
      <c r="BA55" s="322">
        <f>BA60-BA57+BA56</f>
        <v>7.5</v>
      </c>
      <c r="BB55" s="321"/>
      <c r="BC55" s="322">
        <f>BC60-BC57+BC56</f>
        <v>7.5</v>
      </c>
      <c r="BD55" s="321"/>
      <c r="BE55" s="322">
        <f>BE60-BE57+BE56</f>
        <v>7.5</v>
      </c>
      <c r="BF55" s="321"/>
      <c r="BG55" s="322">
        <f>BG60-BG57+BG56</f>
        <v>7.5</v>
      </c>
      <c r="BH55" s="321"/>
      <c r="BI55" s="322">
        <f>BI60-BI57+BI56</f>
        <v>7.5</v>
      </c>
      <c r="BJ55" s="321"/>
      <c r="BK55" s="322">
        <f>BK60-BK57+BK56</f>
        <v>7.5</v>
      </c>
      <c r="BL55" s="321"/>
      <c r="BM55" s="322">
        <f>BM60-BM57+BM56</f>
        <v>7.5</v>
      </c>
      <c r="BN55" s="321"/>
      <c r="BO55" s="322">
        <f>BO60-BO57+BO56</f>
        <v>7.5</v>
      </c>
      <c r="BP55" s="321"/>
      <c r="BQ55" s="322">
        <f>BQ60-BQ57+BQ56</f>
        <v>7.5</v>
      </c>
      <c r="BR55" s="321"/>
      <c r="BS55" s="322">
        <f>BS60-BS57+BS56</f>
        <v>7.5</v>
      </c>
      <c r="BT55" s="321"/>
      <c r="BU55" s="322">
        <f>BU60-BU57+BU56</f>
        <v>7.5</v>
      </c>
      <c r="BV55" s="321"/>
      <c r="BW55" s="322">
        <f>BW60-BW57+BW56</f>
        <v>7.5</v>
      </c>
      <c r="BX55" s="321"/>
      <c r="BY55" s="322">
        <f>BY60-BY57+BY56</f>
        <v>7.5</v>
      </c>
      <c r="BZ55" s="321"/>
      <c r="CA55" s="322">
        <f>CA60-CA57+CA56</f>
        <v>7.5</v>
      </c>
      <c r="CB55" s="321"/>
      <c r="CC55" s="322">
        <f>CC60-CC57-CC56</f>
        <v>7.5</v>
      </c>
      <c r="CD55" s="321"/>
      <c r="CE55" s="322">
        <f>CE60-CE57+CE56</f>
        <v>7.5</v>
      </c>
      <c r="CF55" s="321"/>
      <c r="CG55" s="322">
        <f>CG60-CG57-CG56</f>
        <v>7.5</v>
      </c>
      <c r="CH55" s="321"/>
      <c r="CI55" s="322">
        <f>CI60-CI57-CI56</f>
        <v>7.5</v>
      </c>
      <c r="CJ55" s="321"/>
      <c r="CK55" s="322">
        <f>CK60-CK57-CK56</f>
        <v>7.5</v>
      </c>
      <c r="CL55" s="321"/>
      <c r="CM55" s="322">
        <f>CM60-CM57-CM56</f>
        <v>7.5</v>
      </c>
      <c r="CN55" s="321"/>
      <c r="CO55" s="322">
        <f>CO60-CO57-CO56</f>
        <v>7.5</v>
      </c>
      <c r="CP55" s="321"/>
      <c r="CQ55" s="322">
        <f>CQ60-CQ57+CQ56</f>
        <v>7.5</v>
      </c>
      <c r="CR55" s="321"/>
      <c r="CS55" s="322">
        <f>CS60-CS57+CS56</f>
        <v>7.5</v>
      </c>
      <c r="CT55" s="323"/>
      <c r="CU55" s="321"/>
      <c r="CV55" s="322">
        <f>CV60-CV57+CV56</f>
        <v>9.5</v>
      </c>
      <c r="CW55" s="321"/>
      <c r="CX55" s="322">
        <f>CX60-CX57+CX56</f>
        <v>9.5</v>
      </c>
      <c r="CY55" s="321"/>
      <c r="CZ55" s="322">
        <f>CZ60-CZ57+CZ56</f>
        <v>9.7999999999999989</v>
      </c>
      <c r="DA55" s="321"/>
      <c r="DB55" s="322">
        <f>DB60-DB57+DB56</f>
        <v>9.7999999999999989</v>
      </c>
      <c r="DC55" s="321"/>
      <c r="DD55" s="322">
        <f>DD60-DD57+DD56</f>
        <v>10.9</v>
      </c>
      <c r="DE55" s="321"/>
      <c r="DF55" s="322">
        <f>DF60-DF57+DF56</f>
        <v>10.9</v>
      </c>
      <c r="DG55" s="321"/>
      <c r="DH55" s="322">
        <f>DH60-DH57+DH56</f>
        <v>10.9</v>
      </c>
      <c r="DI55" s="321"/>
      <c r="DJ55" s="322">
        <f>DJ60-DJ57+DJ56</f>
        <v>10.9</v>
      </c>
      <c r="DK55" s="321"/>
      <c r="DL55" s="322">
        <f>DL60-DL57+DL56</f>
        <v>10.9</v>
      </c>
      <c r="DM55" s="321"/>
      <c r="DN55" s="322">
        <f>DN60-DN57+DN56</f>
        <v>10.9</v>
      </c>
      <c r="DO55" s="321"/>
      <c r="DP55" s="322">
        <f>DP60-DP57+DP56</f>
        <v>10.9</v>
      </c>
      <c r="DQ55" s="321"/>
      <c r="DR55" s="322">
        <f>DR60-DR57+DR56</f>
        <v>10.9</v>
      </c>
      <c r="DS55" s="321"/>
      <c r="DT55" s="322">
        <f>DT60-DT57+DT56</f>
        <v>10.9</v>
      </c>
      <c r="DU55" s="321"/>
      <c r="DV55" s="322">
        <f>DV60-DV57+DV56</f>
        <v>10.9</v>
      </c>
      <c r="DW55" s="321"/>
      <c r="DX55" s="322">
        <f>DX60-DX57+DX56</f>
        <v>10.9</v>
      </c>
      <c r="DY55" s="321"/>
      <c r="DZ55" s="322">
        <f>DZ60-DZ57+DZ56</f>
        <v>10.9</v>
      </c>
      <c r="EA55" s="321"/>
      <c r="EB55" s="322">
        <f>EB60-EB57+EB56</f>
        <v>10.9</v>
      </c>
      <c r="EC55" s="321"/>
      <c r="ED55" s="322">
        <f>ED60-ED57+ED56</f>
        <v>10.9</v>
      </c>
      <c r="EE55" s="321"/>
      <c r="EF55" s="322">
        <f>EF60-EF57+EF56</f>
        <v>10.9</v>
      </c>
      <c r="EG55" s="321"/>
      <c r="EH55" s="322">
        <f>EH60-EH57+EH56</f>
        <v>10.9</v>
      </c>
      <c r="EI55" s="321"/>
      <c r="EJ55" s="322">
        <f>EJ60-EJ57+EJ56</f>
        <v>10.9</v>
      </c>
      <c r="EK55" s="321"/>
      <c r="EL55" s="322">
        <f>EL60-EL57+EL56</f>
        <v>10.9</v>
      </c>
      <c r="EM55" s="321"/>
      <c r="EN55" s="322">
        <f>EN60-EN57+EN56</f>
        <v>10.9</v>
      </c>
      <c r="EO55" s="321"/>
      <c r="EP55" s="322">
        <f>EP60-EP57+EP56</f>
        <v>10.9</v>
      </c>
      <c r="EQ55" s="321"/>
      <c r="ER55" s="322">
        <f>ER60-ER57+ER56</f>
        <v>10.9</v>
      </c>
      <c r="ES55" s="321"/>
      <c r="ET55" s="322">
        <f>ET60-ET57+ET56</f>
        <v>10.9</v>
      </c>
      <c r="EU55" s="321"/>
      <c r="EV55" s="322">
        <f>EV60-EV57+EV56</f>
        <v>10.9</v>
      </c>
      <c r="EW55" s="321"/>
      <c r="EX55" s="322">
        <f>EX60-EX57+EX56</f>
        <v>10.9</v>
      </c>
      <c r="EY55" s="321"/>
      <c r="EZ55" s="322">
        <f>EZ60-EZ57+EZ56</f>
        <v>10.9</v>
      </c>
      <c r="FA55" s="321"/>
      <c r="FB55" s="322">
        <f>FB60-FB57+FB56</f>
        <v>10.9</v>
      </c>
      <c r="FC55" s="321"/>
      <c r="FD55" s="322">
        <f>FD60-FD57+FD56</f>
        <v>10.9</v>
      </c>
      <c r="FE55" s="321"/>
      <c r="FF55" s="322">
        <f>FF60-FF57+FF56</f>
        <v>10.9</v>
      </c>
      <c r="FG55" s="321"/>
      <c r="FH55" s="322">
        <f>FH60-FH57+FH56</f>
        <v>10.9</v>
      </c>
      <c r="FI55" s="321"/>
      <c r="FJ55" s="322">
        <f>FJ60-FJ57+FJ56</f>
        <v>10.9</v>
      </c>
      <c r="FK55" s="321"/>
      <c r="FL55" s="322">
        <f>FL60-FL57+FL56</f>
        <v>10.9</v>
      </c>
      <c r="FM55" s="321"/>
      <c r="FN55" s="322">
        <f>FN60-FN57+FN56</f>
        <v>10.9</v>
      </c>
      <c r="FO55" s="321"/>
      <c r="FP55" s="322">
        <f>FP60-FP57+FP56</f>
        <v>10.9</v>
      </c>
      <c r="FQ55" s="219"/>
      <c r="FR55" s="321"/>
      <c r="FS55" s="322">
        <f>FS60-FS57+FS56</f>
        <v>5.95</v>
      </c>
      <c r="FT55" s="321"/>
      <c r="FU55" s="322">
        <f>FU60-FU57+FU56</f>
        <v>6.3000000000000007</v>
      </c>
      <c r="FV55" s="321"/>
      <c r="FW55" s="322">
        <f>FW60-FW57+FW56</f>
        <v>6.6000000000000005</v>
      </c>
      <c r="FX55" s="321"/>
      <c r="FY55" s="322">
        <f>FY60-FY57+FY56</f>
        <v>6.6000000000000005</v>
      </c>
      <c r="FZ55" s="321"/>
      <c r="GA55" s="322">
        <f>GA60-GA57+GA56</f>
        <v>7</v>
      </c>
      <c r="GB55" s="321"/>
      <c r="GC55" s="322">
        <f>GC60-GC57+GC56</f>
        <v>7</v>
      </c>
      <c r="GD55" s="321"/>
      <c r="GE55" s="322">
        <f>GE60-GE57+GE56</f>
        <v>6.95</v>
      </c>
      <c r="GF55" s="321"/>
      <c r="GG55" s="322">
        <f>GG60-GG57+GG56</f>
        <v>6.95</v>
      </c>
      <c r="GH55" s="321"/>
      <c r="GI55" s="322">
        <f>GI60-GI57+GI56</f>
        <v>6.95</v>
      </c>
      <c r="GJ55" s="321"/>
      <c r="GK55" s="322">
        <f>GK60-GK57+GK56</f>
        <v>8.1999999999999993</v>
      </c>
      <c r="GL55" s="321"/>
      <c r="GM55" s="322">
        <f>GM60-GM57+GM56</f>
        <v>8.1999999999999993</v>
      </c>
      <c r="GN55" s="321"/>
      <c r="GO55" s="322">
        <f>GO60-GO57+GO56</f>
        <v>8.1999999999999993</v>
      </c>
      <c r="GP55" s="321"/>
      <c r="GQ55" s="322">
        <f>GQ60-GQ57+GQ56</f>
        <v>8.1999999999999993</v>
      </c>
      <c r="GR55" s="321"/>
      <c r="GS55" s="322">
        <f>GS60-GS57+GS56</f>
        <v>8.1999999999999993</v>
      </c>
      <c r="GT55" s="321"/>
      <c r="GU55" s="322">
        <f>GU60-GU57+GU56</f>
        <v>8.1999999999999993</v>
      </c>
      <c r="GV55" s="321"/>
      <c r="GW55" s="322">
        <f>GW60-GW57+GW56</f>
        <v>8.1999999999999993</v>
      </c>
      <c r="GX55" s="321"/>
      <c r="GY55" s="322">
        <f>GY60-GY57+GY56</f>
        <v>8.1999999999999993</v>
      </c>
      <c r="GZ55" s="321"/>
      <c r="HA55" s="322">
        <f>HA60-HA57+HA56</f>
        <v>8.1999999999999993</v>
      </c>
      <c r="HB55" s="321"/>
      <c r="HC55" s="322">
        <f>HC60-HC57+HC56</f>
        <v>8.1999999999999993</v>
      </c>
      <c r="HD55" s="321"/>
      <c r="HE55" s="322">
        <f>HE60-HE57+HE56</f>
        <v>8.1999999999999993</v>
      </c>
      <c r="HF55" s="321"/>
      <c r="HG55" s="322">
        <f>HG60-HG57+HG56</f>
        <v>8.1999999999999993</v>
      </c>
      <c r="HH55" s="321"/>
      <c r="HI55" s="322">
        <f>HI60-HI57+HI56</f>
        <v>8.1999999999999993</v>
      </c>
      <c r="HJ55" s="321"/>
      <c r="HK55" s="322">
        <f>HK60-HK57+HK56</f>
        <v>8.1999999999999993</v>
      </c>
      <c r="HL55" s="321"/>
      <c r="HM55" s="322">
        <f>HM60-HM57+HM56</f>
        <v>8.1999999999999993</v>
      </c>
      <c r="HN55" s="321"/>
      <c r="HO55" s="322">
        <f>HO60-HO57+HO56</f>
        <v>8.1999999999999993</v>
      </c>
      <c r="HP55" s="321"/>
      <c r="HQ55" s="322">
        <f>HQ60-HQ57+HQ56</f>
        <v>8.1999999999999993</v>
      </c>
      <c r="HR55" s="321"/>
      <c r="HS55" s="322">
        <f>HS60-HS57+HS56</f>
        <v>8.1999999999999993</v>
      </c>
      <c r="HT55" s="321"/>
      <c r="HU55" s="322">
        <f>HU60-HU57+HU56</f>
        <v>8.1999999999999993</v>
      </c>
      <c r="HV55" s="321"/>
      <c r="HW55" s="322">
        <f>HW60-HW57+HW56</f>
        <v>8.1999999999999993</v>
      </c>
      <c r="HX55" s="321"/>
      <c r="HY55" s="322">
        <f>HY60-HY57+HY56</f>
        <v>8.1999999999999993</v>
      </c>
      <c r="HZ55" s="321"/>
      <c r="IA55" s="322">
        <f>IA60-IA57+IA56</f>
        <v>8.1999999999999993</v>
      </c>
      <c r="IB55" s="321"/>
      <c r="IC55" s="322">
        <f>IC60-IC57+IC56</f>
        <v>8.1999999999999993</v>
      </c>
      <c r="ID55" s="321"/>
      <c r="IE55" s="322">
        <f>IE60-IE57+IE56</f>
        <v>8.1999999999999993</v>
      </c>
      <c r="IF55" s="321"/>
      <c r="IG55" s="322">
        <f>IG60-IG57-IG56</f>
        <v>8.1999999999999993</v>
      </c>
      <c r="IH55" s="321"/>
      <c r="II55" s="322">
        <f>II60-II57-II56</f>
        <v>8.1999999999999993</v>
      </c>
      <c r="IJ55" s="321"/>
      <c r="IK55" s="322">
        <f>IK60-IK57-IK56</f>
        <v>8.1999999999999993</v>
      </c>
      <c r="IL55" s="321"/>
      <c r="IM55" s="322">
        <f>IM60-IM57-IM56</f>
        <v>8.1999999999999993</v>
      </c>
      <c r="IN55" s="321"/>
      <c r="IO55" s="322">
        <f>IO60-IO57-IO56</f>
        <v>8.1999999999999993</v>
      </c>
      <c r="IP55" s="321"/>
      <c r="IQ55" s="322">
        <f>IQ60-IQ57-IQ56</f>
        <v>8.1999999999999993</v>
      </c>
      <c r="IR55" s="321"/>
      <c r="IS55" s="322">
        <f>IS60-IS57-IS56</f>
        <v>8.1999999999999993</v>
      </c>
      <c r="IT55" s="321"/>
      <c r="IU55" s="322">
        <f>IU60-IU57-IU56</f>
        <v>8.1999999999999993</v>
      </c>
      <c r="IV55" s="321"/>
      <c r="IW55" s="322">
        <f>IW60-IW57-IW56</f>
        <v>8.1999999999999993</v>
      </c>
      <c r="IX55" s="321"/>
      <c r="IY55" s="322">
        <f>IY60-IY57-IY56</f>
        <v>8.1999999999999993</v>
      </c>
      <c r="IZ55" s="219"/>
      <c r="JA55" s="321"/>
      <c r="JB55" s="322">
        <f>JB60-JB57+JB56</f>
        <v>8.1999999999999993</v>
      </c>
      <c r="JC55" s="321"/>
      <c r="JD55" s="322">
        <f>JD60-JD57+JD56</f>
        <v>8.1999999999999993</v>
      </c>
      <c r="JE55" s="219"/>
      <c r="JF55" s="321"/>
      <c r="JG55" s="322">
        <f>JG60-JG57+JG56</f>
        <v>5.6</v>
      </c>
      <c r="JH55" s="321"/>
      <c r="JI55" s="322">
        <f>JI60-JI57+JI56</f>
        <v>5.95</v>
      </c>
      <c r="JJ55" s="321"/>
      <c r="JK55" s="322">
        <f>JK60-JK57+JK56</f>
        <v>6.2</v>
      </c>
      <c r="JL55" s="321"/>
      <c r="JM55" s="322">
        <f>JM60-JM57+JM56</f>
        <v>6.2</v>
      </c>
      <c r="JN55" s="321"/>
      <c r="JO55" s="322">
        <f>JO60-JO57+JO56</f>
        <v>6.7</v>
      </c>
      <c r="JP55" s="321"/>
      <c r="JQ55" s="322">
        <f>JQ60-JQ57+JQ56</f>
        <v>6.7</v>
      </c>
      <c r="JR55" s="321"/>
      <c r="JS55" s="322">
        <f>JS60-JS57+JS56</f>
        <v>6.7</v>
      </c>
      <c r="JT55" s="321"/>
      <c r="JU55" s="322">
        <f>JU60-JU57+JU56</f>
        <v>6.7</v>
      </c>
      <c r="JV55" s="321"/>
      <c r="JW55" s="322">
        <f>JW60-JW57+JW56</f>
        <v>6.7</v>
      </c>
      <c r="JX55" s="321"/>
      <c r="JY55" s="322">
        <f>JY60-JY57+JY56</f>
        <v>6.7</v>
      </c>
      <c r="JZ55" s="321"/>
      <c r="KA55" s="322">
        <f>KA60-KA57+KA56</f>
        <v>6.7</v>
      </c>
      <c r="KB55" s="321"/>
      <c r="KC55" s="322">
        <f>KC60-KC57+KC56</f>
        <v>6.7</v>
      </c>
      <c r="KD55" s="321"/>
      <c r="KE55" s="322">
        <f>KE60-KE57+KE56</f>
        <v>6.7</v>
      </c>
      <c r="KF55" s="321"/>
      <c r="KG55" s="322">
        <f>KG60-KG57+KG56</f>
        <v>6.7</v>
      </c>
      <c r="KH55" s="321"/>
      <c r="KI55" s="322">
        <f>KI60-KI57+KI56</f>
        <v>6.7</v>
      </c>
      <c r="KJ55" s="321"/>
      <c r="KK55" s="322">
        <f>KK60-KK57+KK56</f>
        <v>6.7</v>
      </c>
      <c r="KL55" s="321"/>
      <c r="KM55" s="322">
        <f>KM60-KM57+KM56</f>
        <v>6.7</v>
      </c>
      <c r="KN55" s="321"/>
      <c r="KO55" s="322">
        <f>KO60-KO57+KO56</f>
        <v>6.7</v>
      </c>
      <c r="KP55" s="321"/>
      <c r="KQ55" s="322">
        <f>KQ60-KQ57+KQ56</f>
        <v>6.7</v>
      </c>
      <c r="KR55" s="321"/>
      <c r="KS55" s="322">
        <f>KS60-KS57+KS56</f>
        <v>6.7</v>
      </c>
      <c r="KT55" s="321"/>
      <c r="KU55" s="322">
        <f>KU60-KU57+KU56</f>
        <v>6.7</v>
      </c>
      <c r="KV55" s="321"/>
      <c r="KW55" s="322">
        <f>KW60-KW57+KW56</f>
        <v>6.7</v>
      </c>
      <c r="KX55" s="321"/>
      <c r="KY55" s="322">
        <f>KY60-KY57+KY56</f>
        <v>6.7</v>
      </c>
      <c r="KZ55" s="321"/>
      <c r="LA55" s="322">
        <f>LA60-LA57+LA56</f>
        <v>6.7</v>
      </c>
      <c r="LB55" s="321"/>
      <c r="LC55" s="322">
        <f>LC60-LC57+LC56</f>
        <v>6.7</v>
      </c>
      <c r="LD55" s="321"/>
      <c r="LE55" s="322">
        <f>LE60-LE57+LE56</f>
        <v>6.7</v>
      </c>
      <c r="LF55" s="321"/>
      <c r="LG55" s="322">
        <f>LG60-LG57+LG56</f>
        <v>6.7</v>
      </c>
      <c r="LH55" s="321"/>
      <c r="LI55" s="322">
        <f>LI60-LI57+LI56</f>
        <v>6.7</v>
      </c>
      <c r="LJ55" s="321"/>
      <c r="LK55" s="322">
        <f>LK60-LK57+LK56</f>
        <v>6.7</v>
      </c>
      <c r="LL55" s="321"/>
      <c r="LM55" s="322">
        <f>LM60-LM57+LM56</f>
        <v>6.7</v>
      </c>
      <c r="LN55" s="321"/>
      <c r="LO55" s="322">
        <f>LO60-LO57+LO56</f>
        <v>6.7</v>
      </c>
      <c r="LP55" s="321"/>
      <c r="LQ55" s="322">
        <f>LQ60-LQ57+LQ56</f>
        <v>6.7</v>
      </c>
      <c r="LR55" s="321"/>
      <c r="LS55" s="322">
        <f>LS60-LS57+LS56</f>
        <v>6.7</v>
      </c>
      <c r="LT55" s="321"/>
      <c r="LU55" s="322">
        <f>LU60-LU57+LU56</f>
        <v>6.7</v>
      </c>
      <c r="LV55" s="321"/>
      <c r="LW55" s="322">
        <f>LW60-LW57+LW56</f>
        <v>6.7</v>
      </c>
      <c r="LX55" s="321"/>
      <c r="LY55" s="322">
        <f>LY60-LY57+LY56</f>
        <v>6.7</v>
      </c>
      <c r="LZ55" s="321"/>
      <c r="MA55" s="322">
        <f>MA60-MA57+MA56</f>
        <v>6.7</v>
      </c>
      <c r="MB55" s="321"/>
      <c r="MC55" s="322">
        <f>MC60-MC57+MC56</f>
        <v>6.7</v>
      </c>
      <c r="MD55" s="321"/>
      <c r="ME55" s="322">
        <f>ME60-ME57+ME56</f>
        <v>6.7</v>
      </c>
      <c r="MF55" s="321"/>
      <c r="MG55" s="322">
        <f>MG60-MG57-MG56</f>
        <v>6.7</v>
      </c>
      <c r="MH55" s="219"/>
      <c r="MI55" s="321"/>
      <c r="MJ55" s="322">
        <f>MJ60-MJ57+MJ56</f>
        <v>4.25</v>
      </c>
      <c r="MK55" s="321"/>
      <c r="ML55" s="322">
        <f>ML60-ML57+ML56</f>
        <v>4.45</v>
      </c>
      <c r="MM55" s="321"/>
      <c r="MN55" s="322">
        <f>MN60-MN57+MN56</f>
        <v>4.7</v>
      </c>
      <c r="MO55" s="321"/>
      <c r="MP55" s="322">
        <f>MP60-MP57+MP56</f>
        <v>4.7</v>
      </c>
      <c r="MQ55" s="321"/>
      <c r="MR55" s="322">
        <f>MR60-MR57+MR56</f>
        <v>5.0999999999999996</v>
      </c>
      <c r="MS55" s="321"/>
      <c r="MT55" s="322">
        <f>MT60-MT57+MT56</f>
        <v>5</v>
      </c>
      <c r="MU55" s="321"/>
      <c r="MV55" s="322">
        <f>MV60-MV57+MV56</f>
        <v>5.0999999999999996</v>
      </c>
      <c r="MW55" s="321"/>
      <c r="MX55" s="322">
        <f>MX60-MX57+MX56</f>
        <v>6.2</v>
      </c>
      <c r="MY55" s="321"/>
      <c r="MZ55" s="322">
        <f>MZ60-MZ57+MZ56</f>
        <v>6.2</v>
      </c>
      <c r="NA55" s="321"/>
      <c r="NB55" s="322">
        <f>NB60-NB57+NB56</f>
        <v>6.2</v>
      </c>
      <c r="NC55" s="321"/>
      <c r="ND55" s="322">
        <f>ND60-ND57+ND56</f>
        <v>6.2</v>
      </c>
      <c r="NE55" s="321"/>
      <c r="NF55" s="322">
        <f>NF60-NF57+NF56</f>
        <v>6.2</v>
      </c>
      <c r="NG55" s="321"/>
      <c r="NH55" s="322">
        <f>NH60-NH57+NH56</f>
        <v>6.2</v>
      </c>
      <c r="NI55" s="321"/>
      <c r="NJ55" s="322">
        <f>NJ60-NJ57+NJ56</f>
        <v>6.2</v>
      </c>
      <c r="NK55" s="321"/>
      <c r="NL55" s="322">
        <f>NL60-NL57+NL56</f>
        <v>6.2</v>
      </c>
      <c r="NM55" s="321"/>
      <c r="NN55" s="322">
        <f>NN60-NN57+NN56</f>
        <v>6.2</v>
      </c>
      <c r="NO55" s="321"/>
      <c r="NP55" s="322">
        <f>NP60-NP57+NP56</f>
        <v>6.2</v>
      </c>
      <c r="NQ55" s="321"/>
      <c r="NR55" s="322">
        <f>NR60-NR57+NR56</f>
        <v>6.2</v>
      </c>
      <c r="NS55" s="321"/>
      <c r="NT55" s="322">
        <f>NT60-NT57+NT56</f>
        <v>6.2</v>
      </c>
      <c r="NU55" s="321"/>
      <c r="NV55" s="322">
        <f>NV60-NV57+NV56</f>
        <v>6.2</v>
      </c>
      <c r="NW55" s="321"/>
      <c r="NX55" s="322">
        <f>NX60-NX57+NX56</f>
        <v>6.2</v>
      </c>
      <c r="NY55" s="321"/>
      <c r="NZ55" s="322">
        <f>NZ60-NZ57+NZ56</f>
        <v>6.2</v>
      </c>
      <c r="OA55" s="321"/>
      <c r="OB55" s="322">
        <f>OB60-OB57+OB56</f>
        <v>6.2</v>
      </c>
      <c r="OC55" s="321"/>
      <c r="OD55" s="322">
        <f>OD60-OD57+OD56</f>
        <v>6.2</v>
      </c>
      <c r="OE55" s="321"/>
      <c r="OF55" s="322">
        <f>OF60-OF57+OF56</f>
        <v>6.2</v>
      </c>
      <c r="OG55" s="321"/>
      <c r="OH55" s="322">
        <f>OH60-OH57+OH56</f>
        <v>6.2</v>
      </c>
      <c r="OI55" s="321"/>
      <c r="OJ55" s="322">
        <f>OJ60-OJ57+OJ56</f>
        <v>6.2</v>
      </c>
      <c r="OK55" s="321"/>
      <c r="OL55" s="322">
        <f>OL60-OL57+OL56</f>
        <v>6.2</v>
      </c>
      <c r="OM55" s="321"/>
      <c r="ON55" s="322">
        <f>ON60-ON57+ON56</f>
        <v>6.2</v>
      </c>
      <c r="OO55" s="321"/>
      <c r="OP55" s="322">
        <f>OP60-OP57+OP56</f>
        <v>6.2</v>
      </c>
      <c r="OQ55" s="321"/>
      <c r="OR55" s="322">
        <f>OR60-OR57+OR56</f>
        <v>6.2</v>
      </c>
      <c r="OS55" s="321"/>
      <c r="OT55" s="322">
        <f>OT60-OT57+OT56</f>
        <v>6.2</v>
      </c>
      <c r="OU55" s="321"/>
      <c r="OV55" s="322">
        <f>OV60-OV57-OV56</f>
        <v>6.2</v>
      </c>
      <c r="OW55" s="321"/>
      <c r="OX55" s="322">
        <f>OX60-OX57-OX56</f>
        <v>6.2</v>
      </c>
      <c r="OY55" s="321"/>
      <c r="OZ55" s="322">
        <f>OZ60-OZ57-OZ56</f>
        <v>6.2</v>
      </c>
      <c r="PA55" s="321"/>
      <c r="PB55" s="322">
        <f>PB60-PB57-PB56</f>
        <v>6.2</v>
      </c>
      <c r="PC55" s="321"/>
      <c r="PD55" s="322">
        <f>PD60-PD57-PD56</f>
        <v>6.2</v>
      </c>
      <c r="PE55" s="321"/>
      <c r="PF55" s="322">
        <f>PF60-PF57-PF56</f>
        <v>6.2</v>
      </c>
      <c r="PG55" s="321"/>
      <c r="PH55" s="322">
        <f>PH60-PH57-PH56</f>
        <v>6.2</v>
      </c>
      <c r="PI55" s="321"/>
      <c r="PJ55" s="322">
        <f>PJ60-PJ57-PJ56</f>
        <v>5.8500000000000005</v>
      </c>
      <c r="PK55" s="321"/>
      <c r="PL55" s="322">
        <f>PL60-PL57-PL56</f>
        <v>5.7</v>
      </c>
      <c r="PM55" s="321"/>
      <c r="PN55" s="322">
        <f>PN60-PN57-PN56</f>
        <v>6.2</v>
      </c>
      <c r="PO55" s="321"/>
      <c r="PP55" s="322">
        <f>PP60-PP57-PP56</f>
        <v>6.2</v>
      </c>
      <c r="PR55" s="321"/>
      <c r="PS55" s="322">
        <f>PS60-PS57-PS56</f>
        <v>7.4</v>
      </c>
      <c r="PT55" s="321"/>
      <c r="PU55" s="322">
        <f>PU60-PU57-PU56</f>
        <v>7.4</v>
      </c>
      <c r="PV55" s="321"/>
      <c r="PW55" s="322">
        <f>PW60-PW57-PW56</f>
        <v>6.6000000000000005</v>
      </c>
      <c r="PX55" s="321"/>
      <c r="PY55" s="322">
        <f>PY60-PY57-PY56</f>
        <v>6.6000000000000005</v>
      </c>
      <c r="PZ55" s="321"/>
      <c r="QA55" s="322">
        <f>QA60-QA57-QA56</f>
        <v>5.1000000000000005</v>
      </c>
      <c r="QB55" s="321"/>
      <c r="QC55" s="322">
        <f>QC60-QC57-QC56</f>
        <v>5.1000000000000005</v>
      </c>
      <c r="QF55" s="321"/>
      <c r="QG55" s="322">
        <f>QG60-QG57-QG56</f>
        <v>7.4</v>
      </c>
      <c r="QH55" s="321"/>
      <c r="QI55" s="322">
        <f>QI60-QI57-QI56</f>
        <v>7.4</v>
      </c>
      <c r="QJ55" s="321"/>
      <c r="QK55" s="322">
        <f>QK60-QK57-QK56</f>
        <v>6.6000000000000005</v>
      </c>
      <c r="QL55" s="321"/>
      <c r="QM55" s="322">
        <f>QM60-QM57-QM56</f>
        <v>6.6000000000000005</v>
      </c>
      <c r="QN55" s="321"/>
      <c r="QO55" s="322">
        <f>QO60-QO57-QO56</f>
        <v>6.6</v>
      </c>
      <c r="QP55" s="321"/>
      <c r="QQ55" s="322">
        <f>QQ60-QQ57-QQ56</f>
        <v>6.6</v>
      </c>
    </row>
    <row r="56" spans="1:459" x14ac:dyDescent="0.45">
      <c r="A56" s="871"/>
      <c r="B56" s="324" t="s">
        <v>362</v>
      </c>
      <c r="C56" s="325"/>
      <c r="D56" s="326"/>
      <c r="E56" s="327"/>
      <c r="F56" s="328"/>
      <c r="G56" s="329">
        <f>G126</f>
        <v>0</v>
      </c>
      <c r="H56" s="328"/>
      <c r="I56" s="329">
        <f>I126</f>
        <v>0</v>
      </c>
      <c r="J56" s="328"/>
      <c r="K56" s="329">
        <f>K126</f>
        <v>0</v>
      </c>
      <c r="L56" s="328"/>
      <c r="M56" s="329">
        <f>M126</f>
        <v>0</v>
      </c>
      <c r="N56" s="328"/>
      <c r="O56" s="329">
        <f>O126</f>
        <v>0</v>
      </c>
      <c r="P56" s="328"/>
      <c r="Q56" s="329">
        <f>Q126</f>
        <v>0</v>
      </c>
      <c r="R56" s="328"/>
      <c r="S56" s="329">
        <f>S126</f>
        <v>0</v>
      </c>
      <c r="T56" s="328"/>
      <c r="U56" s="329">
        <f>U126</f>
        <v>0</v>
      </c>
      <c r="V56" s="328"/>
      <c r="W56" s="329">
        <f>W126</f>
        <v>0</v>
      </c>
      <c r="X56" s="328"/>
      <c r="Y56" s="329">
        <f>Y126</f>
        <v>0</v>
      </c>
      <c r="Z56" s="328"/>
      <c r="AA56" s="329">
        <f>AA126</f>
        <v>0</v>
      </c>
      <c r="AB56" s="328"/>
      <c r="AC56" s="329">
        <f>AC126</f>
        <v>0</v>
      </c>
      <c r="AD56" s="328"/>
      <c r="AE56" s="329">
        <f>AE126</f>
        <v>0</v>
      </c>
      <c r="AF56" s="328"/>
      <c r="AG56" s="329">
        <f>AG126</f>
        <v>0</v>
      </c>
      <c r="AH56" s="328"/>
      <c r="AI56" s="329">
        <f>AI126</f>
        <v>0</v>
      </c>
      <c r="AJ56" s="328"/>
      <c r="AK56" s="329">
        <f>AK126</f>
        <v>0</v>
      </c>
      <c r="AL56" s="328"/>
      <c r="AM56" s="329">
        <f>AM126</f>
        <v>0</v>
      </c>
      <c r="AN56" s="328"/>
      <c r="AO56" s="329">
        <f>AO126</f>
        <v>0</v>
      </c>
      <c r="AP56" s="328"/>
      <c r="AQ56" s="329">
        <f>AQ126</f>
        <v>0</v>
      </c>
      <c r="AR56" s="328"/>
      <c r="AS56" s="329">
        <f>AS126</f>
        <v>0</v>
      </c>
      <c r="AT56" s="328"/>
      <c r="AU56" s="329">
        <f>AU126</f>
        <v>0</v>
      </c>
      <c r="AV56" s="328"/>
      <c r="AW56" s="329">
        <f>AW126</f>
        <v>0</v>
      </c>
      <c r="AX56" s="328"/>
      <c r="AY56" s="329">
        <f>AY126</f>
        <v>0</v>
      </c>
      <c r="AZ56" s="328"/>
      <c r="BA56" s="329">
        <f>BA126</f>
        <v>0</v>
      </c>
      <c r="BB56" s="328"/>
      <c r="BC56" s="329">
        <f>BC126</f>
        <v>0</v>
      </c>
      <c r="BD56" s="328"/>
      <c r="BE56" s="329">
        <f>BE126</f>
        <v>0</v>
      </c>
      <c r="BF56" s="328"/>
      <c r="BG56" s="329">
        <f>BG126</f>
        <v>0</v>
      </c>
      <c r="BH56" s="328"/>
      <c r="BI56" s="329">
        <f>BI126</f>
        <v>0</v>
      </c>
      <c r="BJ56" s="328"/>
      <c r="BK56" s="329">
        <f>BK126</f>
        <v>0</v>
      </c>
      <c r="BL56" s="328"/>
      <c r="BM56" s="329">
        <f>BM126</f>
        <v>0</v>
      </c>
      <c r="BN56" s="328"/>
      <c r="BO56" s="329">
        <f>BO126</f>
        <v>0</v>
      </c>
      <c r="BP56" s="328"/>
      <c r="BQ56" s="329">
        <f>BQ126</f>
        <v>0</v>
      </c>
      <c r="BR56" s="328"/>
      <c r="BS56" s="329">
        <f>BS126</f>
        <v>0</v>
      </c>
      <c r="BT56" s="328"/>
      <c r="BU56" s="329">
        <f>BU126</f>
        <v>0</v>
      </c>
      <c r="BV56" s="328"/>
      <c r="BW56" s="329">
        <f>BW126</f>
        <v>0</v>
      </c>
      <c r="BX56" s="328"/>
      <c r="BY56" s="329">
        <f>BY126</f>
        <v>0</v>
      </c>
      <c r="BZ56" s="328"/>
      <c r="CA56" s="329">
        <f>CA126</f>
        <v>0</v>
      </c>
      <c r="CB56" s="328"/>
      <c r="CC56" s="329">
        <f>CC126</f>
        <v>0</v>
      </c>
      <c r="CD56" s="328"/>
      <c r="CE56" s="329">
        <f>CE126</f>
        <v>0</v>
      </c>
      <c r="CF56" s="328"/>
      <c r="CG56" s="329">
        <f>CG126</f>
        <v>0</v>
      </c>
      <c r="CH56" s="328"/>
      <c r="CI56" s="329">
        <f>CI126</f>
        <v>0</v>
      </c>
      <c r="CJ56" s="328"/>
      <c r="CK56" s="329">
        <f>CK126</f>
        <v>0</v>
      </c>
      <c r="CL56" s="328"/>
      <c r="CM56" s="329">
        <f>CM126</f>
        <v>0</v>
      </c>
      <c r="CN56" s="328"/>
      <c r="CO56" s="329">
        <f>CO126</f>
        <v>0</v>
      </c>
      <c r="CP56" s="328"/>
      <c r="CQ56" s="329">
        <f>CQ126</f>
        <v>0</v>
      </c>
      <c r="CR56" s="328"/>
      <c r="CS56" s="329">
        <f>CS126</f>
        <v>0</v>
      </c>
      <c r="CT56" s="330"/>
      <c r="CU56" s="328"/>
      <c r="CV56" s="329">
        <f>CV126</f>
        <v>0</v>
      </c>
      <c r="CW56" s="328"/>
      <c r="CX56" s="329">
        <f>CX126</f>
        <v>0</v>
      </c>
      <c r="CY56" s="328"/>
      <c r="CZ56" s="329">
        <f>CZ126</f>
        <v>0</v>
      </c>
      <c r="DA56" s="328"/>
      <c r="DB56" s="329">
        <f>DB126</f>
        <v>0</v>
      </c>
      <c r="DC56" s="328"/>
      <c r="DD56" s="329">
        <f>DD126</f>
        <v>0</v>
      </c>
      <c r="DE56" s="328"/>
      <c r="DF56" s="329">
        <f>DF126</f>
        <v>0</v>
      </c>
      <c r="DG56" s="328"/>
      <c r="DH56" s="329">
        <f>DH126</f>
        <v>0</v>
      </c>
      <c r="DI56" s="328"/>
      <c r="DJ56" s="329">
        <f>DJ126</f>
        <v>0</v>
      </c>
      <c r="DK56" s="328"/>
      <c r="DL56" s="329">
        <f>DL126</f>
        <v>0</v>
      </c>
      <c r="DM56" s="328"/>
      <c r="DN56" s="329">
        <f>DN126</f>
        <v>0</v>
      </c>
      <c r="DO56" s="328"/>
      <c r="DP56" s="329">
        <f>DP126</f>
        <v>0</v>
      </c>
      <c r="DQ56" s="328"/>
      <c r="DR56" s="329">
        <f>DR126</f>
        <v>0</v>
      </c>
      <c r="DS56" s="328"/>
      <c r="DT56" s="329">
        <f>DT126</f>
        <v>0</v>
      </c>
      <c r="DU56" s="328"/>
      <c r="DV56" s="329">
        <f>DV126</f>
        <v>0</v>
      </c>
      <c r="DW56" s="328"/>
      <c r="DX56" s="329">
        <f>DX126</f>
        <v>0</v>
      </c>
      <c r="DY56" s="328"/>
      <c r="DZ56" s="329">
        <f>DZ126</f>
        <v>0</v>
      </c>
      <c r="EA56" s="328"/>
      <c r="EB56" s="329">
        <f>EB126</f>
        <v>0</v>
      </c>
      <c r="EC56" s="328"/>
      <c r="ED56" s="329">
        <f>ED126</f>
        <v>0</v>
      </c>
      <c r="EE56" s="328"/>
      <c r="EF56" s="329">
        <f>EF126</f>
        <v>0</v>
      </c>
      <c r="EG56" s="328"/>
      <c r="EH56" s="329">
        <f>EH126</f>
        <v>0</v>
      </c>
      <c r="EI56" s="328"/>
      <c r="EJ56" s="329">
        <f>EJ126</f>
        <v>0</v>
      </c>
      <c r="EK56" s="328"/>
      <c r="EL56" s="329">
        <f>EL126</f>
        <v>0</v>
      </c>
      <c r="EM56" s="328"/>
      <c r="EN56" s="329">
        <f>EN126</f>
        <v>0</v>
      </c>
      <c r="EO56" s="328"/>
      <c r="EP56" s="329">
        <f>EP126</f>
        <v>0</v>
      </c>
      <c r="EQ56" s="328"/>
      <c r="ER56" s="329">
        <f>ER126</f>
        <v>0</v>
      </c>
      <c r="ES56" s="328"/>
      <c r="ET56" s="329">
        <f>ET126</f>
        <v>0</v>
      </c>
      <c r="EU56" s="328"/>
      <c r="EV56" s="329">
        <f>EV126</f>
        <v>0</v>
      </c>
      <c r="EW56" s="328"/>
      <c r="EX56" s="329">
        <f>EX126</f>
        <v>0</v>
      </c>
      <c r="EY56" s="328"/>
      <c r="EZ56" s="329">
        <f>EZ126</f>
        <v>0</v>
      </c>
      <c r="FA56" s="328"/>
      <c r="FB56" s="329">
        <f>FB126</f>
        <v>0</v>
      </c>
      <c r="FC56" s="328"/>
      <c r="FD56" s="329">
        <f>FD126</f>
        <v>0</v>
      </c>
      <c r="FE56" s="328"/>
      <c r="FF56" s="329">
        <f>FF126</f>
        <v>0</v>
      </c>
      <c r="FG56" s="328"/>
      <c r="FH56" s="329">
        <f>FH126</f>
        <v>0</v>
      </c>
      <c r="FI56" s="328"/>
      <c r="FJ56" s="329">
        <f>FJ126</f>
        <v>0</v>
      </c>
      <c r="FK56" s="328"/>
      <c r="FL56" s="329">
        <f>FL126</f>
        <v>0</v>
      </c>
      <c r="FM56" s="328"/>
      <c r="FN56" s="329">
        <f>FN126</f>
        <v>0</v>
      </c>
      <c r="FO56" s="328"/>
      <c r="FP56" s="329">
        <f>FP126</f>
        <v>0</v>
      </c>
      <c r="FQ56" s="327"/>
      <c r="FR56" s="328"/>
      <c r="FS56" s="329">
        <f>FS126</f>
        <v>0</v>
      </c>
      <c r="FT56" s="328"/>
      <c r="FU56" s="329">
        <f>FU126</f>
        <v>0</v>
      </c>
      <c r="FV56" s="328"/>
      <c r="FW56" s="329">
        <f>FW126</f>
        <v>0</v>
      </c>
      <c r="FX56" s="328"/>
      <c r="FY56" s="329">
        <f>FY126</f>
        <v>0</v>
      </c>
      <c r="FZ56" s="328"/>
      <c r="GA56" s="329">
        <f>GA126</f>
        <v>0</v>
      </c>
      <c r="GB56" s="328"/>
      <c r="GC56" s="329">
        <f>GC126</f>
        <v>0</v>
      </c>
      <c r="GD56" s="328"/>
      <c r="GE56" s="329">
        <f>GE126</f>
        <v>0</v>
      </c>
      <c r="GF56" s="328"/>
      <c r="GG56" s="329">
        <f>GG126</f>
        <v>0</v>
      </c>
      <c r="GH56" s="328"/>
      <c r="GI56" s="329">
        <f>GI126</f>
        <v>0</v>
      </c>
      <c r="GJ56" s="328"/>
      <c r="GK56" s="329">
        <f>GK126</f>
        <v>0</v>
      </c>
      <c r="GL56" s="328"/>
      <c r="GM56" s="329">
        <f>GM126</f>
        <v>0</v>
      </c>
      <c r="GN56" s="328"/>
      <c r="GO56" s="329">
        <f>GO126</f>
        <v>0</v>
      </c>
      <c r="GP56" s="328"/>
      <c r="GQ56" s="329">
        <f>GQ126</f>
        <v>0</v>
      </c>
      <c r="GR56" s="328"/>
      <c r="GS56" s="329">
        <f>GS126</f>
        <v>0</v>
      </c>
      <c r="GT56" s="328"/>
      <c r="GU56" s="329">
        <f>GU126</f>
        <v>0</v>
      </c>
      <c r="GV56" s="328"/>
      <c r="GW56" s="329">
        <f>GW126</f>
        <v>0</v>
      </c>
      <c r="GX56" s="328"/>
      <c r="GY56" s="329">
        <f>GY126</f>
        <v>0</v>
      </c>
      <c r="GZ56" s="328"/>
      <c r="HA56" s="329">
        <f>HA126</f>
        <v>0</v>
      </c>
      <c r="HB56" s="328"/>
      <c r="HC56" s="329">
        <f>HC126</f>
        <v>0</v>
      </c>
      <c r="HD56" s="328"/>
      <c r="HE56" s="329">
        <f>HE126</f>
        <v>0</v>
      </c>
      <c r="HF56" s="328"/>
      <c r="HG56" s="329">
        <f>HG126</f>
        <v>0</v>
      </c>
      <c r="HH56" s="328"/>
      <c r="HI56" s="329">
        <f>HI126</f>
        <v>0</v>
      </c>
      <c r="HJ56" s="328"/>
      <c r="HK56" s="329">
        <f>HK126</f>
        <v>0</v>
      </c>
      <c r="HL56" s="328"/>
      <c r="HM56" s="329">
        <f>HM126</f>
        <v>0</v>
      </c>
      <c r="HN56" s="328"/>
      <c r="HO56" s="329">
        <f>HO126</f>
        <v>0</v>
      </c>
      <c r="HP56" s="328"/>
      <c r="HQ56" s="329">
        <f>HQ126</f>
        <v>0</v>
      </c>
      <c r="HR56" s="328"/>
      <c r="HS56" s="329">
        <f>HS126</f>
        <v>0</v>
      </c>
      <c r="HT56" s="328"/>
      <c r="HU56" s="329">
        <f>HU126</f>
        <v>0</v>
      </c>
      <c r="HV56" s="328"/>
      <c r="HW56" s="329">
        <f>HW126</f>
        <v>0</v>
      </c>
      <c r="HX56" s="328"/>
      <c r="HY56" s="329">
        <f>HY126</f>
        <v>0</v>
      </c>
      <c r="HZ56" s="328"/>
      <c r="IA56" s="329">
        <f>IA126</f>
        <v>0</v>
      </c>
      <c r="IB56" s="328"/>
      <c r="IC56" s="329">
        <f>IC126</f>
        <v>0</v>
      </c>
      <c r="ID56" s="328"/>
      <c r="IE56" s="329">
        <f>IE126</f>
        <v>0</v>
      </c>
      <c r="IF56" s="328"/>
      <c r="IG56" s="329">
        <f>IG126</f>
        <v>0</v>
      </c>
      <c r="IH56" s="328"/>
      <c r="II56" s="329">
        <f>II126</f>
        <v>0</v>
      </c>
      <c r="IJ56" s="328"/>
      <c r="IK56" s="329">
        <f>IK126</f>
        <v>0</v>
      </c>
      <c r="IL56" s="328"/>
      <c r="IM56" s="329">
        <f>IM126</f>
        <v>0</v>
      </c>
      <c r="IN56" s="328"/>
      <c r="IO56" s="329">
        <f>IO126</f>
        <v>0</v>
      </c>
      <c r="IP56" s="328"/>
      <c r="IQ56" s="329">
        <f>IQ126</f>
        <v>0</v>
      </c>
      <c r="IR56" s="328"/>
      <c r="IS56" s="329">
        <f>IS126</f>
        <v>0</v>
      </c>
      <c r="IT56" s="328"/>
      <c r="IU56" s="329">
        <f>IU126</f>
        <v>0</v>
      </c>
      <c r="IV56" s="328"/>
      <c r="IW56" s="329">
        <f>IW126</f>
        <v>0</v>
      </c>
      <c r="IX56" s="328"/>
      <c r="IY56" s="329">
        <f>IY126</f>
        <v>0</v>
      </c>
      <c r="IZ56" s="327"/>
      <c r="JA56" s="328"/>
      <c r="JB56" s="329">
        <f>JB126</f>
        <v>0</v>
      </c>
      <c r="JC56" s="328"/>
      <c r="JD56" s="329">
        <f>JD126</f>
        <v>0</v>
      </c>
      <c r="JE56" s="327"/>
      <c r="JF56" s="328"/>
      <c r="JG56" s="329">
        <f>JG126</f>
        <v>0</v>
      </c>
      <c r="JH56" s="328"/>
      <c r="JI56" s="329">
        <f>JI126</f>
        <v>0</v>
      </c>
      <c r="JJ56" s="328"/>
      <c r="JK56" s="329">
        <f>JK126</f>
        <v>0</v>
      </c>
      <c r="JL56" s="328"/>
      <c r="JM56" s="329">
        <f>JM126</f>
        <v>0</v>
      </c>
      <c r="JN56" s="328"/>
      <c r="JO56" s="329">
        <f>JO126</f>
        <v>0</v>
      </c>
      <c r="JP56" s="328"/>
      <c r="JQ56" s="329">
        <f>JQ126</f>
        <v>0</v>
      </c>
      <c r="JR56" s="328"/>
      <c r="JS56" s="329">
        <f>JS126</f>
        <v>0</v>
      </c>
      <c r="JT56" s="328"/>
      <c r="JU56" s="329">
        <f>JU126</f>
        <v>0</v>
      </c>
      <c r="JV56" s="328"/>
      <c r="JW56" s="329">
        <f>JW126</f>
        <v>0</v>
      </c>
      <c r="JX56" s="328"/>
      <c r="JY56" s="329">
        <f>JY126</f>
        <v>0</v>
      </c>
      <c r="JZ56" s="328"/>
      <c r="KA56" s="329">
        <f>KA126</f>
        <v>0</v>
      </c>
      <c r="KB56" s="328"/>
      <c r="KC56" s="329">
        <f>KC126</f>
        <v>0</v>
      </c>
      <c r="KD56" s="328"/>
      <c r="KE56" s="329">
        <f>KE126</f>
        <v>0</v>
      </c>
      <c r="KF56" s="328"/>
      <c r="KG56" s="329">
        <f>KG126</f>
        <v>0</v>
      </c>
      <c r="KH56" s="328"/>
      <c r="KI56" s="329">
        <f>KI126</f>
        <v>0</v>
      </c>
      <c r="KJ56" s="328"/>
      <c r="KK56" s="329">
        <f>KK126</f>
        <v>0</v>
      </c>
      <c r="KL56" s="328"/>
      <c r="KM56" s="329">
        <f>KM126</f>
        <v>0</v>
      </c>
      <c r="KN56" s="328"/>
      <c r="KO56" s="329">
        <f>KO126</f>
        <v>0</v>
      </c>
      <c r="KP56" s="328"/>
      <c r="KQ56" s="329">
        <f>KQ126</f>
        <v>0</v>
      </c>
      <c r="KR56" s="328"/>
      <c r="KS56" s="329">
        <f>KS126</f>
        <v>0</v>
      </c>
      <c r="KT56" s="328"/>
      <c r="KU56" s="329">
        <f>KU126</f>
        <v>0</v>
      </c>
      <c r="KV56" s="328"/>
      <c r="KW56" s="329">
        <f>KW126</f>
        <v>0</v>
      </c>
      <c r="KX56" s="328"/>
      <c r="KY56" s="329">
        <f>KY126</f>
        <v>0</v>
      </c>
      <c r="KZ56" s="328"/>
      <c r="LA56" s="329">
        <f>LA126</f>
        <v>0</v>
      </c>
      <c r="LB56" s="328"/>
      <c r="LC56" s="329">
        <f>LC126</f>
        <v>0</v>
      </c>
      <c r="LD56" s="328"/>
      <c r="LE56" s="329">
        <f>LE126</f>
        <v>0</v>
      </c>
      <c r="LF56" s="328"/>
      <c r="LG56" s="329">
        <f>LG126</f>
        <v>0</v>
      </c>
      <c r="LH56" s="328"/>
      <c r="LI56" s="329">
        <f>LI126</f>
        <v>0</v>
      </c>
      <c r="LJ56" s="328"/>
      <c r="LK56" s="329">
        <f>LK126</f>
        <v>0</v>
      </c>
      <c r="LL56" s="328"/>
      <c r="LM56" s="329">
        <f>LM126</f>
        <v>0</v>
      </c>
      <c r="LN56" s="328"/>
      <c r="LO56" s="329">
        <f>LO126</f>
        <v>0</v>
      </c>
      <c r="LP56" s="328"/>
      <c r="LQ56" s="329">
        <f>LQ126</f>
        <v>0</v>
      </c>
      <c r="LR56" s="328"/>
      <c r="LS56" s="329">
        <f>LS126</f>
        <v>0</v>
      </c>
      <c r="LT56" s="328"/>
      <c r="LU56" s="329">
        <f>LU126</f>
        <v>0</v>
      </c>
      <c r="LV56" s="328"/>
      <c r="LW56" s="329">
        <f>LW126</f>
        <v>0</v>
      </c>
      <c r="LX56" s="328"/>
      <c r="LY56" s="329">
        <f>LY126</f>
        <v>0</v>
      </c>
      <c r="LZ56" s="328"/>
      <c r="MA56" s="329">
        <f>MA126</f>
        <v>0</v>
      </c>
      <c r="MB56" s="328"/>
      <c r="MC56" s="329">
        <f>MC126</f>
        <v>0</v>
      </c>
      <c r="MD56" s="328"/>
      <c r="ME56" s="329">
        <f>ME126</f>
        <v>0</v>
      </c>
      <c r="MF56" s="328"/>
      <c r="MG56" s="329">
        <f>MG126</f>
        <v>0</v>
      </c>
      <c r="MH56" s="327"/>
      <c r="MI56" s="328"/>
      <c r="MJ56" s="329">
        <f>MJ126</f>
        <v>0</v>
      </c>
      <c r="MK56" s="328"/>
      <c r="ML56" s="329">
        <f>ML126</f>
        <v>0</v>
      </c>
      <c r="MM56" s="328"/>
      <c r="MN56" s="329">
        <f>MN126</f>
        <v>0</v>
      </c>
      <c r="MO56" s="328"/>
      <c r="MP56" s="329">
        <f>MP126</f>
        <v>0</v>
      </c>
      <c r="MQ56" s="328"/>
      <c r="MR56" s="329">
        <f>MR126</f>
        <v>0</v>
      </c>
      <c r="MS56" s="328"/>
      <c r="MT56" s="329">
        <f>MT126</f>
        <v>0</v>
      </c>
      <c r="MU56" s="328"/>
      <c r="MV56" s="329">
        <f>MV126</f>
        <v>0</v>
      </c>
      <c r="MW56" s="328"/>
      <c r="MX56" s="329">
        <f>MX126</f>
        <v>0</v>
      </c>
      <c r="MY56" s="328"/>
      <c r="MZ56" s="329">
        <f>MZ126</f>
        <v>0</v>
      </c>
      <c r="NA56" s="328"/>
      <c r="NB56" s="329">
        <f>NB126</f>
        <v>0</v>
      </c>
      <c r="NC56" s="328"/>
      <c r="ND56" s="329">
        <f>ND126</f>
        <v>0</v>
      </c>
      <c r="NE56" s="328"/>
      <c r="NF56" s="329">
        <f>NF126</f>
        <v>0</v>
      </c>
      <c r="NG56" s="328"/>
      <c r="NH56" s="329">
        <f>NH126</f>
        <v>0</v>
      </c>
      <c r="NI56" s="328"/>
      <c r="NJ56" s="329">
        <f>NJ126</f>
        <v>0</v>
      </c>
      <c r="NK56" s="328"/>
      <c r="NL56" s="329">
        <f>NL126</f>
        <v>0</v>
      </c>
      <c r="NM56" s="328"/>
      <c r="NN56" s="329">
        <f>NN126</f>
        <v>0</v>
      </c>
      <c r="NO56" s="328"/>
      <c r="NP56" s="329">
        <f>NP126</f>
        <v>0</v>
      </c>
      <c r="NQ56" s="328"/>
      <c r="NR56" s="329">
        <f>NR126</f>
        <v>0</v>
      </c>
      <c r="NS56" s="328"/>
      <c r="NT56" s="329">
        <f>NT126</f>
        <v>0</v>
      </c>
      <c r="NU56" s="328"/>
      <c r="NV56" s="329">
        <f>NV126</f>
        <v>0</v>
      </c>
      <c r="NW56" s="328"/>
      <c r="NX56" s="329">
        <f>NX126</f>
        <v>0</v>
      </c>
      <c r="NY56" s="328"/>
      <c r="NZ56" s="329">
        <f>NZ126</f>
        <v>0</v>
      </c>
      <c r="OA56" s="328"/>
      <c r="OB56" s="329">
        <f>OB126</f>
        <v>0</v>
      </c>
      <c r="OC56" s="328"/>
      <c r="OD56" s="329">
        <f>OD126</f>
        <v>0</v>
      </c>
      <c r="OE56" s="328"/>
      <c r="OF56" s="329">
        <f>OF126</f>
        <v>0</v>
      </c>
      <c r="OG56" s="328"/>
      <c r="OH56" s="329">
        <f>OH126</f>
        <v>0</v>
      </c>
      <c r="OI56" s="328"/>
      <c r="OJ56" s="329">
        <f>OJ126</f>
        <v>0</v>
      </c>
      <c r="OK56" s="328"/>
      <c r="OL56" s="329">
        <f>OL126</f>
        <v>0</v>
      </c>
      <c r="OM56" s="328"/>
      <c r="ON56" s="329">
        <f>ON126</f>
        <v>0</v>
      </c>
      <c r="OO56" s="328"/>
      <c r="OP56" s="329">
        <f>OP126</f>
        <v>0</v>
      </c>
      <c r="OQ56" s="328"/>
      <c r="OR56" s="329">
        <f>OR126</f>
        <v>0</v>
      </c>
      <c r="OS56" s="328"/>
      <c r="OT56" s="329">
        <f>OT126</f>
        <v>0</v>
      </c>
      <c r="OU56" s="328"/>
      <c r="OV56" s="329">
        <f>OV126</f>
        <v>0</v>
      </c>
      <c r="OW56" s="328"/>
      <c r="OX56" s="329">
        <f>OX126</f>
        <v>0</v>
      </c>
      <c r="OY56" s="328"/>
      <c r="OZ56" s="329">
        <f>OZ126</f>
        <v>0</v>
      </c>
      <c r="PA56" s="328"/>
      <c r="PB56" s="329">
        <f>PB126</f>
        <v>0</v>
      </c>
      <c r="PC56" s="328"/>
      <c r="PD56" s="329">
        <f>PD126</f>
        <v>0</v>
      </c>
      <c r="PE56" s="328"/>
      <c r="PF56" s="329">
        <f>PF126</f>
        <v>0</v>
      </c>
      <c r="PG56" s="328"/>
      <c r="PH56" s="329">
        <f>PH126</f>
        <v>0</v>
      </c>
      <c r="PI56" s="328"/>
      <c r="PJ56" s="331">
        <v>0.35</v>
      </c>
      <c r="PK56" s="328"/>
      <c r="PL56" s="331">
        <v>0.5</v>
      </c>
      <c r="PM56" s="328"/>
      <c r="PN56" s="331"/>
      <c r="PO56" s="328"/>
      <c r="PP56" s="331"/>
      <c r="PQ56" s="332"/>
      <c r="PR56" s="328"/>
      <c r="PS56" s="329">
        <f>PS126</f>
        <v>0</v>
      </c>
      <c r="PT56" s="328"/>
      <c r="PU56" s="329">
        <f>PU126</f>
        <v>0</v>
      </c>
      <c r="PV56" s="328"/>
      <c r="PW56" s="333">
        <v>0.8</v>
      </c>
      <c r="PX56" s="328"/>
      <c r="PY56" s="333">
        <v>0.8</v>
      </c>
      <c r="PZ56" s="328"/>
      <c r="QA56" s="333">
        <v>2.2999999999999998</v>
      </c>
      <c r="QB56" s="328"/>
      <c r="QC56" s="333">
        <v>2.2999999999999998</v>
      </c>
      <c r="QD56" s="332"/>
      <c r="QE56" s="332"/>
      <c r="QF56" s="328"/>
      <c r="QG56" s="329">
        <f>QG126</f>
        <v>0</v>
      </c>
      <c r="QH56" s="328"/>
      <c r="QI56" s="329">
        <f>QI126</f>
        <v>0</v>
      </c>
      <c r="QJ56" s="328"/>
      <c r="QK56" s="333">
        <v>0.8</v>
      </c>
      <c r="QL56" s="328"/>
      <c r="QM56" s="333">
        <v>0.8</v>
      </c>
      <c r="QN56" s="328"/>
      <c r="QO56" s="333">
        <v>0</v>
      </c>
      <c r="QP56" s="328"/>
      <c r="QQ56" s="333">
        <v>0</v>
      </c>
    </row>
    <row r="57" spans="1:459" x14ac:dyDescent="0.45">
      <c r="A57" s="871"/>
      <c r="B57" s="334" t="s">
        <v>363</v>
      </c>
      <c r="C57" s="325"/>
      <c r="D57" s="326"/>
      <c r="E57" s="327"/>
      <c r="F57" s="328"/>
      <c r="G57" s="329">
        <v>2.1</v>
      </c>
      <c r="H57" s="328"/>
      <c r="I57" s="329">
        <v>2.1</v>
      </c>
      <c r="J57" s="328"/>
      <c r="K57" s="329">
        <v>0.95</v>
      </c>
      <c r="L57" s="328"/>
      <c r="M57" s="329">
        <v>0.95</v>
      </c>
      <c r="N57" s="328"/>
      <c r="O57" s="329">
        <v>0.6</v>
      </c>
      <c r="P57" s="328"/>
      <c r="Q57" s="329">
        <v>0.3</v>
      </c>
      <c r="R57" s="328"/>
      <c r="S57" s="329">
        <v>0.3</v>
      </c>
      <c r="T57" s="328"/>
      <c r="U57" s="329">
        <v>0.2</v>
      </c>
      <c r="V57" s="328"/>
      <c r="W57" s="329">
        <v>0.2</v>
      </c>
      <c r="X57" s="328"/>
      <c r="Y57" s="329">
        <v>0.1</v>
      </c>
      <c r="Z57" s="328"/>
      <c r="AA57" s="329">
        <v>0.3</v>
      </c>
      <c r="AB57" s="328"/>
      <c r="AC57" s="329">
        <v>0.3</v>
      </c>
      <c r="AD57" s="328"/>
      <c r="AE57" s="329">
        <v>0.1</v>
      </c>
      <c r="AF57" s="328"/>
      <c r="AG57" s="329">
        <v>0.1</v>
      </c>
      <c r="AH57" s="328"/>
      <c r="AI57" s="329">
        <v>0.1</v>
      </c>
      <c r="AJ57" s="328"/>
      <c r="AK57" s="329">
        <v>0.1</v>
      </c>
      <c r="AL57" s="328"/>
      <c r="AM57" s="329">
        <v>0.1</v>
      </c>
      <c r="AN57" s="328"/>
      <c r="AO57" s="329">
        <v>0.1</v>
      </c>
      <c r="AP57" s="328"/>
      <c r="AQ57" s="329">
        <v>0.1</v>
      </c>
      <c r="AR57" s="328"/>
      <c r="AS57" s="329">
        <v>0.1</v>
      </c>
      <c r="AT57" s="328"/>
      <c r="AU57" s="329">
        <v>0.1</v>
      </c>
      <c r="AV57" s="328"/>
      <c r="AW57" s="329">
        <v>0.1</v>
      </c>
      <c r="AX57" s="328"/>
      <c r="AY57" s="329">
        <v>0.1</v>
      </c>
      <c r="AZ57" s="328"/>
      <c r="BA57" s="329">
        <v>0.1</v>
      </c>
      <c r="BB57" s="328"/>
      <c r="BC57" s="329">
        <v>0.1</v>
      </c>
      <c r="BD57" s="328"/>
      <c r="BE57" s="329">
        <v>0.1</v>
      </c>
      <c r="BF57" s="328"/>
      <c r="BG57" s="329">
        <v>0.1</v>
      </c>
      <c r="BH57" s="328"/>
      <c r="BI57" s="329">
        <v>0.1</v>
      </c>
      <c r="BJ57" s="328"/>
      <c r="BK57" s="329">
        <v>0.1</v>
      </c>
      <c r="BL57" s="328"/>
      <c r="BM57" s="329">
        <v>0.1</v>
      </c>
      <c r="BN57" s="328"/>
      <c r="BO57" s="329">
        <v>0.1</v>
      </c>
      <c r="BP57" s="328"/>
      <c r="BQ57" s="329">
        <v>0.1</v>
      </c>
      <c r="BR57" s="328"/>
      <c r="BS57" s="329">
        <v>0.1</v>
      </c>
      <c r="BT57" s="328"/>
      <c r="BU57" s="329">
        <v>0.1</v>
      </c>
      <c r="BV57" s="328"/>
      <c r="BW57" s="329">
        <v>0.1</v>
      </c>
      <c r="BX57" s="328"/>
      <c r="BY57" s="329">
        <v>0.1</v>
      </c>
      <c r="BZ57" s="328"/>
      <c r="CA57" s="329">
        <v>0.1</v>
      </c>
      <c r="CB57" s="328"/>
      <c r="CC57" s="329">
        <v>0.1</v>
      </c>
      <c r="CD57" s="328"/>
      <c r="CE57" s="329">
        <v>0.1</v>
      </c>
      <c r="CF57" s="328"/>
      <c r="CG57" s="329">
        <v>0.1</v>
      </c>
      <c r="CH57" s="328"/>
      <c r="CI57" s="329">
        <v>0.1</v>
      </c>
      <c r="CJ57" s="328"/>
      <c r="CK57" s="329">
        <v>0.1</v>
      </c>
      <c r="CL57" s="328"/>
      <c r="CM57" s="329">
        <v>0.1</v>
      </c>
      <c r="CN57" s="328"/>
      <c r="CO57" s="329">
        <v>0.1</v>
      </c>
      <c r="CP57" s="328"/>
      <c r="CQ57" s="329">
        <v>0.1</v>
      </c>
      <c r="CR57" s="328"/>
      <c r="CS57" s="329">
        <v>0.1</v>
      </c>
      <c r="CT57" s="330"/>
      <c r="CU57" s="328"/>
      <c r="CV57" s="329">
        <v>0.8</v>
      </c>
      <c r="CW57" s="328"/>
      <c r="CX57" s="329">
        <v>0.8</v>
      </c>
      <c r="CY57" s="328"/>
      <c r="CZ57" s="329">
        <v>0.8</v>
      </c>
      <c r="DA57" s="328"/>
      <c r="DB57" s="329">
        <v>0.8</v>
      </c>
      <c r="DC57" s="328"/>
      <c r="DD57" s="329">
        <v>0.45</v>
      </c>
      <c r="DE57" s="328"/>
      <c r="DF57" s="329">
        <v>0.45</v>
      </c>
      <c r="DG57" s="328"/>
      <c r="DH57" s="329">
        <v>0.45</v>
      </c>
      <c r="DI57" s="328"/>
      <c r="DJ57" s="329">
        <v>0.45</v>
      </c>
      <c r="DK57" s="328"/>
      <c r="DL57" s="329">
        <v>0.45</v>
      </c>
      <c r="DM57" s="328"/>
      <c r="DN57" s="329">
        <v>0.45</v>
      </c>
      <c r="DO57" s="328"/>
      <c r="DP57" s="329">
        <v>0.45</v>
      </c>
      <c r="DQ57" s="328"/>
      <c r="DR57" s="329">
        <v>0.45</v>
      </c>
      <c r="DS57" s="328"/>
      <c r="DT57" s="329">
        <v>0.45</v>
      </c>
      <c r="DU57" s="328"/>
      <c r="DV57" s="329">
        <v>0.45</v>
      </c>
      <c r="DW57" s="328"/>
      <c r="DX57" s="329">
        <v>0.45</v>
      </c>
      <c r="DY57" s="328"/>
      <c r="DZ57" s="329">
        <v>0.45</v>
      </c>
      <c r="EA57" s="328"/>
      <c r="EB57" s="329">
        <v>0.45</v>
      </c>
      <c r="EC57" s="328"/>
      <c r="ED57" s="329">
        <v>0.45</v>
      </c>
      <c r="EE57" s="328"/>
      <c r="EF57" s="329">
        <v>0.45</v>
      </c>
      <c r="EG57" s="328"/>
      <c r="EH57" s="329">
        <v>0.45</v>
      </c>
      <c r="EI57" s="328"/>
      <c r="EJ57" s="329">
        <v>0.45</v>
      </c>
      <c r="EK57" s="328"/>
      <c r="EL57" s="329">
        <v>0.45</v>
      </c>
      <c r="EM57" s="328"/>
      <c r="EN57" s="329">
        <v>0.45</v>
      </c>
      <c r="EO57" s="328"/>
      <c r="EP57" s="329">
        <v>0.45</v>
      </c>
      <c r="EQ57" s="328"/>
      <c r="ER57" s="329">
        <v>0.45</v>
      </c>
      <c r="ES57" s="328"/>
      <c r="ET57" s="329">
        <v>0.45</v>
      </c>
      <c r="EU57" s="328"/>
      <c r="EV57" s="329">
        <v>0.45</v>
      </c>
      <c r="EW57" s="328"/>
      <c r="EX57" s="329">
        <v>0.45</v>
      </c>
      <c r="EY57" s="328"/>
      <c r="EZ57" s="329">
        <v>0.45</v>
      </c>
      <c r="FA57" s="328"/>
      <c r="FB57" s="329">
        <v>0.45</v>
      </c>
      <c r="FC57" s="328"/>
      <c r="FD57" s="329">
        <v>0.45</v>
      </c>
      <c r="FE57" s="328"/>
      <c r="FF57" s="329">
        <v>0.45</v>
      </c>
      <c r="FG57" s="328"/>
      <c r="FH57" s="329">
        <v>0.45</v>
      </c>
      <c r="FI57" s="328"/>
      <c r="FJ57" s="329">
        <v>0.45</v>
      </c>
      <c r="FK57" s="328"/>
      <c r="FL57" s="329">
        <v>0.45</v>
      </c>
      <c r="FM57" s="328"/>
      <c r="FN57" s="329">
        <v>0.45</v>
      </c>
      <c r="FO57" s="328"/>
      <c r="FP57" s="329">
        <v>0.45</v>
      </c>
      <c r="FQ57" s="327"/>
      <c r="FR57" s="328"/>
      <c r="FS57" s="329">
        <v>0.95</v>
      </c>
      <c r="FT57" s="328"/>
      <c r="FU57" s="329">
        <v>0.6</v>
      </c>
      <c r="FV57" s="328"/>
      <c r="FW57" s="329">
        <v>0.3</v>
      </c>
      <c r="FX57" s="328"/>
      <c r="FY57" s="329">
        <v>0.3</v>
      </c>
      <c r="FZ57" s="328"/>
      <c r="GA57" s="329">
        <v>0.2</v>
      </c>
      <c r="GB57" s="328"/>
      <c r="GC57" s="329">
        <v>0.2</v>
      </c>
      <c r="GD57" s="328"/>
      <c r="GE57" s="329">
        <v>0.1</v>
      </c>
      <c r="GF57" s="328"/>
      <c r="GG57" s="329">
        <v>0.3</v>
      </c>
      <c r="GH57" s="328"/>
      <c r="GI57" s="329">
        <v>0.3</v>
      </c>
      <c r="GJ57" s="328"/>
      <c r="GK57" s="329">
        <v>0.3</v>
      </c>
      <c r="GL57" s="328"/>
      <c r="GM57" s="329">
        <v>0.3</v>
      </c>
      <c r="GN57" s="328"/>
      <c r="GO57" s="329">
        <v>0.3</v>
      </c>
      <c r="GP57" s="328"/>
      <c r="GQ57" s="329">
        <v>0.3</v>
      </c>
      <c r="GR57" s="328"/>
      <c r="GS57" s="329">
        <v>0.3</v>
      </c>
      <c r="GT57" s="328"/>
      <c r="GU57" s="329">
        <v>0.3</v>
      </c>
      <c r="GV57" s="328"/>
      <c r="GW57" s="329">
        <v>0.3</v>
      </c>
      <c r="GX57" s="328"/>
      <c r="GY57" s="329">
        <v>0.3</v>
      </c>
      <c r="GZ57" s="328"/>
      <c r="HA57" s="329">
        <v>0.3</v>
      </c>
      <c r="HB57" s="328"/>
      <c r="HC57" s="329">
        <v>0.3</v>
      </c>
      <c r="HD57" s="328"/>
      <c r="HE57" s="329">
        <v>0.3</v>
      </c>
      <c r="HF57" s="328"/>
      <c r="HG57" s="329">
        <v>0.3</v>
      </c>
      <c r="HH57" s="328"/>
      <c r="HI57" s="329">
        <v>0.3</v>
      </c>
      <c r="HJ57" s="328"/>
      <c r="HK57" s="329">
        <v>0.3</v>
      </c>
      <c r="HL57" s="328"/>
      <c r="HM57" s="329">
        <v>0.3</v>
      </c>
      <c r="HN57" s="328"/>
      <c r="HO57" s="329">
        <v>0.3</v>
      </c>
      <c r="HP57" s="328"/>
      <c r="HQ57" s="329">
        <v>0.3</v>
      </c>
      <c r="HR57" s="328"/>
      <c r="HS57" s="329">
        <v>0.3</v>
      </c>
      <c r="HT57" s="328"/>
      <c r="HU57" s="329">
        <v>0.3</v>
      </c>
      <c r="HV57" s="328"/>
      <c r="HW57" s="329">
        <v>0.3</v>
      </c>
      <c r="HX57" s="328"/>
      <c r="HY57" s="329">
        <v>0.3</v>
      </c>
      <c r="HZ57" s="328"/>
      <c r="IA57" s="329">
        <v>0.3</v>
      </c>
      <c r="IB57" s="328"/>
      <c r="IC57" s="329">
        <v>0.3</v>
      </c>
      <c r="ID57" s="328"/>
      <c r="IE57" s="329">
        <v>0.3</v>
      </c>
      <c r="IF57" s="328"/>
      <c r="IG57" s="329">
        <v>0.3</v>
      </c>
      <c r="IH57" s="328"/>
      <c r="II57" s="329">
        <v>0.3</v>
      </c>
      <c r="IJ57" s="328"/>
      <c r="IK57" s="329">
        <v>0.3</v>
      </c>
      <c r="IL57" s="328"/>
      <c r="IM57" s="329">
        <v>0.3</v>
      </c>
      <c r="IN57" s="328"/>
      <c r="IO57" s="329">
        <v>0.3</v>
      </c>
      <c r="IP57" s="328"/>
      <c r="IQ57" s="329">
        <v>0.3</v>
      </c>
      <c r="IR57" s="328"/>
      <c r="IS57" s="329">
        <v>0.3</v>
      </c>
      <c r="IT57" s="328"/>
      <c r="IU57" s="329">
        <v>0.3</v>
      </c>
      <c r="IV57" s="328"/>
      <c r="IW57" s="329">
        <v>0.3</v>
      </c>
      <c r="IX57" s="328"/>
      <c r="IY57" s="329">
        <v>0.3</v>
      </c>
      <c r="IZ57" s="327"/>
      <c r="JA57" s="328"/>
      <c r="JB57" s="329">
        <v>0.3</v>
      </c>
      <c r="JC57" s="328"/>
      <c r="JD57" s="329">
        <v>0.3</v>
      </c>
      <c r="JE57" s="327"/>
      <c r="JF57" s="328"/>
      <c r="JG57" s="329">
        <v>0.7</v>
      </c>
      <c r="JH57" s="328"/>
      <c r="JI57" s="329">
        <v>0.35</v>
      </c>
      <c r="JJ57" s="328"/>
      <c r="JK57" s="329">
        <v>0.1</v>
      </c>
      <c r="JL57" s="328"/>
      <c r="JM57" s="329">
        <v>0.1</v>
      </c>
      <c r="JN57" s="328"/>
      <c r="JO57" s="329">
        <v>0.1</v>
      </c>
      <c r="JP57" s="328"/>
      <c r="JQ57" s="329">
        <v>0.1</v>
      </c>
      <c r="JR57" s="328"/>
      <c r="JS57" s="329">
        <v>0.1</v>
      </c>
      <c r="JT57" s="328"/>
      <c r="JU57" s="329">
        <v>0.1</v>
      </c>
      <c r="JV57" s="328"/>
      <c r="JW57" s="329">
        <v>0.1</v>
      </c>
      <c r="JX57" s="328"/>
      <c r="JY57" s="329">
        <v>0.1</v>
      </c>
      <c r="JZ57" s="328"/>
      <c r="KA57" s="329">
        <v>0.1</v>
      </c>
      <c r="KB57" s="328"/>
      <c r="KC57" s="329">
        <v>0.1</v>
      </c>
      <c r="KD57" s="328"/>
      <c r="KE57" s="329">
        <v>0.1</v>
      </c>
      <c r="KF57" s="328"/>
      <c r="KG57" s="329">
        <v>0.1</v>
      </c>
      <c r="KH57" s="328"/>
      <c r="KI57" s="329">
        <v>0.1</v>
      </c>
      <c r="KJ57" s="328"/>
      <c r="KK57" s="329">
        <v>0.1</v>
      </c>
      <c r="KL57" s="328"/>
      <c r="KM57" s="329">
        <v>0.1</v>
      </c>
      <c r="KN57" s="328"/>
      <c r="KO57" s="329">
        <v>0.1</v>
      </c>
      <c r="KP57" s="328"/>
      <c r="KQ57" s="329">
        <v>0.1</v>
      </c>
      <c r="KR57" s="328"/>
      <c r="KS57" s="329">
        <v>0.1</v>
      </c>
      <c r="KT57" s="328"/>
      <c r="KU57" s="329">
        <v>0.1</v>
      </c>
      <c r="KV57" s="328"/>
      <c r="KW57" s="329">
        <v>0.1</v>
      </c>
      <c r="KX57" s="328"/>
      <c r="KY57" s="329">
        <v>0.1</v>
      </c>
      <c r="KZ57" s="328"/>
      <c r="LA57" s="329">
        <v>0.1</v>
      </c>
      <c r="LB57" s="328"/>
      <c r="LC57" s="329">
        <v>0.1</v>
      </c>
      <c r="LD57" s="328"/>
      <c r="LE57" s="329">
        <v>0.1</v>
      </c>
      <c r="LF57" s="328"/>
      <c r="LG57" s="329">
        <v>0.1</v>
      </c>
      <c r="LH57" s="328"/>
      <c r="LI57" s="329">
        <v>0.1</v>
      </c>
      <c r="LJ57" s="328"/>
      <c r="LK57" s="329">
        <v>0.1</v>
      </c>
      <c r="LL57" s="328"/>
      <c r="LM57" s="329">
        <v>0.1</v>
      </c>
      <c r="LN57" s="328"/>
      <c r="LO57" s="329">
        <v>0.1</v>
      </c>
      <c r="LP57" s="328"/>
      <c r="LQ57" s="329">
        <v>0.1</v>
      </c>
      <c r="LR57" s="328"/>
      <c r="LS57" s="329">
        <v>0.1</v>
      </c>
      <c r="LT57" s="328"/>
      <c r="LU57" s="329">
        <v>0.1</v>
      </c>
      <c r="LV57" s="328"/>
      <c r="LW57" s="329">
        <v>0.1</v>
      </c>
      <c r="LX57" s="328"/>
      <c r="LY57" s="329">
        <v>0.1</v>
      </c>
      <c r="LZ57" s="328"/>
      <c r="MA57" s="329">
        <v>0.1</v>
      </c>
      <c r="MB57" s="328"/>
      <c r="MC57" s="329">
        <v>0.1</v>
      </c>
      <c r="MD57" s="328"/>
      <c r="ME57" s="329">
        <v>0.1</v>
      </c>
      <c r="MF57" s="328"/>
      <c r="MG57" s="329">
        <v>0.1</v>
      </c>
      <c r="MH57" s="327"/>
      <c r="MI57" s="328"/>
      <c r="MJ57" s="329">
        <v>1.45</v>
      </c>
      <c r="MK57" s="328"/>
      <c r="ML57" s="329">
        <v>1.25</v>
      </c>
      <c r="MM57" s="328"/>
      <c r="MN57" s="329">
        <v>1</v>
      </c>
      <c r="MO57" s="328"/>
      <c r="MP57" s="329">
        <v>1</v>
      </c>
      <c r="MQ57" s="328"/>
      <c r="MR57" s="329">
        <v>1</v>
      </c>
      <c r="MS57" s="328"/>
      <c r="MT57" s="329">
        <v>1</v>
      </c>
      <c r="MU57" s="328"/>
      <c r="MV57" s="329">
        <v>1</v>
      </c>
      <c r="MW57" s="328"/>
      <c r="MX57" s="329">
        <v>0.6</v>
      </c>
      <c r="MY57" s="328"/>
      <c r="MZ57" s="329">
        <v>0.6</v>
      </c>
      <c r="NA57" s="328"/>
      <c r="NB57" s="329">
        <v>0.6</v>
      </c>
      <c r="NC57" s="328"/>
      <c r="ND57" s="329">
        <v>0.6</v>
      </c>
      <c r="NE57" s="328"/>
      <c r="NF57" s="329">
        <v>0.6</v>
      </c>
      <c r="NG57" s="328"/>
      <c r="NH57" s="329">
        <v>0.6</v>
      </c>
      <c r="NI57" s="328"/>
      <c r="NJ57" s="329">
        <v>0.6</v>
      </c>
      <c r="NK57" s="328"/>
      <c r="NL57" s="329">
        <v>0.6</v>
      </c>
      <c r="NM57" s="328"/>
      <c r="NN57" s="329">
        <v>0.6</v>
      </c>
      <c r="NO57" s="328"/>
      <c r="NP57" s="329">
        <v>0.6</v>
      </c>
      <c r="NQ57" s="328"/>
      <c r="NR57" s="329">
        <v>0.6</v>
      </c>
      <c r="NS57" s="328"/>
      <c r="NT57" s="329">
        <v>0.6</v>
      </c>
      <c r="NU57" s="328"/>
      <c r="NV57" s="329">
        <v>0.6</v>
      </c>
      <c r="NW57" s="328"/>
      <c r="NX57" s="329">
        <v>0.6</v>
      </c>
      <c r="NY57" s="328"/>
      <c r="NZ57" s="329">
        <v>0.6</v>
      </c>
      <c r="OA57" s="328"/>
      <c r="OB57" s="329">
        <v>0.6</v>
      </c>
      <c r="OC57" s="328"/>
      <c r="OD57" s="329">
        <v>0.6</v>
      </c>
      <c r="OE57" s="328"/>
      <c r="OF57" s="329">
        <v>0.6</v>
      </c>
      <c r="OG57" s="328"/>
      <c r="OH57" s="329">
        <v>0.6</v>
      </c>
      <c r="OI57" s="328"/>
      <c r="OJ57" s="329">
        <v>0.6</v>
      </c>
      <c r="OK57" s="328"/>
      <c r="OL57" s="329">
        <v>0.6</v>
      </c>
      <c r="OM57" s="328"/>
      <c r="ON57" s="329">
        <v>0.6</v>
      </c>
      <c r="OO57" s="328"/>
      <c r="OP57" s="329">
        <v>0.6</v>
      </c>
      <c r="OQ57" s="328"/>
      <c r="OR57" s="329">
        <v>0.6</v>
      </c>
      <c r="OS57" s="328"/>
      <c r="OT57" s="329">
        <v>0.6</v>
      </c>
      <c r="OU57" s="328"/>
      <c r="OV57" s="329">
        <v>0.6</v>
      </c>
      <c r="OW57" s="328"/>
      <c r="OX57" s="329">
        <v>0.6</v>
      </c>
      <c r="OY57" s="328"/>
      <c r="OZ57" s="329">
        <v>0.6</v>
      </c>
      <c r="PA57" s="328"/>
      <c r="PB57" s="329">
        <v>0.6</v>
      </c>
      <c r="PC57" s="328"/>
      <c r="PD57" s="329">
        <v>0.6</v>
      </c>
      <c r="PE57" s="328"/>
      <c r="PF57" s="329">
        <v>0.6</v>
      </c>
      <c r="PG57" s="328"/>
      <c r="PH57" s="329">
        <v>0.6</v>
      </c>
      <c r="PI57" s="328"/>
      <c r="PJ57" s="331">
        <v>0.6</v>
      </c>
      <c r="PK57" s="328"/>
      <c r="PL57" s="331">
        <v>0.6</v>
      </c>
      <c r="PM57" s="328"/>
      <c r="PN57" s="331">
        <v>0.6</v>
      </c>
      <c r="PO57" s="328"/>
      <c r="PP57" s="331">
        <v>0.6</v>
      </c>
      <c r="PQ57" s="332"/>
      <c r="PR57" s="328"/>
      <c r="PS57" s="329">
        <v>0.5</v>
      </c>
      <c r="PT57" s="328"/>
      <c r="PU57" s="329">
        <f>PS57</f>
        <v>0.5</v>
      </c>
      <c r="PV57" s="328"/>
      <c r="PW57" s="333">
        <v>0.5</v>
      </c>
      <c r="PX57" s="328"/>
      <c r="PY57" s="333">
        <f>PW57</f>
        <v>0.5</v>
      </c>
      <c r="PZ57" s="328"/>
      <c r="QA57" s="333">
        <v>0.5</v>
      </c>
      <c r="QB57" s="328"/>
      <c r="QC57" s="333">
        <f>QA57</f>
        <v>0.5</v>
      </c>
      <c r="QD57" s="332"/>
      <c r="QE57" s="332"/>
      <c r="QF57" s="328"/>
      <c r="QG57" s="329">
        <v>0.5</v>
      </c>
      <c r="QH57" s="328"/>
      <c r="QI57" s="329">
        <f>QG57</f>
        <v>0.5</v>
      </c>
      <c r="QJ57" s="328"/>
      <c r="QK57" s="329">
        <v>0.5</v>
      </c>
      <c r="QL57" s="328"/>
      <c r="QM57" s="329">
        <f>QK57</f>
        <v>0.5</v>
      </c>
      <c r="QN57" s="328"/>
      <c r="QO57" s="329">
        <v>0.5</v>
      </c>
      <c r="QP57" s="328"/>
      <c r="QQ57" s="329">
        <f>QO57</f>
        <v>0.5</v>
      </c>
    </row>
    <row r="58" spans="1:459" x14ac:dyDescent="0.45">
      <c r="A58" s="871"/>
      <c r="B58" s="335" t="s">
        <v>364</v>
      </c>
      <c r="C58" s="336"/>
      <c r="D58" s="337"/>
      <c r="E58" s="338"/>
      <c r="F58" s="339"/>
      <c r="G58" s="340">
        <f>G57/G69</f>
        <v>0.41176470588235298</v>
      </c>
      <c r="H58" s="339"/>
      <c r="I58" s="340">
        <f>I57/I69</f>
        <v>0.31818181818181823</v>
      </c>
      <c r="J58" s="339"/>
      <c r="K58" s="340">
        <f>K57/K69</f>
        <v>0.14393939393939395</v>
      </c>
      <c r="L58" s="339"/>
      <c r="M58" s="340">
        <f>M57/M69</f>
        <v>0.14393939393939395</v>
      </c>
      <c r="N58" s="339"/>
      <c r="O58" s="340">
        <f>O57/O69</f>
        <v>9.0909090909090912E-2</v>
      </c>
      <c r="P58" s="339"/>
      <c r="Q58" s="340">
        <f>Q57/Q69</f>
        <v>4.5454545454545456E-2</v>
      </c>
      <c r="R58" s="339"/>
      <c r="S58" s="340">
        <f>S57/S69</f>
        <v>4.5454545454545456E-2</v>
      </c>
      <c r="T58" s="339"/>
      <c r="U58" s="340">
        <f>U57/U69</f>
        <v>2.9850746268656716E-2</v>
      </c>
      <c r="V58" s="339"/>
      <c r="W58" s="340">
        <f>W57/W69</f>
        <v>2.9850746268656716E-2</v>
      </c>
      <c r="X58" s="339"/>
      <c r="Y58" s="340">
        <f>Y57/Y69</f>
        <v>1.5151515151515154E-2</v>
      </c>
      <c r="Z58" s="339"/>
      <c r="AA58" s="340">
        <f>AA57/AA69</f>
        <v>4.4444444444444446E-2</v>
      </c>
      <c r="AB58" s="339"/>
      <c r="AC58" s="340">
        <f>AC57/AC69</f>
        <v>4.4444444444444446E-2</v>
      </c>
      <c r="AD58" s="339"/>
      <c r="AE58" s="340">
        <f>AE57/AE69</f>
        <v>1.4184397163120569E-2</v>
      </c>
      <c r="AF58" s="339"/>
      <c r="AG58" s="340">
        <f>AG57/AG69</f>
        <v>1.4184397163120569E-2</v>
      </c>
      <c r="AH58" s="339"/>
      <c r="AI58" s="340">
        <f>AI57/AI69</f>
        <v>1.4184397163120569E-2</v>
      </c>
      <c r="AJ58" s="339"/>
      <c r="AK58" s="340">
        <f>AK57/AK69</f>
        <v>1.4184397163120569E-2</v>
      </c>
      <c r="AL58" s="339"/>
      <c r="AM58" s="340">
        <f>AM57/AM69</f>
        <v>1.4184397163120569E-2</v>
      </c>
      <c r="AN58" s="339"/>
      <c r="AO58" s="340">
        <f>AO57/AO69</f>
        <v>1.4184397163120569E-2</v>
      </c>
      <c r="AP58" s="339"/>
      <c r="AQ58" s="340">
        <f>AQ57/AQ69</f>
        <v>1.4184397163120569E-2</v>
      </c>
      <c r="AR58" s="339"/>
      <c r="AS58" s="340">
        <f>AS57/AS69</f>
        <v>1.4184397163120569E-2</v>
      </c>
      <c r="AT58" s="339"/>
      <c r="AU58" s="340">
        <f>AU57/AU69</f>
        <v>1.360544217687075E-2</v>
      </c>
      <c r="AV58" s="339"/>
      <c r="AW58" s="340">
        <f>AW57/AW69</f>
        <v>1.360544217687075E-2</v>
      </c>
      <c r="AX58" s="339"/>
      <c r="AY58" s="340">
        <f>AY57/AY69</f>
        <v>1.360544217687075E-2</v>
      </c>
      <c r="AZ58" s="339"/>
      <c r="BA58" s="340">
        <f>BA57/BA69</f>
        <v>1.360544217687075E-2</v>
      </c>
      <c r="BB58" s="339"/>
      <c r="BC58" s="340">
        <f>BC57/BC69</f>
        <v>1.360544217687075E-2</v>
      </c>
      <c r="BD58" s="339"/>
      <c r="BE58" s="340">
        <f>BE57/BE69</f>
        <v>1.360544217687075E-2</v>
      </c>
      <c r="BF58" s="339"/>
      <c r="BG58" s="340">
        <f>BG57/BG69</f>
        <v>1.360544217687075E-2</v>
      </c>
      <c r="BH58" s="339"/>
      <c r="BI58" s="340">
        <f>BI57/BI69</f>
        <v>1.360544217687075E-2</v>
      </c>
      <c r="BJ58" s="339"/>
      <c r="BK58" s="340">
        <f>BK57/BK69</f>
        <v>1.360544217687075E-2</v>
      </c>
      <c r="BL58" s="339"/>
      <c r="BM58" s="340">
        <f>BM57/BM69</f>
        <v>1.360544217687075E-2</v>
      </c>
      <c r="BN58" s="339"/>
      <c r="BO58" s="340">
        <f>BO57/BO69</f>
        <v>1.360544217687075E-2</v>
      </c>
      <c r="BP58" s="339"/>
      <c r="BQ58" s="340">
        <f>BQ57/BQ69</f>
        <v>1.360544217687075E-2</v>
      </c>
      <c r="BR58" s="339"/>
      <c r="BS58" s="340">
        <f>BS57/BS69</f>
        <v>1.360544217687075E-2</v>
      </c>
      <c r="BT58" s="339"/>
      <c r="BU58" s="340">
        <f>BU57/BU69</f>
        <v>1.360544217687075E-2</v>
      </c>
      <c r="BV58" s="339"/>
      <c r="BW58" s="340">
        <f>BW57/BW69</f>
        <v>1.360544217687075E-2</v>
      </c>
      <c r="BX58" s="339"/>
      <c r="BY58" s="340">
        <f>BY57/BY69</f>
        <v>1.360544217687075E-2</v>
      </c>
      <c r="BZ58" s="339"/>
      <c r="CA58" s="340">
        <f>CA57/CA69</f>
        <v>1.360544217687075E-2</v>
      </c>
      <c r="CB58" s="339"/>
      <c r="CC58" s="340">
        <f>CC57/CC69</f>
        <v>1.360544217687075E-2</v>
      </c>
      <c r="CD58" s="339"/>
      <c r="CE58" s="340">
        <f>CE57/CE69</f>
        <v>1.360544217687075E-2</v>
      </c>
      <c r="CF58" s="339"/>
      <c r="CG58" s="340">
        <f>CG57/CG69</f>
        <v>1.360544217687075E-2</v>
      </c>
      <c r="CH58" s="339"/>
      <c r="CI58" s="340">
        <f>CI57/CI69</f>
        <v>1.360544217687075E-2</v>
      </c>
      <c r="CJ58" s="339"/>
      <c r="CK58" s="340">
        <f>CK57/CK69</f>
        <v>1.360544217687075E-2</v>
      </c>
      <c r="CL58" s="339"/>
      <c r="CM58" s="340">
        <f>CM57/CM69</f>
        <v>1.360544217687075E-2</v>
      </c>
      <c r="CN58" s="339"/>
      <c r="CO58" s="340">
        <f>CO57/CO69</f>
        <v>1.360544217687075E-2</v>
      </c>
      <c r="CP58" s="339"/>
      <c r="CQ58" s="340">
        <f>CQ57/CQ69</f>
        <v>1.360544217687075E-2</v>
      </c>
      <c r="CR58" s="339"/>
      <c r="CS58" s="340">
        <f>CS57/CS69</f>
        <v>1.360544217687075E-2</v>
      </c>
      <c r="CT58" s="341"/>
      <c r="CU58" s="339"/>
      <c r="CV58" s="340">
        <f>CV57/CV69</f>
        <v>8.2051282051282051E-2</v>
      </c>
      <c r="CW58" s="339"/>
      <c r="CX58" s="340">
        <f>CX57/CX69</f>
        <v>8.2051282051282051E-2</v>
      </c>
      <c r="CY58" s="339"/>
      <c r="CZ58" s="340">
        <f>CZ57/CZ69</f>
        <v>8.1632653061224483E-2</v>
      </c>
      <c r="DA58" s="339"/>
      <c r="DB58" s="340">
        <f>DB57/DB69</f>
        <v>8.1632653061224483E-2</v>
      </c>
      <c r="DC58" s="339"/>
      <c r="DD58" s="340">
        <f>DD57/DD69</f>
        <v>4.3269230769230768E-2</v>
      </c>
      <c r="DE58" s="339"/>
      <c r="DF58" s="340">
        <f>DF57/DF69</f>
        <v>4.3269230769230768E-2</v>
      </c>
      <c r="DG58" s="339"/>
      <c r="DH58" s="340">
        <f>DH57/DH69</f>
        <v>4.3269230769230768E-2</v>
      </c>
      <c r="DI58" s="339"/>
      <c r="DJ58" s="340">
        <f>DJ57/DJ69</f>
        <v>4.3269230769230768E-2</v>
      </c>
      <c r="DK58" s="339"/>
      <c r="DL58" s="340">
        <f>DL57/DL69</f>
        <v>4.3269230769230768E-2</v>
      </c>
      <c r="DM58" s="339"/>
      <c r="DN58" s="340">
        <f>DN57/DN69</f>
        <v>4.3269230769230768E-2</v>
      </c>
      <c r="DO58" s="339"/>
      <c r="DP58" s="340">
        <f>DP57/DP69</f>
        <v>4.3269230769230768E-2</v>
      </c>
      <c r="DQ58" s="339"/>
      <c r="DR58" s="340">
        <f>DR57/DR69</f>
        <v>4.3269230769230768E-2</v>
      </c>
      <c r="DS58" s="339"/>
      <c r="DT58" s="340">
        <f>DT57/DT69</f>
        <v>4.1095890410958909E-2</v>
      </c>
      <c r="DU58" s="339"/>
      <c r="DV58" s="340">
        <f>DV57/DV69</f>
        <v>4.1095890410958909E-2</v>
      </c>
      <c r="DW58" s="339"/>
      <c r="DX58" s="340">
        <f>DX57/DX69</f>
        <v>4.1095890410958909E-2</v>
      </c>
      <c r="DY58" s="339"/>
      <c r="DZ58" s="340">
        <f>DZ57/DZ69</f>
        <v>4.1095890410958909E-2</v>
      </c>
      <c r="EA58" s="339"/>
      <c r="EB58" s="340">
        <f>EB57/EB69</f>
        <v>4.1095890410958909E-2</v>
      </c>
      <c r="EC58" s="339"/>
      <c r="ED58" s="340">
        <f>ED57/ED69</f>
        <v>4.1095890410958909E-2</v>
      </c>
      <c r="EE58" s="339"/>
      <c r="EF58" s="340">
        <f>EF57/EF69</f>
        <v>4.1095890410958909E-2</v>
      </c>
      <c r="EG58" s="339"/>
      <c r="EH58" s="340">
        <f>EH57/EH69</f>
        <v>4.1095890410958909E-2</v>
      </c>
      <c r="EI58" s="339"/>
      <c r="EJ58" s="340">
        <f>EJ57/EJ69</f>
        <v>4.1095890410958909E-2</v>
      </c>
      <c r="EK58" s="339"/>
      <c r="EL58" s="340">
        <f>EL57/EL69</f>
        <v>4.1095890410958909E-2</v>
      </c>
      <c r="EM58" s="339"/>
      <c r="EN58" s="340">
        <f>EN57/EN69</f>
        <v>4.1095890410958909E-2</v>
      </c>
      <c r="EO58" s="339"/>
      <c r="EP58" s="340">
        <f>EP57/EP69</f>
        <v>4.1095890410958909E-2</v>
      </c>
      <c r="EQ58" s="339"/>
      <c r="ER58" s="340">
        <f>ER57/ER69</f>
        <v>4.1095890410958909E-2</v>
      </c>
      <c r="ES58" s="339"/>
      <c r="ET58" s="340">
        <f>ET57/ET69</f>
        <v>4.1095890410958909E-2</v>
      </c>
      <c r="EU58" s="339"/>
      <c r="EV58" s="340">
        <f>EV57/EV69</f>
        <v>4.1095890410958909E-2</v>
      </c>
      <c r="EW58" s="339"/>
      <c r="EX58" s="340">
        <f>EX57/EX69</f>
        <v>4.1095890410958909E-2</v>
      </c>
      <c r="EY58" s="339"/>
      <c r="EZ58" s="340">
        <f>EZ57/EZ69</f>
        <v>4.1095890410958909E-2</v>
      </c>
      <c r="FA58" s="339"/>
      <c r="FB58" s="340">
        <f>FB57/FB69</f>
        <v>4.1095890410958909E-2</v>
      </c>
      <c r="FC58" s="339"/>
      <c r="FD58" s="340">
        <f>FD57/FD69</f>
        <v>4.1095890410958909E-2</v>
      </c>
      <c r="FE58" s="339"/>
      <c r="FF58" s="340">
        <f>FF57/FF69</f>
        <v>4.1095890410958909E-2</v>
      </c>
      <c r="FG58" s="339"/>
      <c r="FH58" s="340">
        <f>FH57/FH69</f>
        <v>4.1095890410958909E-2</v>
      </c>
      <c r="FI58" s="339"/>
      <c r="FJ58" s="340">
        <f>FJ57/FJ69</f>
        <v>4.1095890410958909E-2</v>
      </c>
      <c r="FK58" s="339"/>
      <c r="FL58" s="340">
        <f>FL57/FL69</f>
        <v>4.1095890410958909E-2</v>
      </c>
      <c r="FM58" s="339"/>
      <c r="FN58" s="340">
        <f>FN57/FN69</f>
        <v>4.1095890410958909E-2</v>
      </c>
      <c r="FO58" s="339"/>
      <c r="FP58" s="340">
        <f>FP57/FP69</f>
        <v>4.1095890410958909E-2</v>
      </c>
      <c r="FQ58" s="338"/>
      <c r="FR58" s="339"/>
      <c r="FS58" s="340">
        <f>FS57/FS69</f>
        <v>0.14393939393939395</v>
      </c>
      <c r="FT58" s="339"/>
      <c r="FU58" s="340">
        <f>FU57/FU69</f>
        <v>9.0909090909090912E-2</v>
      </c>
      <c r="FV58" s="339"/>
      <c r="FW58" s="340">
        <f>FW57/FW69</f>
        <v>4.5454545454545456E-2</v>
      </c>
      <c r="FX58" s="339"/>
      <c r="FY58" s="340">
        <f>FY57/FY69</f>
        <v>4.5454545454545456E-2</v>
      </c>
      <c r="FZ58" s="339"/>
      <c r="GA58" s="340">
        <f>GA57/GA69</f>
        <v>2.9850746268656716E-2</v>
      </c>
      <c r="GB58" s="339"/>
      <c r="GC58" s="340">
        <f>GC57/GC69</f>
        <v>2.9850746268656716E-2</v>
      </c>
      <c r="GD58" s="339"/>
      <c r="GE58" s="340">
        <f>GE57/GE69</f>
        <v>1.5151515151515154E-2</v>
      </c>
      <c r="GF58" s="339"/>
      <c r="GG58" s="340">
        <f>GG57/GG69</f>
        <v>4.4444444444444446E-2</v>
      </c>
      <c r="GH58" s="339"/>
      <c r="GI58" s="340">
        <f>GI57/GI69</f>
        <v>4.4444444444444446E-2</v>
      </c>
      <c r="GJ58" s="339"/>
      <c r="GK58" s="340">
        <f>GK57/GK69</f>
        <v>3.7974683544303792E-2</v>
      </c>
      <c r="GL58" s="339"/>
      <c r="GM58" s="340">
        <f>GM57/GM69</f>
        <v>3.7974683544303792E-2</v>
      </c>
      <c r="GN58" s="339"/>
      <c r="GO58" s="340">
        <f>GO57/GO69</f>
        <v>3.7974683544303792E-2</v>
      </c>
      <c r="GP58" s="339"/>
      <c r="GQ58" s="340">
        <f>GQ57/GQ69</f>
        <v>3.7974683544303792E-2</v>
      </c>
      <c r="GR58" s="339"/>
      <c r="GS58" s="340">
        <f>GS57/GS69</f>
        <v>3.7974683544303792E-2</v>
      </c>
      <c r="GT58" s="339"/>
      <c r="GU58" s="340">
        <f>GU57/GU69</f>
        <v>3.7974683544303792E-2</v>
      </c>
      <c r="GV58" s="339"/>
      <c r="GW58" s="340">
        <f>GW57/GW69</f>
        <v>3.7974683544303792E-2</v>
      </c>
      <c r="GX58" s="339"/>
      <c r="GY58" s="340">
        <f>GY57/GY69</f>
        <v>3.7974683544303792E-2</v>
      </c>
      <c r="GZ58" s="339"/>
      <c r="HA58" s="340">
        <f>HA57/HA69</f>
        <v>3.6363636363636362E-2</v>
      </c>
      <c r="HB58" s="339"/>
      <c r="HC58" s="340">
        <f>HC57/HC69</f>
        <v>3.6363636363636362E-2</v>
      </c>
      <c r="HD58" s="339"/>
      <c r="HE58" s="340">
        <f>HE57/HE69</f>
        <v>3.6363636363636362E-2</v>
      </c>
      <c r="HF58" s="339"/>
      <c r="HG58" s="340">
        <f>HG57/HG69</f>
        <v>3.6363636363636362E-2</v>
      </c>
      <c r="HH58" s="339"/>
      <c r="HI58" s="340">
        <f>HI57/HI69</f>
        <v>3.6363636363636362E-2</v>
      </c>
      <c r="HJ58" s="339"/>
      <c r="HK58" s="340">
        <f>HK57/HK69</f>
        <v>3.6363636363636362E-2</v>
      </c>
      <c r="HL58" s="339"/>
      <c r="HM58" s="340">
        <f>HM57/HM69</f>
        <v>3.6363636363636362E-2</v>
      </c>
      <c r="HN58" s="339"/>
      <c r="HO58" s="340">
        <f>HO57/HO69</f>
        <v>3.6363636363636362E-2</v>
      </c>
      <c r="HP58" s="339"/>
      <c r="HQ58" s="340">
        <f>HQ57/HQ69</f>
        <v>3.6363636363636362E-2</v>
      </c>
      <c r="HR58" s="339"/>
      <c r="HS58" s="340">
        <f>HS57/HS69</f>
        <v>3.6363636363636362E-2</v>
      </c>
      <c r="HT58" s="339"/>
      <c r="HU58" s="340">
        <f>HU57/HU69</f>
        <v>3.6363636363636362E-2</v>
      </c>
      <c r="HV58" s="339"/>
      <c r="HW58" s="340">
        <f>HW57/HW69</f>
        <v>3.6363636363636362E-2</v>
      </c>
      <c r="HX58" s="339"/>
      <c r="HY58" s="340">
        <f>HY57/HY69</f>
        <v>3.6363636363636362E-2</v>
      </c>
      <c r="HZ58" s="339"/>
      <c r="IA58" s="340">
        <f>IA57/IA69</f>
        <v>3.6363636363636362E-2</v>
      </c>
      <c r="IB58" s="339"/>
      <c r="IC58" s="340">
        <f>IC57/IC69</f>
        <v>3.6363636363636362E-2</v>
      </c>
      <c r="ID58" s="339"/>
      <c r="IE58" s="340">
        <f>IE57/IE69</f>
        <v>3.6363636363636362E-2</v>
      </c>
      <c r="IF58" s="339"/>
      <c r="IG58" s="340">
        <f>IG57/IG69</f>
        <v>3.6363636363636362E-2</v>
      </c>
      <c r="IH58" s="339"/>
      <c r="II58" s="340">
        <f>II57/II69</f>
        <v>3.6363636363636362E-2</v>
      </c>
      <c r="IJ58" s="339"/>
      <c r="IK58" s="340">
        <f>IK57/IK69</f>
        <v>3.6363636363636362E-2</v>
      </c>
      <c r="IL58" s="339"/>
      <c r="IM58" s="340">
        <f>IM57/IM69</f>
        <v>3.6363636363636362E-2</v>
      </c>
      <c r="IN58" s="339"/>
      <c r="IO58" s="340">
        <f>IO57/IO69</f>
        <v>3.6363636363636362E-2</v>
      </c>
      <c r="IP58" s="339"/>
      <c r="IQ58" s="340">
        <f>IQ57/IQ69</f>
        <v>3.6363636363636362E-2</v>
      </c>
      <c r="IR58" s="339"/>
      <c r="IS58" s="340">
        <f>IS57/IS69</f>
        <v>3.6363636363636362E-2</v>
      </c>
      <c r="IT58" s="339"/>
      <c r="IU58" s="340">
        <f>IU57/IU69</f>
        <v>3.6363636363636362E-2</v>
      </c>
      <c r="IV58" s="339"/>
      <c r="IW58" s="340">
        <f>IW57/IW69</f>
        <v>3.6363636363636362E-2</v>
      </c>
      <c r="IX58" s="339"/>
      <c r="IY58" s="340">
        <f>IY57/IY69</f>
        <v>3.6363636363636362E-2</v>
      </c>
      <c r="IZ58" s="342"/>
      <c r="JA58" s="339"/>
      <c r="JB58" s="340">
        <f>JB57/JB69</f>
        <v>3.6363636363636362E-2</v>
      </c>
      <c r="JC58" s="339"/>
      <c r="JD58" s="340">
        <f>JD57/JD69</f>
        <v>3.6363636363636362E-2</v>
      </c>
      <c r="JE58" s="338"/>
      <c r="JF58" s="339"/>
      <c r="JG58" s="340">
        <f>JG57/JG69</f>
        <v>0.11666666666666665</v>
      </c>
      <c r="JH58" s="339"/>
      <c r="JI58" s="340">
        <f>JI57/JI69</f>
        <v>5.8333333333333327E-2</v>
      </c>
      <c r="JJ58" s="339"/>
      <c r="JK58" s="340">
        <f>JK57/JK69</f>
        <v>1.6666666666666666E-2</v>
      </c>
      <c r="JL58" s="339"/>
      <c r="JM58" s="340">
        <f>JM57/JM69</f>
        <v>1.6666666666666666E-2</v>
      </c>
      <c r="JN58" s="339"/>
      <c r="JO58" s="340">
        <f>JO57/JO69</f>
        <v>1.5873015873015876E-2</v>
      </c>
      <c r="JP58" s="339"/>
      <c r="JQ58" s="340">
        <f>JQ57/JQ69</f>
        <v>1.5873015873015876E-2</v>
      </c>
      <c r="JR58" s="339"/>
      <c r="JS58" s="340">
        <f>JS57/JS69</f>
        <v>1.5873015873015876E-2</v>
      </c>
      <c r="JT58" s="339"/>
      <c r="JU58" s="340">
        <f>JU57/JU69</f>
        <v>1.5873015873015876E-2</v>
      </c>
      <c r="JV58" s="339"/>
      <c r="JW58" s="340">
        <f>JW57/JW69</f>
        <v>1.5873015873015876E-2</v>
      </c>
      <c r="JX58" s="339"/>
      <c r="JY58" s="340">
        <f>JY57/JY69</f>
        <v>1.5873015873015876E-2</v>
      </c>
      <c r="JZ58" s="339"/>
      <c r="KA58" s="340">
        <f>KA57/KA69</f>
        <v>1.5873015873015876E-2</v>
      </c>
      <c r="KB58" s="339"/>
      <c r="KC58" s="340">
        <f>KC57/KC69</f>
        <v>1.5873015873015876E-2</v>
      </c>
      <c r="KD58" s="339"/>
      <c r="KE58" s="340">
        <f>KE57/KE69</f>
        <v>1.5873015873015876E-2</v>
      </c>
      <c r="KF58" s="339"/>
      <c r="KG58" s="340">
        <f>KG57/KG69</f>
        <v>1.5873015873015876E-2</v>
      </c>
      <c r="KH58" s="339"/>
      <c r="KI58" s="340">
        <f>KI57/KI69</f>
        <v>1.5873015873015876E-2</v>
      </c>
      <c r="KJ58" s="339"/>
      <c r="KK58" s="340">
        <f>KK57/KK69</f>
        <v>1.5151515151515154E-2</v>
      </c>
      <c r="KL58" s="339"/>
      <c r="KM58" s="340">
        <f>KM57/KM69</f>
        <v>1.5151515151515154E-2</v>
      </c>
      <c r="KN58" s="339"/>
      <c r="KO58" s="340">
        <f>KO57/KO69</f>
        <v>1.5151515151515154E-2</v>
      </c>
      <c r="KP58" s="339"/>
      <c r="KQ58" s="340">
        <f>KQ57/KQ69</f>
        <v>1.5151515151515154E-2</v>
      </c>
      <c r="KR58" s="339"/>
      <c r="KS58" s="340">
        <f>KS57/KS69</f>
        <v>1.5151515151515154E-2</v>
      </c>
      <c r="KT58" s="339"/>
      <c r="KU58" s="340">
        <f>KU57/KU69</f>
        <v>1.5151515151515154E-2</v>
      </c>
      <c r="KV58" s="339"/>
      <c r="KW58" s="340">
        <f>KW57/KW69</f>
        <v>1.5151515151515154E-2</v>
      </c>
      <c r="KX58" s="339"/>
      <c r="KY58" s="340">
        <f>KY57/KY69</f>
        <v>1.5151515151515154E-2</v>
      </c>
      <c r="KZ58" s="339"/>
      <c r="LA58" s="340">
        <f>LA57/LA69</f>
        <v>1.5151515151515154E-2</v>
      </c>
      <c r="LB58" s="339"/>
      <c r="LC58" s="340">
        <f>LC57/LC69</f>
        <v>1.5151515151515154E-2</v>
      </c>
      <c r="LD58" s="339"/>
      <c r="LE58" s="340">
        <f>LE57/LE69</f>
        <v>1.5151515151515154E-2</v>
      </c>
      <c r="LF58" s="339"/>
      <c r="LG58" s="340">
        <f>LG57/LG69</f>
        <v>1.5151515151515154E-2</v>
      </c>
      <c r="LH58" s="339"/>
      <c r="LI58" s="340">
        <f>LI57/LI69</f>
        <v>1.5151515151515154E-2</v>
      </c>
      <c r="LJ58" s="339"/>
      <c r="LK58" s="340">
        <f>LK57/LK69</f>
        <v>1.5151515151515154E-2</v>
      </c>
      <c r="LL58" s="339"/>
      <c r="LM58" s="340">
        <f>LM57/LM69</f>
        <v>1.5151515151515154E-2</v>
      </c>
      <c r="LN58" s="339"/>
      <c r="LO58" s="340">
        <f>LO57/LO69</f>
        <v>1.5151515151515154E-2</v>
      </c>
      <c r="LP58" s="339"/>
      <c r="LQ58" s="340">
        <f>LQ57/LQ69</f>
        <v>1.5151515151515154E-2</v>
      </c>
      <c r="LR58" s="339"/>
      <c r="LS58" s="340">
        <f>LS57/LS69</f>
        <v>1.5151515151515154E-2</v>
      </c>
      <c r="LT58" s="339"/>
      <c r="LU58" s="340">
        <f>LU57/LU69</f>
        <v>1.5151515151515154E-2</v>
      </c>
      <c r="LV58" s="339"/>
      <c r="LW58" s="340">
        <f>LW57/LW69</f>
        <v>1.5151515151515154E-2</v>
      </c>
      <c r="LX58" s="339"/>
      <c r="LY58" s="340">
        <f>LY57/LY69</f>
        <v>1.5151515151515154E-2</v>
      </c>
      <c r="LZ58" s="339"/>
      <c r="MA58" s="340">
        <f>MA57/MA69</f>
        <v>1.5151515151515154E-2</v>
      </c>
      <c r="MB58" s="339"/>
      <c r="MC58" s="340">
        <f>MC57/MC69</f>
        <v>1.5151515151515154E-2</v>
      </c>
      <c r="MD58" s="339"/>
      <c r="ME58" s="340">
        <f>ME57/ME69</f>
        <v>1.5151515151515154E-2</v>
      </c>
      <c r="MF58" s="339"/>
      <c r="MG58" s="340">
        <f>MG57/MG69</f>
        <v>1.5151515151515154E-2</v>
      </c>
      <c r="MH58" s="338"/>
      <c r="MI58" s="339"/>
      <c r="MJ58" s="340">
        <f>MJ57/MJ69</f>
        <v>0.26851851851851849</v>
      </c>
      <c r="MK58" s="339"/>
      <c r="ML58" s="340">
        <f>ML57/ML69</f>
        <v>0.23148148148148145</v>
      </c>
      <c r="MM58" s="339"/>
      <c r="MN58" s="340">
        <f>MN57/MN69</f>
        <v>0.18518518518518517</v>
      </c>
      <c r="MO58" s="339"/>
      <c r="MP58" s="340">
        <f>MP57/MP69</f>
        <v>0.18518518518518517</v>
      </c>
      <c r="MQ58" s="339"/>
      <c r="MR58" s="340">
        <f>MR57/MR69</f>
        <v>0.17857142857142858</v>
      </c>
      <c r="MS58" s="339"/>
      <c r="MT58" s="340">
        <f>MT57/MT69</f>
        <v>0.18181818181818182</v>
      </c>
      <c r="MU58" s="339"/>
      <c r="MV58" s="340">
        <f>MV57/MV69</f>
        <v>0.17857142857142858</v>
      </c>
      <c r="MW58" s="339"/>
      <c r="MX58" s="340">
        <f>MX57/MX69</f>
        <v>9.5238095238095233E-2</v>
      </c>
      <c r="MY58" s="339"/>
      <c r="MZ58" s="340">
        <f>MZ57/MZ69</f>
        <v>9.5238095238095233E-2</v>
      </c>
      <c r="NA58" s="339"/>
      <c r="NB58" s="340">
        <f>NB57/NB69</f>
        <v>9.5238095238095233E-2</v>
      </c>
      <c r="NC58" s="339"/>
      <c r="ND58" s="340">
        <f>ND57/ND69</f>
        <v>9.5238095238095233E-2</v>
      </c>
      <c r="NE58" s="339"/>
      <c r="NF58" s="340">
        <f>NF57/NF69</f>
        <v>9.5238095238095233E-2</v>
      </c>
      <c r="NG58" s="339"/>
      <c r="NH58" s="340">
        <f>NH57/NH69</f>
        <v>9.5238095238095233E-2</v>
      </c>
      <c r="NI58" s="339"/>
      <c r="NJ58" s="340">
        <f>NJ57/NJ69</f>
        <v>9.5238095238095233E-2</v>
      </c>
      <c r="NK58" s="339"/>
      <c r="NL58" s="340">
        <f>NL57/NL69</f>
        <v>9.5238095238095233E-2</v>
      </c>
      <c r="NM58" s="339"/>
      <c r="NN58" s="340">
        <f>NN57/NN69</f>
        <v>9.0909090909090912E-2</v>
      </c>
      <c r="NO58" s="339"/>
      <c r="NP58" s="340">
        <f>NP57/NP69</f>
        <v>9.0909090909090912E-2</v>
      </c>
      <c r="NQ58" s="339"/>
      <c r="NR58" s="340">
        <f>NR57/NR69</f>
        <v>9.0909090909090912E-2</v>
      </c>
      <c r="NS58" s="339"/>
      <c r="NT58" s="340">
        <f>NT57/NT69</f>
        <v>9.0909090909090912E-2</v>
      </c>
      <c r="NU58" s="339"/>
      <c r="NV58" s="340">
        <f>NV57/NV69</f>
        <v>9.0909090909090912E-2</v>
      </c>
      <c r="NW58" s="339"/>
      <c r="NX58" s="340">
        <f>NX57/NX69</f>
        <v>9.0909090909090912E-2</v>
      </c>
      <c r="NY58" s="339"/>
      <c r="NZ58" s="340">
        <f>NZ57/NZ69</f>
        <v>9.0909090909090912E-2</v>
      </c>
      <c r="OA58" s="339"/>
      <c r="OB58" s="340">
        <f>OB57/OB69</f>
        <v>9.0909090909090912E-2</v>
      </c>
      <c r="OC58" s="339"/>
      <c r="OD58" s="340">
        <f>OD57/OD69</f>
        <v>9.0909090909090912E-2</v>
      </c>
      <c r="OE58" s="339"/>
      <c r="OF58" s="340">
        <f>OF57/OF69</f>
        <v>9.0909090909090912E-2</v>
      </c>
      <c r="OG58" s="339"/>
      <c r="OH58" s="340">
        <f>OH57/OH69</f>
        <v>9.0909090909090912E-2</v>
      </c>
      <c r="OI58" s="339"/>
      <c r="OJ58" s="340">
        <f>OJ57/OJ69</f>
        <v>9.0909090909090912E-2</v>
      </c>
      <c r="OK58" s="339"/>
      <c r="OL58" s="340">
        <f>OL57/OL69</f>
        <v>9.0909090909090912E-2</v>
      </c>
      <c r="OM58" s="339"/>
      <c r="ON58" s="340">
        <f>ON57/ON69</f>
        <v>9.0909090909090912E-2</v>
      </c>
      <c r="OO58" s="339"/>
      <c r="OP58" s="340">
        <f>OP57/OP69</f>
        <v>9.0909090909090912E-2</v>
      </c>
      <c r="OQ58" s="339"/>
      <c r="OR58" s="340">
        <f>OR57/OR69</f>
        <v>9.0909090909090912E-2</v>
      </c>
      <c r="OS58" s="339"/>
      <c r="OT58" s="340">
        <f>OT57/OT69</f>
        <v>9.0909090909090912E-2</v>
      </c>
      <c r="OU58" s="339"/>
      <c r="OV58" s="340">
        <f>OV57/OV69</f>
        <v>9.0909090909090912E-2</v>
      </c>
      <c r="OW58" s="339"/>
      <c r="OX58" s="340">
        <f>OX57/OX69</f>
        <v>9.0909090909090912E-2</v>
      </c>
      <c r="OY58" s="339"/>
      <c r="OZ58" s="340">
        <f>OZ57/OZ69</f>
        <v>9.0909090909090912E-2</v>
      </c>
      <c r="PA58" s="339"/>
      <c r="PB58" s="340">
        <f>PB57/PB69</f>
        <v>9.0909090909090912E-2</v>
      </c>
      <c r="PC58" s="339"/>
      <c r="PD58" s="340">
        <f>PD57/PD69</f>
        <v>9.0909090909090912E-2</v>
      </c>
      <c r="PE58" s="339"/>
      <c r="PF58" s="340">
        <f>PF57/PF69</f>
        <v>9.0909090909090912E-2</v>
      </c>
      <c r="PG58" s="339"/>
      <c r="PH58" s="340">
        <f>PH57/PH69</f>
        <v>9.0909090909090912E-2</v>
      </c>
      <c r="PI58" s="339"/>
      <c r="PJ58" s="340">
        <f>PJ57/PJ69</f>
        <v>9.0909090909090912E-2</v>
      </c>
      <c r="PK58" s="339"/>
      <c r="PL58" s="340">
        <f>PL57/PL69</f>
        <v>9.0909090909090912E-2</v>
      </c>
      <c r="PM58" s="339"/>
      <c r="PN58" s="340">
        <f>PN57/PN69</f>
        <v>9.0909090909090912E-2</v>
      </c>
      <c r="PO58" s="339"/>
      <c r="PP58" s="340">
        <f>PP57/PP69</f>
        <v>9.0909090909090912E-2</v>
      </c>
      <c r="PQ58" s="343"/>
      <c r="PR58" s="339"/>
      <c r="PS58" s="340">
        <f>PS57/PS69</f>
        <v>6.4935064935064929E-2</v>
      </c>
      <c r="PT58" s="339"/>
      <c r="PU58" s="340">
        <f>PU57/PU69</f>
        <v>6.4935064935064929E-2</v>
      </c>
      <c r="PV58" s="339"/>
      <c r="PW58" s="340">
        <f>PW57/PW69</f>
        <v>6.4935064935064929E-2</v>
      </c>
      <c r="PX58" s="339"/>
      <c r="PY58" s="340">
        <f>PY57/PY69</f>
        <v>6.4935064935064929E-2</v>
      </c>
      <c r="PZ58" s="339"/>
      <c r="QA58" s="340">
        <f>QA57/QA69</f>
        <v>6.4935064935064929E-2</v>
      </c>
      <c r="QB58" s="339"/>
      <c r="QC58" s="340">
        <f>QC57/QC69</f>
        <v>6.4935064935064929E-2</v>
      </c>
      <c r="QD58" s="343"/>
      <c r="QE58" s="343"/>
      <c r="QF58" s="339"/>
      <c r="QG58" s="340">
        <f>QG57/QG69</f>
        <v>6.4935064935064929E-2</v>
      </c>
      <c r="QH58" s="339"/>
      <c r="QI58" s="340">
        <f>QI57/QI69</f>
        <v>6.4935064935064929E-2</v>
      </c>
      <c r="QJ58" s="339"/>
      <c r="QK58" s="340">
        <f>QK57/QK69</f>
        <v>6.4935064935064929E-2</v>
      </c>
      <c r="QL58" s="339"/>
      <c r="QM58" s="340">
        <f>QM57/QM69</f>
        <v>6.4935064935064929E-2</v>
      </c>
      <c r="QN58" s="339"/>
      <c r="QO58" s="340">
        <f>QO57/QO69</f>
        <v>7.2463768115942032E-2</v>
      </c>
      <c r="QP58" s="339"/>
      <c r="QQ58" s="340">
        <f>QQ57/QQ69</f>
        <v>7.2463768115942032E-2</v>
      </c>
    </row>
    <row r="59" spans="1:459" x14ac:dyDescent="0.45">
      <c r="A59" s="871"/>
      <c r="B59" s="335" t="s">
        <v>365</v>
      </c>
      <c r="C59" s="336"/>
      <c r="D59" s="337"/>
      <c r="E59" s="338"/>
      <c r="F59" s="339"/>
      <c r="G59" s="344">
        <f>G61-G60</f>
        <v>-1.5005208333333337</v>
      </c>
      <c r="H59" s="339"/>
      <c r="I59" s="344">
        <f>I61-I60</f>
        <v>-5.2083333333374782E-4</v>
      </c>
      <c r="J59" s="339"/>
      <c r="K59" s="344">
        <f>K61-K60</f>
        <v>-5.2083333333374782E-4</v>
      </c>
      <c r="L59" s="339"/>
      <c r="M59" s="344">
        <f>M61-M60</f>
        <v>-5.2083333333374782E-4</v>
      </c>
      <c r="N59" s="339"/>
      <c r="O59" s="344">
        <f>O61-O60</f>
        <v>-5.2083333333374782E-4</v>
      </c>
      <c r="P59" s="339"/>
      <c r="Q59" s="344">
        <f>Q61-Q60</f>
        <v>5.1562499999999289E-2</v>
      </c>
      <c r="R59" s="339"/>
      <c r="S59" s="344">
        <f>S61-S60</f>
        <v>-5.2083333333374782E-4</v>
      </c>
      <c r="T59" s="339"/>
      <c r="U59" s="344">
        <f>U61-U60</f>
        <v>2.0833333333333037E-2</v>
      </c>
      <c r="V59" s="339"/>
      <c r="W59" s="344">
        <f>W61-W60</f>
        <v>2.0833333333333037E-2</v>
      </c>
      <c r="X59" s="339"/>
      <c r="Y59" s="344">
        <f>Y61-Y60</f>
        <v>9.4531250000000178E-2</v>
      </c>
      <c r="Z59" s="339"/>
      <c r="AA59" s="344">
        <f>AA61-AA60</f>
        <v>2.0833333333333037E-2</v>
      </c>
      <c r="AB59" s="339"/>
      <c r="AC59" s="344">
        <f>AC61-AC60</f>
        <v>2.0833333333333037E-2</v>
      </c>
      <c r="AD59" s="339"/>
      <c r="AE59" s="344">
        <f>AE61-AE60</f>
        <v>2.291666666666714E-2</v>
      </c>
      <c r="AF59" s="339"/>
      <c r="AG59" s="344">
        <f>AG61-AG60</f>
        <v>2.291666666666714E-2</v>
      </c>
      <c r="AH59" s="339"/>
      <c r="AI59" s="344">
        <f>AI61-AI60</f>
        <v>2.291666666666714E-2</v>
      </c>
      <c r="AJ59" s="339"/>
      <c r="AK59" s="344">
        <f>AK61-AK60</f>
        <v>2.291666666666714E-2</v>
      </c>
      <c r="AL59" s="339"/>
      <c r="AM59" s="344">
        <f>AM61-AM60</f>
        <v>2.291666666666714E-2</v>
      </c>
      <c r="AN59" s="339"/>
      <c r="AO59" s="344">
        <f>AO61-AO60</f>
        <v>2.291666666666714E-2</v>
      </c>
      <c r="AP59" s="339"/>
      <c r="AQ59" s="344">
        <f>AQ61-AQ60</f>
        <v>2.291666666666714E-2</v>
      </c>
      <c r="AR59" s="339"/>
      <c r="AS59" s="344">
        <f>AS61-AS60</f>
        <v>-0.31562499999999982</v>
      </c>
      <c r="AT59" s="339"/>
      <c r="AU59" s="344">
        <f>AU61-AU60</f>
        <v>-1.5625E-2</v>
      </c>
      <c r="AV59" s="339"/>
      <c r="AW59" s="344">
        <f>AW61-AW60</f>
        <v>-1.5625E-2</v>
      </c>
      <c r="AX59" s="339"/>
      <c r="AY59" s="344">
        <f>AY61-AY60</f>
        <v>-1.5625E-2</v>
      </c>
      <c r="AZ59" s="339"/>
      <c r="BA59" s="344">
        <f>BA61-BA60</f>
        <v>-1.5625E-2</v>
      </c>
      <c r="BB59" s="339"/>
      <c r="BC59" s="344">
        <f>BC61-BC60</f>
        <v>-1.5625E-2</v>
      </c>
      <c r="BD59" s="339"/>
      <c r="BE59" s="344">
        <f>BE61-BE60</f>
        <v>-1.5625E-2</v>
      </c>
      <c r="BF59" s="339"/>
      <c r="BG59" s="344">
        <f>BG61-BG60</f>
        <v>-1.5625E-2</v>
      </c>
      <c r="BH59" s="339"/>
      <c r="BI59" s="344">
        <f>BI61-BI60</f>
        <v>-1.5625E-2</v>
      </c>
      <c r="BJ59" s="339"/>
      <c r="BK59" s="344">
        <f>BK61-BK60</f>
        <v>-1.5625E-2</v>
      </c>
      <c r="BL59" s="339"/>
      <c r="BM59" s="344">
        <f>BM61-BM60</f>
        <v>-1.5625E-2</v>
      </c>
      <c r="BN59" s="339"/>
      <c r="BO59" s="344">
        <f>BO61-BO60</f>
        <v>-1.5625E-2</v>
      </c>
      <c r="BP59" s="339"/>
      <c r="BQ59" s="344">
        <f>BQ61-BQ60</f>
        <v>-1.5625E-2</v>
      </c>
      <c r="BR59" s="339"/>
      <c r="BS59" s="344">
        <f>BS61-BS60</f>
        <v>-1.5625E-2</v>
      </c>
      <c r="BT59" s="339"/>
      <c r="BU59" s="344">
        <f>BU61-BU60</f>
        <v>-1.5625E-2</v>
      </c>
      <c r="BV59" s="339"/>
      <c r="BW59" s="344">
        <f>BW61-BW60</f>
        <v>-1.5625E-2</v>
      </c>
      <c r="BX59" s="339"/>
      <c r="BY59" s="344">
        <f>BY61-BY60</f>
        <v>-1.5625E-2</v>
      </c>
      <c r="BZ59" s="339"/>
      <c r="CA59" s="344">
        <f>CA61-CA60</f>
        <v>-1.5625E-2</v>
      </c>
      <c r="CB59" s="339"/>
      <c r="CC59" s="344">
        <f>CC61-CC60</f>
        <v>-1.5625E-2</v>
      </c>
      <c r="CD59" s="339"/>
      <c r="CE59" s="344">
        <f>CE61-CE60</f>
        <v>-1.5625E-2</v>
      </c>
      <c r="CF59" s="339"/>
      <c r="CG59" s="344">
        <f>CG61-CG60</f>
        <v>-1.5625E-2</v>
      </c>
      <c r="CH59" s="339"/>
      <c r="CI59" s="344">
        <f>CI61-CI60</f>
        <v>-1.5625E-2</v>
      </c>
      <c r="CJ59" s="339"/>
      <c r="CK59" s="344">
        <f>CK61-CK60</f>
        <v>-1.5625E-2</v>
      </c>
      <c r="CL59" s="339"/>
      <c r="CM59" s="344">
        <f>CM61-CM60</f>
        <v>-1.5625E-2</v>
      </c>
      <c r="CN59" s="339"/>
      <c r="CO59" s="344">
        <f>CO61-CO60</f>
        <v>-1.5625E-2</v>
      </c>
      <c r="CP59" s="339"/>
      <c r="CQ59" s="344">
        <f>CQ61-CQ60</f>
        <v>-1.5625E-2</v>
      </c>
      <c r="CR59" s="339"/>
      <c r="CS59" s="344">
        <f>CS61-CS60</f>
        <v>-1.5625E-2</v>
      </c>
      <c r="CT59" s="341"/>
      <c r="CU59" s="339"/>
      <c r="CV59" s="344">
        <f>CV61-CV60</f>
        <v>1.5563468789274282E-2</v>
      </c>
      <c r="CW59" s="339"/>
      <c r="CX59" s="344">
        <f>CX61-CX60</f>
        <v>4.4888981985755194E-2</v>
      </c>
      <c r="CY59" s="339"/>
      <c r="CZ59" s="344">
        <f>CZ61-CZ60</f>
        <v>3.7871805613741927E-2</v>
      </c>
      <c r="DA59" s="339"/>
      <c r="DB59" s="344">
        <f>DB61-DB60</f>
        <v>3.7871805613741927E-2</v>
      </c>
      <c r="DC59" s="339"/>
      <c r="DD59" s="344">
        <f>DD61-DD60</f>
        <v>-2.8341013824883632E-2</v>
      </c>
      <c r="DE59" s="339"/>
      <c r="DF59" s="344">
        <f>DF61-DF60</f>
        <v>-2.8341013824883632E-2</v>
      </c>
      <c r="DG59" s="339"/>
      <c r="DH59" s="344">
        <f>DH61-DH60</f>
        <v>-2.8341013824883632E-2</v>
      </c>
      <c r="DI59" s="339"/>
      <c r="DJ59" s="344">
        <f>DJ61-DJ60</f>
        <v>-2.8341013824883632E-2</v>
      </c>
      <c r="DK59" s="339"/>
      <c r="DL59" s="344">
        <f>DL61-DL60</f>
        <v>-2.8341013824883632E-2</v>
      </c>
      <c r="DM59" s="339"/>
      <c r="DN59" s="344">
        <f>DN61-DN60</f>
        <v>-2.8341013824883632E-2</v>
      </c>
      <c r="DO59" s="339"/>
      <c r="DP59" s="344">
        <f>DP61-DP60</f>
        <v>-2.8341013824883632E-2</v>
      </c>
      <c r="DQ59" s="339"/>
      <c r="DR59" s="344">
        <f>DR61-DR60</f>
        <v>-2.8341013824883632E-2</v>
      </c>
      <c r="DS59" s="339"/>
      <c r="DT59" s="344">
        <f>DT61-DT60</f>
        <v>-2.2957687473816435E-2</v>
      </c>
      <c r="DU59" s="339"/>
      <c r="DV59" s="344">
        <f>DV61-DV60</f>
        <v>-2.2957687473816435E-2</v>
      </c>
      <c r="DW59" s="339"/>
      <c r="DX59" s="344">
        <f>DX61-DX60</f>
        <v>-2.2957687473816435E-2</v>
      </c>
      <c r="DY59" s="339"/>
      <c r="DZ59" s="344">
        <f>DZ61-DZ60</f>
        <v>-2.2957687473816435E-2</v>
      </c>
      <c r="EA59" s="339"/>
      <c r="EB59" s="344">
        <f>EB61-EB60</f>
        <v>-2.2957687473816435E-2</v>
      </c>
      <c r="EC59" s="339"/>
      <c r="ED59" s="344">
        <f>ED61-ED60</f>
        <v>-2.2957687473816435E-2</v>
      </c>
      <c r="EE59" s="339"/>
      <c r="EF59" s="344">
        <f>EF61-EF60</f>
        <v>-2.2957687473816435E-2</v>
      </c>
      <c r="EG59" s="339"/>
      <c r="EH59" s="344">
        <f>EH61-EH60</f>
        <v>-2.2957687473816435E-2</v>
      </c>
      <c r="EI59" s="339"/>
      <c r="EJ59" s="344">
        <f>EJ61-EJ60</f>
        <v>-2.2957687473816435E-2</v>
      </c>
      <c r="EK59" s="339"/>
      <c r="EL59" s="344">
        <f>EL61-EL60</f>
        <v>-2.2957687473816435E-2</v>
      </c>
      <c r="EM59" s="339"/>
      <c r="EN59" s="344">
        <f>EN61-EN60</f>
        <v>-2.2957687473816435E-2</v>
      </c>
      <c r="EO59" s="339"/>
      <c r="EP59" s="344">
        <f>EP61-EP60</f>
        <v>-2.2957687473816435E-2</v>
      </c>
      <c r="EQ59" s="339"/>
      <c r="ER59" s="344">
        <f>ER61-ER60</f>
        <v>-2.2957687473816435E-2</v>
      </c>
      <c r="ES59" s="339"/>
      <c r="ET59" s="344">
        <f>ET61-ET60</f>
        <v>-2.2957687473816435E-2</v>
      </c>
      <c r="EU59" s="339"/>
      <c r="EV59" s="344">
        <f>EV61-EV60</f>
        <v>-2.2957687473816435E-2</v>
      </c>
      <c r="EW59" s="339"/>
      <c r="EX59" s="344">
        <f>EX61-EX60</f>
        <v>-2.2957687473816435E-2</v>
      </c>
      <c r="EY59" s="339"/>
      <c r="EZ59" s="344">
        <f>EZ61-EZ60</f>
        <v>-2.2957687473816435E-2</v>
      </c>
      <c r="FA59" s="339"/>
      <c r="FB59" s="344">
        <f>FB61-FB60</f>
        <v>-2.2957687473816435E-2</v>
      </c>
      <c r="FC59" s="339"/>
      <c r="FD59" s="344">
        <f>FD61-FD60</f>
        <v>-2.2957687473816435E-2</v>
      </c>
      <c r="FE59" s="339"/>
      <c r="FF59" s="344">
        <f>FF61-FF60</f>
        <v>-2.2957687473816435E-2</v>
      </c>
      <c r="FG59" s="339"/>
      <c r="FH59" s="344">
        <f>FH61-FH60</f>
        <v>-2.2957687473816435E-2</v>
      </c>
      <c r="FI59" s="339"/>
      <c r="FJ59" s="344">
        <f>FJ61-FJ60</f>
        <v>-2.2957687473816435E-2</v>
      </c>
      <c r="FK59" s="339"/>
      <c r="FL59" s="344">
        <f>FL61-FL60</f>
        <v>-2.2957687473816435E-2</v>
      </c>
      <c r="FM59" s="339"/>
      <c r="FN59" s="344">
        <f>FN61-FN60</f>
        <v>-2.2957687473816435E-2</v>
      </c>
      <c r="FO59" s="339"/>
      <c r="FP59" s="344">
        <f>FP61-FP60</f>
        <v>-2.2957687473816435E-2</v>
      </c>
      <c r="FQ59" s="338"/>
      <c r="FR59" s="339"/>
      <c r="FS59" s="344">
        <f>FS61-FS60</f>
        <v>2.0833333333323267E-3</v>
      </c>
      <c r="FT59" s="339"/>
      <c r="FU59" s="344">
        <f>FU61-FU60</f>
        <v>2.0833333333323267E-3</v>
      </c>
      <c r="FV59" s="339"/>
      <c r="FW59" s="344">
        <f>FW61-FW60</f>
        <v>5.1562499999999289E-2</v>
      </c>
      <c r="FX59" s="339"/>
      <c r="FY59" s="344">
        <f>FY61-FY60</f>
        <v>-5.2083333333374782E-4</v>
      </c>
      <c r="FZ59" s="339"/>
      <c r="GA59" s="344">
        <f>GA61-GA60</f>
        <v>2.0833333333333037E-2</v>
      </c>
      <c r="GB59" s="339"/>
      <c r="GC59" s="344">
        <f>GC61-GC60</f>
        <v>2.0833333333333037E-2</v>
      </c>
      <c r="GD59" s="339"/>
      <c r="GE59" s="344">
        <f>GE61-GE60</f>
        <v>9.4531250000000178E-2</v>
      </c>
      <c r="GF59" s="339"/>
      <c r="GG59" s="344">
        <f>GG61-GG60</f>
        <v>2.0833333333333037E-2</v>
      </c>
      <c r="GH59" s="339"/>
      <c r="GI59" s="344">
        <f>GI61-GI60</f>
        <v>2.0833333333333037E-2</v>
      </c>
      <c r="GJ59" s="339"/>
      <c r="GK59" s="344">
        <f>GK61-GK60</f>
        <v>-2.708333333333357E-2</v>
      </c>
      <c r="GL59" s="339"/>
      <c r="GM59" s="344">
        <f>GM61-GM60</f>
        <v>-2.708333333333357E-2</v>
      </c>
      <c r="GN59" s="339"/>
      <c r="GO59" s="344">
        <f>GO61-GO60</f>
        <v>-2.708333333333357E-2</v>
      </c>
      <c r="GP59" s="339"/>
      <c r="GQ59" s="344">
        <f>GQ61-GQ60</f>
        <v>-2.708333333333357E-2</v>
      </c>
      <c r="GR59" s="339"/>
      <c r="GS59" s="344">
        <f>GS61-GS60</f>
        <v>-2.708333333333357E-2</v>
      </c>
      <c r="GT59" s="339"/>
      <c r="GU59" s="344">
        <f>GU61-GU60</f>
        <v>-2.708333333333357E-2</v>
      </c>
      <c r="GV59" s="339"/>
      <c r="GW59" s="344">
        <f>GW61-GW60</f>
        <v>-2.708333333333357E-2</v>
      </c>
      <c r="GX59" s="339"/>
      <c r="GY59" s="344">
        <f>GY61-GY60</f>
        <v>-2.708333333333357E-2</v>
      </c>
      <c r="GZ59" s="339"/>
      <c r="HA59" s="344">
        <f>HA61-HA60</f>
        <v>-1.5625E-2</v>
      </c>
      <c r="HB59" s="339"/>
      <c r="HC59" s="344">
        <f>HC61-HC60</f>
        <v>-1.5625E-2</v>
      </c>
      <c r="HD59" s="339"/>
      <c r="HE59" s="344">
        <f>HE61-HE60</f>
        <v>-1.5625E-2</v>
      </c>
      <c r="HF59" s="339"/>
      <c r="HG59" s="344">
        <f>HG61-HG60</f>
        <v>-1.5625E-2</v>
      </c>
      <c r="HH59" s="339"/>
      <c r="HI59" s="344">
        <f>HI61-HI60</f>
        <v>-1.5625E-2</v>
      </c>
      <c r="HJ59" s="339"/>
      <c r="HK59" s="344">
        <f>HK61-HK60</f>
        <v>-1.5625E-2</v>
      </c>
      <c r="HL59" s="339"/>
      <c r="HM59" s="344">
        <f>HM61-HM60</f>
        <v>-1.5625E-2</v>
      </c>
      <c r="HN59" s="339"/>
      <c r="HO59" s="344">
        <f>HO61-HO60</f>
        <v>-1.5625E-2</v>
      </c>
      <c r="HP59" s="339"/>
      <c r="HQ59" s="344">
        <f>HQ61-HQ60</f>
        <v>-1.5625E-2</v>
      </c>
      <c r="HR59" s="339"/>
      <c r="HS59" s="344">
        <f>HS61-HS60</f>
        <v>-1.5625E-2</v>
      </c>
      <c r="HT59" s="339"/>
      <c r="HU59" s="344">
        <f>HU61-HU60</f>
        <v>-1.5625E-2</v>
      </c>
      <c r="HV59" s="339"/>
      <c r="HW59" s="344">
        <f>HW61-HW60</f>
        <v>-1.5625E-2</v>
      </c>
      <c r="HX59" s="339"/>
      <c r="HY59" s="344">
        <f>HY61-HY60</f>
        <v>-1.5625E-2</v>
      </c>
      <c r="HZ59" s="339"/>
      <c r="IA59" s="344">
        <f>IA61-IA60</f>
        <v>-1.5625E-2</v>
      </c>
      <c r="IB59" s="339"/>
      <c r="IC59" s="344">
        <f>IC61-IC60</f>
        <v>-1.5625E-2</v>
      </c>
      <c r="ID59" s="339"/>
      <c r="IE59" s="344">
        <f>IE61-IE60</f>
        <v>-1.5625E-2</v>
      </c>
      <c r="IF59" s="339"/>
      <c r="IG59" s="344">
        <f>IG61-IG60</f>
        <v>-1.5625E-2</v>
      </c>
      <c r="IH59" s="339"/>
      <c r="II59" s="344">
        <f>II61-II60</f>
        <v>-1.5625E-2</v>
      </c>
      <c r="IJ59" s="339"/>
      <c r="IK59" s="344">
        <f>IK61-IK60</f>
        <v>-1.5625E-2</v>
      </c>
      <c r="IL59" s="339"/>
      <c r="IM59" s="344">
        <f>IM61-IM60</f>
        <v>-1.5625E-2</v>
      </c>
      <c r="IN59" s="339"/>
      <c r="IO59" s="344">
        <f>IO61-IO60</f>
        <v>-1.5625E-2</v>
      </c>
      <c r="IP59" s="339"/>
      <c r="IQ59" s="344">
        <f>IQ61-IQ60</f>
        <v>-1.5625E-2</v>
      </c>
      <c r="IR59" s="339"/>
      <c r="IS59" s="344">
        <f>IS61-IS60</f>
        <v>-1.5625E-2</v>
      </c>
      <c r="IT59" s="339"/>
      <c r="IU59" s="344">
        <f>IU61-IU60</f>
        <v>-1.5625E-2</v>
      </c>
      <c r="IV59" s="339"/>
      <c r="IW59" s="344">
        <f>IW61-IW60</f>
        <v>-1.5625E-2</v>
      </c>
      <c r="IX59" s="339"/>
      <c r="IY59" s="344">
        <f>IY61-IY60</f>
        <v>-1.5625E-2</v>
      </c>
      <c r="IZ59" s="338"/>
      <c r="JA59" s="339"/>
      <c r="JB59" s="344">
        <f>JB61-JB60</f>
        <v>-1.5625E-2</v>
      </c>
      <c r="JC59" s="339"/>
      <c r="JD59" s="344">
        <f>JD61-JD60</f>
        <v>-1.5625E-2</v>
      </c>
      <c r="JE59" s="338"/>
      <c r="JF59" s="339"/>
      <c r="JG59" s="344">
        <f>JG61-JG60</f>
        <v>-2.3809523809523725E-3</v>
      </c>
      <c r="JH59" s="339"/>
      <c r="JI59" s="344">
        <f>JI61-JI60</f>
        <v>-2.3809523809523725E-3</v>
      </c>
      <c r="JJ59" s="339"/>
      <c r="JK59" s="344">
        <f>JK61-JK60</f>
        <v>2.1428571428571352E-2</v>
      </c>
      <c r="JL59" s="339"/>
      <c r="JM59" s="344">
        <f>JM61-JM60</f>
        <v>-2.3809523809523725E-3</v>
      </c>
      <c r="JN59" s="339"/>
      <c r="JO59" s="344">
        <f>JO61-JO60</f>
        <v>-2.3809523809523725E-2</v>
      </c>
      <c r="JP59" s="339"/>
      <c r="JQ59" s="344">
        <f>JQ61-JQ60</f>
        <v>-2.3809523809523725E-2</v>
      </c>
      <c r="JR59" s="339"/>
      <c r="JS59" s="344">
        <f>JS61-JS60</f>
        <v>-2.3809523809523725E-2</v>
      </c>
      <c r="JT59" s="339"/>
      <c r="JU59" s="344">
        <f>JU61-JU60</f>
        <v>2.3809523809523725E-2</v>
      </c>
      <c r="JV59" s="339"/>
      <c r="JW59" s="344">
        <f>JW61-JW60</f>
        <v>7.1428571428571175E-2</v>
      </c>
      <c r="JX59" s="339"/>
      <c r="JY59" s="344">
        <f>JY61-JY60</f>
        <v>7.1428571428571175E-2</v>
      </c>
      <c r="JZ59" s="339"/>
      <c r="KA59" s="344">
        <f>KA61-KA60</f>
        <v>7.1428571428571175E-2</v>
      </c>
      <c r="KB59" s="339"/>
      <c r="KC59" s="344">
        <f>KC61-KC60</f>
        <v>7.1428571428571175E-2</v>
      </c>
      <c r="KD59" s="339"/>
      <c r="KE59" s="344">
        <f>KE61-KE60</f>
        <v>7.1428571428571175E-2</v>
      </c>
      <c r="KF59" s="339"/>
      <c r="KG59" s="344">
        <f>KG61-KG60</f>
        <v>7.1428571428571175E-2</v>
      </c>
      <c r="KH59" s="339"/>
      <c r="KI59" s="344">
        <f>KI61-KI60</f>
        <v>7.1428571428571175E-2</v>
      </c>
      <c r="KJ59" s="339"/>
      <c r="KK59" s="344">
        <f>KK61-KK60</f>
        <v>3.3766233766233889E-2</v>
      </c>
      <c r="KL59" s="339"/>
      <c r="KM59" s="344">
        <f>KM61-KM60</f>
        <v>3.3766233766233889E-2</v>
      </c>
      <c r="KN59" s="339"/>
      <c r="KO59" s="344">
        <f>KO61-KO60</f>
        <v>3.3766233766233889E-2</v>
      </c>
      <c r="KP59" s="339"/>
      <c r="KQ59" s="344">
        <f>KQ61-KQ60</f>
        <v>3.3766233766233889E-2</v>
      </c>
      <c r="KR59" s="339"/>
      <c r="KS59" s="344">
        <f>KS61-KS60</f>
        <v>3.3766233766233889E-2</v>
      </c>
      <c r="KT59" s="339"/>
      <c r="KU59" s="344">
        <f>KU61-KU60</f>
        <v>3.3766233766233889E-2</v>
      </c>
      <c r="KV59" s="339"/>
      <c r="KW59" s="344">
        <f>KW61-KW60</f>
        <v>3.3766233766233889E-2</v>
      </c>
      <c r="KX59" s="339"/>
      <c r="KY59" s="344">
        <f>KY61-KY60</f>
        <v>3.3766233766233889E-2</v>
      </c>
      <c r="KZ59" s="339"/>
      <c r="LA59" s="344">
        <f>LA61-LA60</f>
        <v>3.3766233766233889E-2</v>
      </c>
      <c r="LB59" s="339"/>
      <c r="LC59" s="344">
        <f>LC61-LC60</f>
        <v>3.3766233766233889E-2</v>
      </c>
      <c r="LD59" s="339"/>
      <c r="LE59" s="344">
        <f>LE61-LE60</f>
        <v>3.3766233766233889E-2</v>
      </c>
      <c r="LF59" s="339"/>
      <c r="LG59" s="344">
        <f>LG61-LG60</f>
        <v>3.3766233766233889E-2</v>
      </c>
      <c r="LH59" s="339"/>
      <c r="LI59" s="344">
        <f>LI61-LI60</f>
        <v>3.3766233766233889E-2</v>
      </c>
      <c r="LJ59" s="339"/>
      <c r="LK59" s="344">
        <f>LK61-LK60</f>
        <v>3.3766233766233889E-2</v>
      </c>
      <c r="LL59" s="339"/>
      <c r="LM59" s="344">
        <f>LM61-LM60</f>
        <v>3.3766233766233889E-2</v>
      </c>
      <c r="LN59" s="339"/>
      <c r="LO59" s="344">
        <f>LO61-LO60</f>
        <v>3.3766233766233889E-2</v>
      </c>
      <c r="LP59" s="339"/>
      <c r="LQ59" s="344">
        <f>LQ61-LQ60</f>
        <v>3.3766233766233889E-2</v>
      </c>
      <c r="LR59" s="339"/>
      <c r="LS59" s="344">
        <f>LS61-LS60</f>
        <v>3.3766233766233889E-2</v>
      </c>
      <c r="LT59" s="339"/>
      <c r="LU59" s="344">
        <f>LU61-LU60</f>
        <v>3.3766233766233889E-2</v>
      </c>
      <c r="LV59" s="339"/>
      <c r="LW59" s="344">
        <f>LW61-LW60</f>
        <v>3.3766233766233889E-2</v>
      </c>
      <c r="LX59" s="339"/>
      <c r="LY59" s="344">
        <f>LY61-LY60</f>
        <v>3.3766233766233889E-2</v>
      </c>
      <c r="LZ59" s="339"/>
      <c r="MA59" s="344">
        <f>MA61-MA60</f>
        <v>3.3766233766233889E-2</v>
      </c>
      <c r="MB59" s="339"/>
      <c r="MC59" s="344">
        <f>MC61-MC60</f>
        <v>3.3766233766233889E-2</v>
      </c>
      <c r="MD59" s="339"/>
      <c r="ME59" s="344">
        <f>ME61-ME60</f>
        <v>3.3766233766233889E-2</v>
      </c>
      <c r="MF59" s="339"/>
      <c r="MG59" s="344">
        <f>MG61-MG60</f>
        <v>3.3766233766233889E-2</v>
      </c>
      <c r="MH59" s="338"/>
      <c r="MI59" s="339"/>
      <c r="MJ59" s="344">
        <f>MJ61-MJ60</f>
        <v>3.8405444822560142E-3</v>
      </c>
      <c r="MK59" s="339"/>
      <c r="ML59" s="344">
        <f>ML61-ML60</f>
        <v>3.8405444822560142E-3</v>
      </c>
      <c r="MM59" s="339"/>
      <c r="MN59" s="344">
        <f>MN61-MN60</f>
        <v>2.814778804083673E-2</v>
      </c>
      <c r="MO59" s="339"/>
      <c r="MP59" s="344">
        <f>MP61-MP60</f>
        <v>3.8405444822560142E-3</v>
      </c>
      <c r="MQ59" s="339"/>
      <c r="MR59" s="344">
        <f>MR61-MR60</f>
        <v>-1.3855128828391017E-2</v>
      </c>
      <c r="MS59" s="339"/>
      <c r="MT59" s="344">
        <f>MT61-MT60</f>
        <v>-1.3855128828391017E-2</v>
      </c>
      <c r="MU59" s="339"/>
      <c r="MV59" s="344">
        <f>MV61-MV60</f>
        <v>-1.3855128828391017E-2</v>
      </c>
      <c r="MW59" s="339"/>
      <c r="MX59" s="344">
        <f>MX61-MX60</f>
        <v>3.4759358288770414E-2</v>
      </c>
      <c r="MY59" s="339"/>
      <c r="MZ59" s="344">
        <f>MZ61-MZ60</f>
        <v>3.4759358288770414E-2</v>
      </c>
      <c r="NA59" s="339"/>
      <c r="NB59" s="344">
        <f>NB61-NB60</f>
        <v>3.4759358288770414E-2</v>
      </c>
      <c r="NC59" s="339"/>
      <c r="ND59" s="344">
        <f>ND61-ND60</f>
        <v>3.4759358288770414E-2</v>
      </c>
      <c r="NE59" s="339"/>
      <c r="NF59" s="344">
        <f>NF61-NF60</f>
        <v>3.4759358288770414E-2</v>
      </c>
      <c r="NG59" s="339"/>
      <c r="NH59" s="344">
        <f>NH61-NH60</f>
        <v>3.4759358288770414E-2</v>
      </c>
      <c r="NI59" s="339"/>
      <c r="NJ59" s="344">
        <f>NJ61-NJ60</f>
        <v>3.4759358288770414E-2</v>
      </c>
      <c r="NK59" s="339"/>
      <c r="NL59" s="344">
        <f>NL61-NL60</f>
        <v>-0.28123480797277622</v>
      </c>
      <c r="NM59" s="339"/>
      <c r="NN59" s="344">
        <f>NN61-NN60</f>
        <v>1.8765192027223598E-2</v>
      </c>
      <c r="NO59" s="339"/>
      <c r="NP59" s="344">
        <f>NP61-NP60</f>
        <v>1.8765192027223598E-2</v>
      </c>
      <c r="NQ59" s="339"/>
      <c r="NR59" s="344">
        <f>NR61-NR60</f>
        <v>1.8765192027223598E-2</v>
      </c>
      <c r="NS59" s="339"/>
      <c r="NT59" s="344">
        <f>NT61-NT60</f>
        <v>1.8765192027223598E-2</v>
      </c>
      <c r="NU59" s="339"/>
      <c r="NV59" s="344">
        <f>NV61-NV60</f>
        <v>1.8765192027223598E-2</v>
      </c>
      <c r="NW59" s="339"/>
      <c r="NX59" s="344">
        <f>NX61-NX60</f>
        <v>1.8765192027223598E-2</v>
      </c>
      <c r="NY59" s="339"/>
      <c r="NZ59" s="344">
        <f>NZ61-NZ60</f>
        <v>1.8765192027223598E-2</v>
      </c>
      <c r="OA59" s="339"/>
      <c r="OB59" s="344">
        <f>OB61-OB60</f>
        <v>1.8765192027223598E-2</v>
      </c>
      <c r="OC59" s="339"/>
      <c r="OD59" s="344">
        <f>OD61-OD60</f>
        <v>1.8765192027223598E-2</v>
      </c>
      <c r="OE59" s="339"/>
      <c r="OF59" s="344">
        <f>OF61-OF60</f>
        <v>1.8765192027223598E-2</v>
      </c>
      <c r="OG59" s="339"/>
      <c r="OH59" s="344">
        <f>OH61-OH60</f>
        <v>1.8765192027223598E-2</v>
      </c>
      <c r="OI59" s="339"/>
      <c r="OJ59" s="344">
        <f>OJ61-OJ60</f>
        <v>1.8765192027223598E-2</v>
      </c>
      <c r="OK59" s="339"/>
      <c r="OL59" s="344">
        <f>OL61-OL60</f>
        <v>1.8765192027223598E-2</v>
      </c>
      <c r="OM59" s="339"/>
      <c r="ON59" s="344">
        <f>ON61-ON60</f>
        <v>1.8765192027223598E-2</v>
      </c>
      <c r="OO59" s="339"/>
      <c r="OP59" s="344">
        <f>OP61-OP60</f>
        <v>1.8765192027223598E-2</v>
      </c>
      <c r="OQ59" s="339"/>
      <c r="OR59" s="344">
        <f>OR61-OR60</f>
        <v>1.8765192027223598E-2</v>
      </c>
      <c r="OS59" s="339"/>
      <c r="OT59" s="344">
        <f>OT61-OT60</f>
        <v>1.8765192027223598E-2</v>
      </c>
      <c r="OU59" s="339"/>
      <c r="OV59" s="344">
        <f>OV61-OV60</f>
        <v>1.8765192027223598E-2</v>
      </c>
      <c r="OW59" s="339"/>
      <c r="OX59" s="344">
        <f>OX61-OX60</f>
        <v>1.8765192027223598E-2</v>
      </c>
      <c r="OY59" s="339"/>
      <c r="OZ59" s="344">
        <f>OZ61-OZ60</f>
        <v>1.8765192027223598E-2</v>
      </c>
      <c r="PA59" s="339"/>
      <c r="PB59" s="344">
        <f>PB61-PB60</f>
        <v>1.8765192027223598E-2</v>
      </c>
      <c r="PC59" s="339"/>
      <c r="PD59" s="344">
        <f>PD61-PD60</f>
        <v>1.8765192027223598E-2</v>
      </c>
      <c r="PE59" s="339"/>
      <c r="PF59" s="344">
        <f>PF61-PF60</f>
        <v>1.8765192027223598E-2</v>
      </c>
      <c r="PG59" s="339"/>
      <c r="PH59" s="344">
        <f>PH61-PH60</f>
        <v>1.8765192027223598E-2</v>
      </c>
      <c r="PI59" s="339"/>
      <c r="PJ59" s="344">
        <f>PJ61-PJ60</f>
        <v>1.8765192027223598E-2</v>
      </c>
      <c r="PK59" s="339"/>
      <c r="PL59" s="344">
        <f>PL61-PL60</f>
        <v>1.8765192027223598E-2</v>
      </c>
      <c r="PM59" s="339"/>
      <c r="PN59" s="344">
        <f>PN61-PN60</f>
        <v>1.8765192027223598E-2</v>
      </c>
      <c r="PO59" s="339"/>
      <c r="PP59" s="344">
        <f>PP61-PP60</f>
        <v>1.8765192027223598E-2</v>
      </c>
      <c r="PQ59" s="343"/>
      <c r="PR59" s="339"/>
      <c r="PS59" s="344">
        <f>PS61-PS60</f>
        <v>-2.7586206896551779E-2</v>
      </c>
      <c r="PT59" s="339"/>
      <c r="PU59" s="344">
        <f>PU61-PU60</f>
        <v>-2.7586206896551779E-2</v>
      </c>
      <c r="PV59" s="339"/>
      <c r="PW59" s="344">
        <f>PW61-PW60</f>
        <v>-2.7586206896551779E-2</v>
      </c>
      <c r="PX59" s="339"/>
      <c r="PY59" s="344">
        <f>PY61-PY60</f>
        <v>-2.7586206896551779E-2</v>
      </c>
      <c r="PZ59" s="339"/>
      <c r="QA59" s="344">
        <f>QA61-QA60</f>
        <v>-2.7586206896551779E-2</v>
      </c>
      <c r="QB59" s="339"/>
      <c r="QC59" s="344">
        <f>QC61-QC60</f>
        <v>-2.7586206896551779E-2</v>
      </c>
      <c r="QD59" s="343"/>
      <c r="QE59" s="343"/>
      <c r="QF59" s="339"/>
      <c r="QG59" s="344">
        <f>QG61-QG60</f>
        <v>-2.7586206896551779E-2</v>
      </c>
      <c r="QH59" s="339"/>
      <c r="QI59" s="344">
        <f>QI61-QI60</f>
        <v>-2.7586206896551779E-2</v>
      </c>
      <c r="QJ59" s="339"/>
      <c r="QK59" s="344">
        <f>QK61-QK60</f>
        <v>-2.7586206896551779E-2</v>
      </c>
      <c r="QL59" s="339"/>
      <c r="QM59" s="344">
        <f>QM61-QM60</f>
        <v>-2.7586206896551779E-2</v>
      </c>
      <c r="QN59" s="339"/>
      <c r="QO59" s="344">
        <f>QO61-QO60</f>
        <v>-2.7586206896550891E-2</v>
      </c>
      <c r="QP59" s="339"/>
      <c r="QQ59" s="344">
        <f>QQ61-QQ60</f>
        <v>-2.7586206896550891E-2</v>
      </c>
    </row>
    <row r="60" spans="1:459" x14ac:dyDescent="0.45">
      <c r="A60" s="871"/>
      <c r="B60" s="345" t="s">
        <v>366</v>
      </c>
      <c r="C60" s="145"/>
      <c r="D60" s="346"/>
      <c r="E60" s="347"/>
      <c r="F60" s="348"/>
      <c r="G60" s="349">
        <v>6.9</v>
      </c>
      <c r="H60" s="348"/>
      <c r="I60" s="349">
        <v>6.9</v>
      </c>
      <c r="J60" s="348"/>
      <c r="K60" s="349">
        <v>6.9</v>
      </c>
      <c r="L60" s="348"/>
      <c r="M60" s="349">
        <v>6.9</v>
      </c>
      <c r="N60" s="348"/>
      <c r="O60" s="349">
        <v>6.9</v>
      </c>
      <c r="P60" s="348"/>
      <c r="Q60" s="349">
        <v>6.9</v>
      </c>
      <c r="R60" s="348"/>
      <c r="S60" s="349">
        <v>6.9</v>
      </c>
      <c r="T60" s="348"/>
      <c r="U60" s="349">
        <v>7.2</v>
      </c>
      <c r="V60" s="348"/>
      <c r="W60" s="349">
        <v>7.2</v>
      </c>
      <c r="X60" s="348"/>
      <c r="Y60" s="349">
        <v>7.05</v>
      </c>
      <c r="Z60" s="348"/>
      <c r="AA60" s="349">
        <v>7.25</v>
      </c>
      <c r="AB60" s="348"/>
      <c r="AC60" s="349">
        <v>7.25</v>
      </c>
      <c r="AD60" s="348"/>
      <c r="AE60" s="349">
        <v>7.6</v>
      </c>
      <c r="AF60" s="348"/>
      <c r="AG60" s="349">
        <v>7.6</v>
      </c>
      <c r="AH60" s="348"/>
      <c r="AI60" s="349">
        <v>7.6</v>
      </c>
      <c r="AJ60" s="348"/>
      <c r="AK60" s="349">
        <v>7.6</v>
      </c>
      <c r="AL60" s="348"/>
      <c r="AM60" s="349">
        <v>7.6</v>
      </c>
      <c r="AN60" s="348"/>
      <c r="AO60" s="349">
        <v>7.6</v>
      </c>
      <c r="AP60" s="348"/>
      <c r="AQ60" s="349">
        <v>7.6</v>
      </c>
      <c r="AR60" s="348"/>
      <c r="AS60" s="349">
        <v>7.6</v>
      </c>
      <c r="AT60" s="348"/>
      <c r="AU60" s="349">
        <v>7.6</v>
      </c>
      <c r="AV60" s="348"/>
      <c r="AW60" s="349">
        <v>7.6</v>
      </c>
      <c r="AX60" s="348"/>
      <c r="AY60" s="349">
        <v>7.6</v>
      </c>
      <c r="AZ60" s="348"/>
      <c r="BA60" s="349">
        <v>7.6</v>
      </c>
      <c r="BB60" s="348"/>
      <c r="BC60" s="349">
        <v>7.6</v>
      </c>
      <c r="BD60" s="348"/>
      <c r="BE60" s="349">
        <v>7.6</v>
      </c>
      <c r="BF60" s="348"/>
      <c r="BG60" s="349">
        <v>7.6</v>
      </c>
      <c r="BH60" s="348"/>
      <c r="BI60" s="349">
        <v>7.6</v>
      </c>
      <c r="BJ60" s="348"/>
      <c r="BK60" s="349">
        <v>7.6</v>
      </c>
      <c r="BL60" s="348"/>
      <c r="BM60" s="349">
        <v>7.6</v>
      </c>
      <c r="BN60" s="348"/>
      <c r="BO60" s="349">
        <v>7.6</v>
      </c>
      <c r="BP60" s="348"/>
      <c r="BQ60" s="349">
        <v>7.6</v>
      </c>
      <c r="BR60" s="348"/>
      <c r="BS60" s="349">
        <v>7.6</v>
      </c>
      <c r="BT60" s="348"/>
      <c r="BU60" s="349">
        <v>7.6</v>
      </c>
      <c r="BV60" s="348"/>
      <c r="BW60" s="349">
        <v>7.6</v>
      </c>
      <c r="BX60" s="348"/>
      <c r="BY60" s="349">
        <v>7.6</v>
      </c>
      <c r="BZ60" s="348"/>
      <c r="CA60" s="349">
        <v>7.6</v>
      </c>
      <c r="CB60" s="348"/>
      <c r="CC60" s="349">
        <v>7.6</v>
      </c>
      <c r="CD60" s="348"/>
      <c r="CE60" s="349">
        <v>7.6</v>
      </c>
      <c r="CF60" s="348"/>
      <c r="CG60" s="349">
        <v>7.6</v>
      </c>
      <c r="CH60" s="348"/>
      <c r="CI60" s="349">
        <v>7.6</v>
      </c>
      <c r="CJ60" s="348"/>
      <c r="CK60" s="349">
        <v>7.6</v>
      </c>
      <c r="CL60" s="348"/>
      <c r="CM60" s="349">
        <v>7.6</v>
      </c>
      <c r="CN60" s="348"/>
      <c r="CO60" s="349">
        <v>7.6</v>
      </c>
      <c r="CP60" s="348"/>
      <c r="CQ60" s="349">
        <v>7.6</v>
      </c>
      <c r="CR60" s="348"/>
      <c r="CS60" s="349">
        <v>7.6</v>
      </c>
      <c r="CT60" s="323"/>
      <c r="CU60" s="348"/>
      <c r="CV60" s="349">
        <v>10.3</v>
      </c>
      <c r="CW60" s="348"/>
      <c r="CX60" s="349">
        <v>10.3</v>
      </c>
      <c r="CY60" s="348"/>
      <c r="CZ60" s="349">
        <v>10.6</v>
      </c>
      <c r="DA60" s="348"/>
      <c r="DB60" s="349">
        <v>10.6</v>
      </c>
      <c r="DC60" s="348"/>
      <c r="DD60" s="349">
        <v>11.35</v>
      </c>
      <c r="DE60" s="348"/>
      <c r="DF60" s="349">
        <v>11.35</v>
      </c>
      <c r="DG60" s="348"/>
      <c r="DH60" s="349">
        <v>11.35</v>
      </c>
      <c r="DI60" s="348"/>
      <c r="DJ60" s="349">
        <v>11.35</v>
      </c>
      <c r="DK60" s="348"/>
      <c r="DL60" s="349">
        <v>11.35</v>
      </c>
      <c r="DM60" s="348"/>
      <c r="DN60" s="349">
        <v>11.35</v>
      </c>
      <c r="DO60" s="348"/>
      <c r="DP60" s="349">
        <v>11.35</v>
      </c>
      <c r="DQ60" s="348"/>
      <c r="DR60" s="349">
        <v>11.35</v>
      </c>
      <c r="DS60" s="348"/>
      <c r="DT60" s="349">
        <v>11.35</v>
      </c>
      <c r="DU60" s="348"/>
      <c r="DV60" s="349">
        <v>11.35</v>
      </c>
      <c r="DW60" s="348"/>
      <c r="DX60" s="349">
        <v>11.35</v>
      </c>
      <c r="DY60" s="348"/>
      <c r="DZ60" s="349">
        <v>11.35</v>
      </c>
      <c r="EA60" s="348"/>
      <c r="EB60" s="349">
        <v>11.35</v>
      </c>
      <c r="EC60" s="348"/>
      <c r="ED60" s="349">
        <v>11.35</v>
      </c>
      <c r="EE60" s="348"/>
      <c r="EF60" s="349">
        <v>11.35</v>
      </c>
      <c r="EG60" s="348"/>
      <c r="EH60" s="349">
        <v>11.35</v>
      </c>
      <c r="EI60" s="348"/>
      <c r="EJ60" s="349">
        <v>11.35</v>
      </c>
      <c r="EK60" s="348"/>
      <c r="EL60" s="349">
        <v>11.35</v>
      </c>
      <c r="EM60" s="348"/>
      <c r="EN60" s="349">
        <v>11.35</v>
      </c>
      <c r="EO60" s="348"/>
      <c r="EP60" s="349">
        <v>11.35</v>
      </c>
      <c r="EQ60" s="348"/>
      <c r="ER60" s="349">
        <v>11.35</v>
      </c>
      <c r="ES60" s="348"/>
      <c r="ET60" s="349">
        <v>11.35</v>
      </c>
      <c r="EU60" s="348"/>
      <c r="EV60" s="349">
        <v>11.35</v>
      </c>
      <c r="EW60" s="348"/>
      <c r="EX60" s="349">
        <v>11.35</v>
      </c>
      <c r="EY60" s="348"/>
      <c r="EZ60" s="349">
        <v>11.35</v>
      </c>
      <c r="FA60" s="348"/>
      <c r="FB60" s="349">
        <v>11.35</v>
      </c>
      <c r="FC60" s="348"/>
      <c r="FD60" s="349">
        <v>11.35</v>
      </c>
      <c r="FE60" s="348"/>
      <c r="FF60" s="349">
        <v>11.35</v>
      </c>
      <c r="FG60" s="348"/>
      <c r="FH60" s="349">
        <v>11.35</v>
      </c>
      <c r="FI60" s="348"/>
      <c r="FJ60" s="349">
        <v>11.35</v>
      </c>
      <c r="FK60" s="348"/>
      <c r="FL60" s="349">
        <v>11.35</v>
      </c>
      <c r="FM60" s="348"/>
      <c r="FN60" s="349">
        <v>11.35</v>
      </c>
      <c r="FO60" s="348"/>
      <c r="FP60" s="349">
        <v>11.35</v>
      </c>
      <c r="FQ60" s="347"/>
      <c r="FR60" s="348"/>
      <c r="FS60" s="349">
        <v>6.9</v>
      </c>
      <c r="FT60" s="348"/>
      <c r="FU60" s="349">
        <v>6.9</v>
      </c>
      <c r="FV60" s="348"/>
      <c r="FW60" s="349">
        <v>6.9</v>
      </c>
      <c r="FX60" s="348"/>
      <c r="FY60" s="349">
        <v>6.9</v>
      </c>
      <c r="FZ60" s="348"/>
      <c r="GA60" s="349">
        <v>7.2</v>
      </c>
      <c r="GB60" s="348"/>
      <c r="GC60" s="349">
        <v>7.2</v>
      </c>
      <c r="GD60" s="348"/>
      <c r="GE60" s="349">
        <v>7.05</v>
      </c>
      <c r="GF60" s="348"/>
      <c r="GG60" s="349">
        <v>7.25</v>
      </c>
      <c r="GH60" s="348"/>
      <c r="GI60" s="349">
        <v>7.25</v>
      </c>
      <c r="GJ60" s="348"/>
      <c r="GK60" s="349">
        <v>8.5</v>
      </c>
      <c r="GL60" s="348"/>
      <c r="GM60" s="349">
        <v>8.5</v>
      </c>
      <c r="GN60" s="348"/>
      <c r="GO60" s="349">
        <v>8.5</v>
      </c>
      <c r="GP60" s="348"/>
      <c r="GQ60" s="349">
        <v>8.5</v>
      </c>
      <c r="GR60" s="348"/>
      <c r="GS60" s="349">
        <v>8.5</v>
      </c>
      <c r="GT60" s="348"/>
      <c r="GU60" s="349">
        <v>8.5</v>
      </c>
      <c r="GV60" s="348"/>
      <c r="GW60" s="349">
        <v>8.5</v>
      </c>
      <c r="GX60" s="348"/>
      <c r="GY60" s="349">
        <v>8.5</v>
      </c>
      <c r="GZ60" s="348"/>
      <c r="HA60" s="349">
        <v>8.5</v>
      </c>
      <c r="HB60" s="348"/>
      <c r="HC60" s="349">
        <v>8.5</v>
      </c>
      <c r="HD60" s="348"/>
      <c r="HE60" s="349">
        <v>8.5</v>
      </c>
      <c r="HF60" s="348"/>
      <c r="HG60" s="349">
        <v>8.5</v>
      </c>
      <c r="HH60" s="348"/>
      <c r="HI60" s="349">
        <v>8.5</v>
      </c>
      <c r="HJ60" s="348"/>
      <c r="HK60" s="349">
        <v>8.5</v>
      </c>
      <c r="HL60" s="348"/>
      <c r="HM60" s="349">
        <v>8.5</v>
      </c>
      <c r="HN60" s="348"/>
      <c r="HO60" s="349">
        <v>8.5</v>
      </c>
      <c r="HP60" s="348"/>
      <c r="HQ60" s="349">
        <v>8.5</v>
      </c>
      <c r="HR60" s="348"/>
      <c r="HS60" s="349">
        <v>8.5</v>
      </c>
      <c r="HT60" s="348"/>
      <c r="HU60" s="349">
        <v>8.5</v>
      </c>
      <c r="HV60" s="348"/>
      <c r="HW60" s="349">
        <v>8.5</v>
      </c>
      <c r="HX60" s="348"/>
      <c r="HY60" s="349">
        <v>8.5</v>
      </c>
      <c r="HZ60" s="348"/>
      <c r="IA60" s="349">
        <v>8.5</v>
      </c>
      <c r="IB60" s="348"/>
      <c r="IC60" s="349">
        <v>8.5</v>
      </c>
      <c r="ID60" s="348"/>
      <c r="IE60" s="349">
        <v>8.5</v>
      </c>
      <c r="IF60" s="348"/>
      <c r="IG60" s="349">
        <v>8.5</v>
      </c>
      <c r="IH60" s="348"/>
      <c r="II60" s="349">
        <v>8.5</v>
      </c>
      <c r="IJ60" s="348"/>
      <c r="IK60" s="349">
        <v>8.5</v>
      </c>
      <c r="IL60" s="348"/>
      <c r="IM60" s="349">
        <v>8.5</v>
      </c>
      <c r="IN60" s="348"/>
      <c r="IO60" s="349">
        <v>8.5</v>
      </c>
      <c r="IP60" s="348"/>
      <c r="IQ60" s="349">
        <v>8.5</v>
      </c>
      <c r="IR60" s="348"/>
      <c r="IS60" s="349">
        <v>8.5</v>
      </c>
      <c r="IT60" s="348"/>
      <c r="IU60" s="349">
        <v>8.5</v>
      </c>
      <c r="IV60" s="348"/>
      <c r="IW60" s="349">
        <v>8.5</v>
      </c>
      <c r="IX60" s="348"/>
      <c r="IY60" s="349">
        <v>8.5</v>
      </c>
      <c r="IZ60" s="347"/>
      <c r="JA60" s="348"/>
      <c r="JB60" s="349">
        <v>8.5</v>
      </c>
      <c r="JC60" s="348"/>
      <c r="JD60" s="349">
        <v>8.5</v>
      </c>
      <c r="JE60" s="347"/>
      <c r="JF60" s="348"/>
      <c r="JG60" s="349">
        <v>6.3</v>
      </c>
      <c r="JH60" s="348"/>
      <c r="JI60" s="349">
        <v>6.3</v>
      </c>
      <c r="JJ60" s="348"/>
      <c r="JK60" s="349">
        <v>6.3</v>
      </c>
      <c r="JL60" s="348"/>
      <c r="JM60" s="349">
        <v>6.3</v>
      </c>
      <c r="JN60" s="348"/>
      <c r="JO60" s="349">
        <v>6.8</v>
      </c>
      <c r="JP60" s="348"/>
      <c r="JQ60" s="349">
        <v>6.8</v>
      </c>
      <c r="JR60" s="348"/>
      <c r="JS60" s="349">
        <v>6.8</v>
      </c>
      <c r="JT60" s="348"/>
      <c r="JU60" s="349">
        <v>6.8</v>
      </c>
      <c r="JV60" s="348"/>
      <c r="JW60" s="349">
        <v>6.8</v>
      </c>
      <c r="JX60" s="348"/>
      <c r="JY60" s="349">
        <v>6.8</v>
      </c>
      <c r="JZ60" s="348"/>
      <c r="KA60" s="349">
        <v>6.8</v>
      </c>
      <c r="KB60" s="348"/>
      <c r="KC60" s="349">
        <v>6.8</v>
      </c>
      <c r="KD60" s="348"/>
      <c r="KE60" s="349">
        <v>6.8</v>
      </c>
      <c r="KF60" s="348"/>
      <c r="KG60" s="349">
        <v>6.8</v>
      </c>
      <c r="KH60" s="348"/>
      <c r="KI60" s="349">
        <v>6.8</v>
      </c>
      <c r="KJ60" s="348"/>
      <c r="KK60" s="349">
        <v>6.8</v>
      </c>
      <c r="KL60" s="348"/>
      <c r="KM60" s="349">
        <v>6.8</v>
      </c>
      <c r="KN60" s="348"/>
      <c r="KO60" s="349">
        <v>6.8</v>
      </c>
      <c r="KP60" s="348"/>
      <c r="KQ60" s="349">
        <v>6.8</v>
      </c>
      <c r="KR60" s="348"/>
      <c r="KS60" s="349">
        <v>6.8</v>
      </c>
      <c r="KT60" s="348"/>
      <c r="KU60" s="349">
        <v>6.8</v>
      </c>
      <c r="KV60" s="348"/>
      <c r="KW60" s="349">
        <v>6.8</v>
      </c>
      <c r="KX60" s="348"/>
      <c r="KY60" s="349">
        <v>6.8</v>
      </c>
      <c r="KZ60" s="348"/>
      <c r="LA60" s="349">
        <v>6.8</v>
      </c>
      <c r="LB60" s="348"/>
      <c r="LC60" s="349">
        <v>6.8</v>
      </c>
      <c r="LD60" s="348"/>
      <c r="LE60" s="349">
        <v>6.8</v>
      </c>
      <c r="LF60" s="348"/>
      <c r="LG60" s="349">
        <v>6.8</v>
      </c>
      <c r="LH60" s="348"/>
      <c r="LI60" s="349">
        <v>6.8</v>
      </c>
      <c r="LJ60" s="348"/>
      <c r="LK60" s="349">
        <v>6.8</v>
      </c>
      <c r="LL60" s="348"/>
      <c r="LM60" s="349">
        <v>6.8</v>
      </c>
      <c r="LN60" s="348"/>
      <c r="LO60" s="349">
        <v>6.8</v>
      </c>
      <c r="LP60" s="348"/>
      <c r="LQ60" s="349">
        <v>6.8</v>
      </c>
      <c r="LR60" s="348"/>
      <c r="LS60" s="349">
        <v>6.8</v>
      </c>
      <c r="LT60" s="348"/>
      <c r="LU60" s="349">
        <v>6.8</v>
      </c>
      <c r="LV60" s="348"/>
      <c r="LW60" s="349">
        <v>6.8</v>
      </c>
      <c r="LX60" s="348"/>
      <c r="LY60" s="349">
        <v>6.8</v>
      </c>
      <c r="LZ60" s="348"/>
      <c r="MA60" s="349">
        <v>6.8</v>
      </c>
      <c r="MB60" s="348"/>
      <c r="MC60" s="349">
        <v>6.8</v>
      </c>
      <c r="MD60" s="348"/>
      <c r="ME60" s="349">
        <v>6.8</v>
      </c>
      <c r="MF60" s="348"/>
      <c r="MG60" s="349">
        <v>6.8</v>
      </c>
      <c r="MH60" s="347"/>
      <c r="MI60" s="348"/>
      <c r="MJ60" s="349">
        <v>5.7</v>
      </c>
      <c r="MK60" s="348"/>
      <c r="ML60" s="349">
        <v>5.7</v>
      </c>
      <c r="MM60" s="348"/>
      <c r="MN60" s="349">
        <v>5.7</v>
      </c>
      <c r="MO60" s="348"/>
      <c r="MP60" s="349">
        <v>5.7</v>
      </c>
      <c r="MQ60" s="348"/>
      <c r="MR60" s="349">
        <v>6.1</v>
      </c>
      <c r="MS60" s="348"/>
      <c r="MT60" s="349">
        <v>6</v>
      </c>
      <c r="MU60" s="348"/>
      <c r="MV60" s="349">
        <v>6.1</v>
      </c>
      <c r="MW60" s="348"/>
      <c r="MX60" s="349">
        <v>6.8</v>
      </c>
      <c r="MY60" s="348"/>
      <c r="MZ60" s="349">
        <v>6.8</v>
      </c>
      <c r="NA60" s="348"/>
      <c r="NB60" s="349">
        <v>6.8</v>
      </c>
      <c r="NC60" s="348"/>
      <c r="ND60" s="349">
        <v>6.8</v>
      </c>
      <c r="NE60" s="348"/>
      <c r="NF60" s="349">
        <v>6.8</v>
      </c>
      <c r="NG60" s="348"/>
      <c r="NH60" s="349">
        <v>6.8</v>
      </c>
      <c r="NI60" s="348"/>
      <c r="NJ60" s="349">
        <v>6.8</v>
      </c>
      <c r="NK60" s="348"/>
      <c r="NL60" s="349">
        <v>6.8</v>
      </c>
      <c r="NM60" s="348"/>
      <c r="NN60" s="349">
        <v>6.8</v>
      </c>
      <c r="NO60" s="348"/>
      <c r="NP60" s="349">
        <v>6.8</v>
      </c>
      <c r="NQ60" s="348"/>
      <c r="NR60" s="349">
        <v>6.8</v>
      </c>
      <c r="NS60" s="348"/>
      <c r="NT60" s="349">
        <v>6.8</v>
      </c>
      <c r="NU60" s="348"/>
      <c r="NV60" s="349">
        <v>6.8</v>
      </c>
      <c r="NW60" s="348"/>
      <c r="NX60" s="349">
        <v>6.8</v>
      </c>
      <c r="NY60" s="348"/>
      <c r="NZ60" s="349">
        <v>6.8</v>
      </c>
      <c r="OA60" s="348"/>
      <c r="OB60" s="349">
        <v>6.8</v>
      </c>
      <c r="OC60" s="348"/>
      <c r="OD60" s="349">
        <v>6.8</v>
      </c>
      <c r="OE60" s="348"/>
      <c r="OF60" s="349">
        <v>6.8</v>
      </c>
      <c r="OG60" s="348"/>
      <c r="OH60" s="349">
        <v>6.8</v>
      </c>
      <c r="OI60" s="348"/>
      <c r="OJ60" s="349">
        <v>6.8</v>
      </c>
      <c r="OK60" s="348"/>
      <c r="OL60" s="349">
        <v>6.8</v>
      </c>
      <c r="OM60" s="348"/>
      <c r="ON60" s="349">
        <v>6.8</v>
      </c>
      <c r="OO60" s="348"/>
      <c r="OP60" s="349">
        <v>6.8</v>
      </c>
      <c r="OQ60" s="348"/>
      <c r="OR60" s="349">
        <v>6.8</v>
      </c>
      <c r="OS60" s="348"/>
      <c r="OT60" s="349">
        <v>6.8</v>
      </c>
      <c r="OU60" s="348"/>
      <c r="OV60" s="349">
        <v>6.8</v>
      </c>
      <c r="OW60" s="348"/>
      <c r="OX60" s="349">
        <v>6.8</v>
      </c>
      <c r="OY60" s="348"/>
      <c r="OZ60" s="349">
        <v>6.8</v>
      </c>
      <c r="PA60" s="348"/>
      <c r="PB60" s="349">
        <v>6.8</v>
      </c>
      <c r="PC60" s="348"/>
      <c r="PD60" s="349">
        <v>6.8</v>
      </c>
      <c r="PE60" s="348"/>
      <c r="PF60" s="349">
        <v>6.8</v>
      </c>
      <c r="PG60" s="348"/>
      <c r="PH60" s="349">
        <v>6.8</v>
      </c>
      <c r="PI60" s="348"/>
      <c r="PJ60" s="349">
        <v>6.8</v>
      </c>
      <c r="PK60" s="348"/>
      <c r="PL60" s="349">
        <v>6.8</v>
      </c>
      <c r="PM60" s="348"/>
      <c r="PN60" s="349">
        <v>6.8</v>
      </c>
      <c r="PO60" s="348"/>
      <c r="PP60" s="349">
        <v>6.8</v>
      </c>
      <c r="PR60" s="348"/>
      <c r="PS60" s="349">
        <v>7.9</v>
      </c>
      <c r="PT60" s="348"/>
      <c r="PU60" s="349">
        <f>PS60</f>
        <v>7.9</v>
      </c>
      <c r="PV60" s="348"/>
      <c r="PW60" s="349">
        <v>7.9</v>
      </c>
      <c r="PX60" s="348"/>
      <c r="PY60" s="349">
        <f>PW60</f>
        <v>7.9</v>
      </c>
      <c r="PZ60" s="348"/>
      <c r="QA60" s="349">
        <v>7.9</v>
      </c>
      <c r="QB60" s="348"/>
      <c r="QC60" s="349">
        <f>QA60</f>
        <v>7.9</v>
      </c>
      <c r="QF60" s="348"/>
      <c r="QG60" s="349">
        <v>7.9</v>
      </c>
      <c r="QH60" s="348"/>
      <c r="QI60" s="349">
        <f>QG60</f>
        <v>7.9</v>
      </c>
      <c r="QJ60" s="348"/>
      <c r="QK60" s="349">
        <v>7.9</v>
      </c>
      <c r="QL60" s="348"/>
      <c r="QM60" s="349">
        <f>QK60</f>
        <v>7.9</v>
      </c>
      <c r="QN60" s="348"/>
      <c r="QO60" s="349">
        <v>7.1</v>
      </c>
      <c r="QP60" s="348"/>
      <c r="QQ60" s="349">
        <f>QO60</f>
        <v>7.1</v>
      </c>
    </row>
    <row r="61" spans="1:459" x14ac:dyDescent="0.45">
      <c r="A61" s="871"/>
      <c r="B61" s="350" t="s">
        <v>367</v>
      </c>
      <c r="C61" s="351"/>
      <c r="D61" s="352"/>
      <c r="E61" s="353"/>
      <c r="F61" s="354"/>
      <c r="G61" s="355">
        <f>G69+G67</f>
        <v>5.3994791666666666</v>
      </c>
      <c r="H61" s="354"/>
      <c r="I61" s="355">
        <f>I69+I67</f>
        <v>6.8994791666666666</v>
      </c>
      <c r="J61" s="354"/>
      <c r="K61" s="355">
        <f>K69+K67</f>
        <v>6.8994791666666666</v>
      </c>
      <c r="L61" s="354"/>
      <c r="M61" s="355">
        <f>M69+M67</f>
        <v>6.8994791666666666</v>
      </c>
      <c r="N61" s="354"/>
      <c r="O61" s="355">
        <f>O69+O67</f>
        <v>6.8994791666666666</v>
      </c>
      <c r="P61" s="354"/>
      <c r="Q61" s="355">
        <f>Q69+Q67</f>
        <v>6.9515624999999996</v>
      </c>
      <c r="R61" s="354"/>
      <c r="S61" s="355">
        <f>S69+S67</f>
        <v>6.8994791666666666</v>
      </c>
      <c r="T61" s="354"/>
      <c r="U61" s="355">
        <f>U69+U67</f>
        <v>7.2208333333333332</v>
      </c>
      <c r="V61" s="354"/>
      <c r="W61" s="355">
        <f>W69+W67</f>
        <v>7.2208333333333332</v>
      </c>
      <c r="X61" s="354"/>
      <c r="Y61" s="355">
        <f>Y69+Y67</f>
        <v>7.14453125</v>
      </c>
      <c r="Z61" s="354"/>
      <c r="AA61" s="355">
        <f>AA69+AA67</f>
        <v>7.270833333333333</v>
      </c>
      <c r="AB61" s="354"/>
      <c r="AC61" s="355">
        <f>AC69+AC67</f>
        <v>7.270833333333333</v>
      </c>
      <c r="AD61" s="354"/>
      <c r="AE61" s="355">
        <f>AE69+AE67</f>
        <v>7.6229166666666668</v>
      </c>
      <c r="AF61" s="354"/>
      <c r="AG61" s="355">
        <f>AG69+AG67</f>
        <v>7.6229166666666668</v>
      </c>
      <c r="AH61" s="354"/>
      <c r="AI61" s="355">
        <f>AI69+AI67</f>
        <v>7.6229166666666668</v>
      </c>
      <c r="AJ61" s="354"/>
      <c r="AK61" s="355">
        <f>AK69+AK67</f>
        <v>7.6229166666666668</v>
      </c>
      <c r="AL61" s="354"/>
      <c r="AM61" s="355">
        <f>AM69+AM67</f>
        <v>7.6229166666666668</v>
      </c>
      <c r="AN61" s="354"/>
      <c r="AO61" s="355">
        <f>AO69+AO67</f>
        <v>7.6229166666666668</v>
      </c>
      <c r="AP61" s="354"/>
      <c r="AQ61" s="355">
        <f>AQ69+AQ67</f>
        <v>7.6229166666666668</v>
      </c>
      <c r="AR61" s="354"/>
      <c r="AS61" s="355">
        <f>AS69+AS67</f>
        <v>7.2843749999999998</v>
      </c>
      <c r="AT61" s="354"/>
      <c r="AU61" s="355">
        <f>AU69+AU67</f>
        <v>7.5843749999999996</v>
      </c>
      <c r="AV61" s="354"/>
      <c r="AW61" s="355">
        <f>AW69+AW67</f>
        <v>7.5843749999999996</v>
      </c>
      <c r="AX61" s="354"/>
      <c r="AY61" s="355">
        <f>AY69+AY67</f>
        <v>7.5843749999999996</v>
      </c>
      <c r="AZ61" s="354"/>
      <c r="BA61" s="355">
        <f>BA69+BA67</f>
        <v>7.5843749999999996</v>
      </c>
      <c r="BB61" s="354"/>
      <c r="BC61" s="355">
        <f>BC69+BC67</f>
        <v>7.5843749999999996</v>
      </c>
      <c r="BD61" s="354"/>
      <c r="BE61" s="355">
        <f>BE69+BE67</f>
        <v>7.5843749999999996</v>
      </c>
      <c r="BF61" s="354"/>
      <c r="BG61" s="355">
        <f>BG69+BG67</f>
        <v>7.5843749999999996</v>
      </c>
      <c r="BH61" s="354"/>
      <c r="BI61" s="355">
        <f>BI69+BI67</f>
        <v>7.5843749999999996</v>
      </c>
      <c r="BJ61" s="354"/>
      <c r="BK61" s="355">
        <f>BK69+BK67</f>
        <v>7.5843749999999996</v>
      </c>
      <c r="BL61" s="354"/>
      <c r="BM61" s="355">
        <f>BM69+BM67</f>
        <v>7.5843749999999996</v>
      </c>
      <c r="BN61" s="354"/>
      <c r="BO61" s="355">
        <f>BO69+BO67</f>
        <v>7.5843749999999996</v>
      </c>
      <c r="BP61" s="354"/>
      <c r="BQ61" s="355">
        <f>BQ69+BQ67</f>
        <v>7.5843749999999996</v>
      </c>
      <c r="BR61" s="354"/>
      <c r="BS61" s="355">
        <f>BS69+BS67</f>
        <v>7.5843749999999996</v>
      </c>
      <c r="BT61" s="354"/>
      <c r="BU61" s="355">
        <f>BU69+BU67</f>
        <v>7.5843749999999996</v>
      </c>
      <c r="BV61" s="354"/>
      <c r="BW61" s="355">
        <f>BW69+BW67</f>
        <v>7.5843749999999996</v>
      </c>
      <c r="BX61" s="354"/>
      <c r="BY61" s="355">
        <f>BY69+BY67</f>
        <v>7.5843749999999996</v>
      </c>
      <c r="BZ61" s="354"/>
      <c r="CA61" s="355">
        <f>CA69+CA67</f>
        <v>7.5843749999999996</v>
      </c>
      <c r="CB61" s="354"/>
      <c r="CC61" s="355">
        <f>CC69+CC67</f>
        <v>7.5843749999999996</v>
      </c>
      <c r="CD61" s="354"/>
      <c r="CE61" s="355">
        <f>CE69+CE67</f>
        <v>7.5843749999999996</v>
      </c>
      <c r="CF61" s="354"/>
      <c r="CG61" s="355">
        <f>CG69+CG67</f>
        <v>7.5843749999999996</v>
      </c>
      <c r="CH61" s="354"/>
      <c r="CI61" s="355">
        <f>CI69+CI67</f>
        <v>7.5843749999999996</v>
      </c>
      <c r="CJ61" s="354"/>
      <c r="CK61" s="355">
        <f>CK69+CK67</f>
        <v>7.5843749999999996</v>
      </c>
      <c r="CL61" s="354"/>
      <c r="CM61" s="355">
        <f>CM69+CM67</f>
        <v>7.5843749999999996</v>
      </c>
      <c r="CN61" s="354"/>
      <c r="CO61" s="355">
        <f>CO69+CO67</f>
        <v>7.5843749999999996</v>
      </c>
      <c r="CP61" s="354"/>
      <c r="CQ61" s="355">
        <f>CQ69+CQ67</f>
        <v>7.5843749999999996</v>
      </c>
      <c r="CR61" s="354"/>
      <c r="CS61" s="355">
        <f>CS69+CS67</f>
        <v>7.5843749999999996</v>
      </c>
      <c r="CT61" s="356"/>
      <c r="CU61" s="354"/>
      <c r="CV61" s="355">
        <f>CV69+CV67</f>
        <v>10.315563468789275</v>
      </c>
      <c r="CW61" s="354"/>
      <c r="CX61" s="355">
        <f>CX69+CX67</f>
        <v>10.344888981985756</v>
      </c>
      <c r="CY61" s="354"/>
      <c r="CZ61" s="355">
        <f>CZ69+CZ67</f>
        <v>10.637871805613742</v>
      </c>
      <c r="DA61" s="354"/>
      <c r="DB61" s="355">
        <f>DB69+DB67</f>
        <v>10.637871805613742</v>
      </c>
      <c r="DC61" s="354"/>
      <c r="DD61" s="355">
        <f>DD69+DD67</f>
        <v>11.321658986175116</v>
      </c>
      <c r="DE61" s="354"/>
      <c r="DF61" s="355">
        <f>DF69+DF67</f>
        <v>11.321658986175116</v>
      </c>
      <c r="DG61" s="354"/>
      <c r="DH61" s="355">
        <f>DH69+DH67</f>
        <v>11.321658986175116</v>
      </c>
      <c r="DI61" s="354"/>
      <c r="DJ61" s="355">
        <f>DJ69+DJ67</f>
        <v>11.321658986175116</v>
      </c>
      <c r="DK61" s="354"/>
      <c r="DL61" s="355">
        <f>DL69+DL67</f>
        <v>11.321658986175116</v>
      </c>
      <c r="DM61" s="354"/>
      <c r="DN61" s="355">
        <f>DN69+DN67</f>
        <v>11.321658986175116</v>
      </c>
      <c r="DO61" s="354"/>
      <c r="DP61" s="355">
        <f>DP69+DP67</f>
        <v>11.321658986175116</v>
      </c>
      <c r="DQ61" s="354"/>
      <c r="DR61" s="355">
        <f>DR69+DR67</f>
        <v>11.321658986175116</v>
      </c>
      <c r="DS61" s="354"/>
      <c r="DT61" s="355">
        <f>DT69+DT67</f>
        <v>11.327042312526183</v>
      </c>
      <c r="DU61" s="354"/>
      <c r="DV61" s="355">
        <f>DV69+DV67</f>
        <v>11.327042312526183</v>
      </c>
      <c r="DW61" s="354"/>
      <c r="DX61" s="355">
        <f>DX69+DX67</f>
        <v>11.327042312526183</v>
      </c>
      <c r="DY61" s="354"/>
      <c r="DZ61" s="355">
        <f>DZ69+DZ67</f>
        <v>11.327042312526183</v>
      </c>
      <c r="EA61" s="354"/>
      <c r="EB61" s="355">
        <f>EB69+EB67</f>
        <v>11.327042312526183</v>
      </c>
      <c r="EC61" s="354"/>
      <c r="ED61" s="355">
        <f>ED69+ED67</f>
        <v>11.327042312526183</v>
      </c>
      <c r="EE61" s="354"/>
      <c r="EF61" s="355">
        <f>EF69+EF67</f>
        <v>11.327042312526183</v>
      </c>
      <c r="EG61" s="354"/>
      <c r="EH61" s="355">
        <f>EH69+EH67</f>
        <v>11.327042312526183</v>
      </c>
      <c r="EI61" s="354"/>
      <c r="EJ61" s="355">
        <f>EJ69+EJ67</f>
        <v>11.327042312526183</v>
      </c>
      <c r="EK61" s="354"/>
      <c r="EL61" s="355">
        <f>EL69+EL67</f>
        <v>11.327042312526183</v>
      </c>
      <c r="EM61" s="354"/>
      <c r="EN61" s="355">
        <f>EN69+EN67</f>
        <v>11.327042312526183</v>
      </c>
      <c r="EO61" s="354"/>
      <c r="EP61" s="355">
        <f>EP69+EP67</f>
        <v>11.327042312526183</v>
      </c>
      <c r="EQ61" s="354"/>
      <c r="ER61" s="355">
        <f>ER69+ER67</f>
        <v>11.327042312526183</v>
      </c>
      <c r="ES61" s="354"/>
      <c r="ET61" s="355">
        <f>ET69+ET67</f>
        <v>11.327042312526183</v>
      </c>
      <c r="EU61" s="354"/>
      <c r="EV61" s="355">
        <f>EV69+EV67</f>
        <v>11.327042312526183</v>
      </c>
      <c r="EW61" s="354"/>
      <c r="EX61" s="355">
        <f>EX69+EX67</f>
        <v>11.327042312526183</v>
      </c>
      <c r="EY61" s="354"/>
      <c r="EZ61" s="355">
        <f>EZ69+EZ67</f>
        <v>11.327042312526183</v>
      </c>
      <c r="FA61" s="354"/>
      <c r="FB61" s="355">
        <f>FB69+FB67</f>
        <v>11.327042312526183</v>
      </c>
      <c r="FC61" s="354"/>
      <c r="FD61" s="355">
        <f>FD69+FD67</f>
        <v>11.327042312526183</v>
      </c>
      <c r="FE61" s="354"/>
      <c r="FF61" s="355">
        <f>FF69+FF67</f>
        <v>11.327042312526183</v>
      </c>
      <c r="FG61" s="354"/>
      <c r="FH61" s="355">
        <f>FH69+FH67</f>
        <v>11.327042312526183</v>
      </c>
      <c r="FI61" s="354"/>
      <c r="FJ61" s="355">
        <f>FJ69+FJ67</f>
        <v>11.327042312526183</v>
      </c>
      <c r="FK61" s="354"/>
      <c r="FL61" s="355">
        <f>FL69+FL67</f>
        <v>11.327042312526183</v>
      </c>
      <c r="FM61" s="354"/>
      <c r="FN61" s="355">
        <f>FN69+FN67</f>
        <v>11.327042312526183</v>
      </c>
      <c r="FO61" s="354"/>
      <c r="FP61" s="355">
        <f>FP69+FP67</f>
        <v>11.327042312526183</v>
      </c>
      <c r="FQ61" s="353"/>
      <c r="FR61" s="354"/>
      <c r="FS61" s="355">
        <f>FS69+FS67</f>
        <v>6.9020833333333327</v>
      </c>
      <c r="FT61" s="354"/>
      <c r="FU61" s="355">
        <f>FU69+FU67</f>
        <v>6.9020833333333327</v>
      </c>
      <c r="FV61" s="354"/>
      <c r="FW61" s="355">
        <f>FW69+FW67</f>
        <v>6.9515624999999996</v>
      </c>
      <c r="FX61" s="354"/>
      <c r="FY61" s="355">
        <f>FY69+FY67</f>
        <v>6.8994791666666666</v>
      </c>
      <c r="FZ61" s="354"/>
      <c r="GA61" s="355">
        <f>GA69+GA67</f>
        <v>7.2208333333333332</v>
      </c>
      <c r="GB61" s="354"/>
      <c r="GC61" s="355">
        <f>GC69+GC67</f>
        <v>7.2208333333333332</v>
      </c>
      <c r="GD61" s="354"/>
      <c r="GE61" s="355">
        <f>GE69+GE67</f>
        <v>7.14453125</v>
      </c>
      <c r="GF61" s="354"/>
      <c r="GG61" s="355">
        <f>GG69+GG67</f>
        <v>7.270833333333333</v>
      </c>
      <c r="GH61" s="354"/>
      <c r="GI61" s="355">
        <f>GI69+GI67</f>
        <v>7.270833333333333</v>
      </c>
      <c r="GJ61" s="354"/>
      <c r="GK61" s="355">
        <f>GK69+GK67</f>
        <v>8.4729166666666664</v>
      </c>
      <c r="GL61" s="354"/>
      <c r="GM61" s="355">
        <f>GM69+GM67</f>
        <v>8.4729166666666664</v>
      </c>
      <c r="GN61" s="354"/>
      <c r="GO61" s="355">
        <f>GO69+GO67</f>
        <v>8.4729166666666664</v>
      </c>
      <c r="GP61" s="354"/>
      <c r="GQ61" s="355">
        <f>GQ69+GQ67</f>
        <v>8.4729166666666664</v>
      </c>
      <c r="GR61" s="354"/>
      <c r="GS61" s="355">
        <f>GS69+GS67</f>
        <v>8.4729166666666664</v>
      </c>
      <c r="GT61" s="354"/>
      <c r="GU61" s="355">
        <f>GU69+GU67</f>
        <v>8.4729166666666664</v>
      </c>
      <c r="GV61" s="354"/>
      <c r="GW61" s="355">
        <f>GW69+GW67</f>
        <v>8.4729166666666664</v>
      </c>
      <c r="GX61" s="354"/>
      <c r="GY61" s="355">
        <f>GY69+GY67</f>
        <v>8.4729166666666664</v>
      </c>
      <c r="GZ61" s="354"/>
      <c r="HA61" s="355">
        <f>HA69+HA67</f>
        <v>8.484375</v>
      </c>
      <c r="HB61" s="354"/>
      <c r="HC61" s="355">
        <f>HC69+HC67</f>
        <v>8.484375</v>
      </c>
      <c r="HD61" s="354"/>
      <c r="HE61" s="355">
        <f>HE69+HE67</f>
        <v>8.484375</v>
      </c>
      <c r="HF61" s="354"/>
      <c r="HG61" s="355">
        <f>HG69+HG67</f>
        <v>8.484375</v>
      </c>
      <c r="HH61" s="354"/>
      <c r="HI61" s="355">
        <f>HI69+HI67</f>
        <v>8.484375</v>
      </c>
      <c r="HJ61" s="354"/>
      <c r="HK61" s="355">
        <f>HK69+HK67</f>
        <v>8.484375</v>
      </c>
      <c r="HL61" s="354"/>
      <c r="HM61" s="355">
        <f>HM69+HM67</f>
        <v>8.484375</v>
      </c>
      <c r="HN61" s="354"/>
      <c r="HO61" s="355">
        <f>HO69+HO67</f>
        <v>8.484375</v>
      </c>
      <c r="HP61" s="354"/>
      <c r="HQ61" s="355">
        <f>HQ69+HQ67</f>
        <v>8.484375</v>
      </c>
      <c r="HR61" s="354"/>
      <c r="HS61" s="355">
        <f>HS69+HS67</f>
        <v>8.484375</v>
      </c>
      <c r="HT61" s="354"/>
      <c r="HU61" s="355">
        <f>HU69+HU67</f>
        <v>8.484375</v>
      </c>
      <c r="HV61" s="354"/>
      <c r="HW61" s="355">
        <f>HW69+HW67</f>
        <v>8.484375</v>
      </c>
      <c r="HX61" s="354"/>
      <c r="HY61" s="355">
        <f>HY69+HY67</f>
        <v>8.484375</v>
      </c>
      <c r="HZ61" s="354"/>
      <c r="IA61" s="355">
        <f>IA69+IA67</f>
        <v>8.484375</v>
      </c>
      <c r="IB61" s="354"/>
      <c r="IC61" s="355">
        <f>IC69+IC67</f>
        <v>8.484375</v>
      </c>
      <c r="ID61" s="354"/>
      <c r="IE61" s="355">
        <f>IE69+IE67</f>
        <v>8.484375</v>
      </c>
      <c r="IF61" s="354"/>
      <c r="IG61" s="355">
        <f>IG69+IG67</f>
        <v>8.484375</v>
      </c>
      <c r="IH61" s="354"/>
      <c r="II61" s="355">
        <f>II69+II67</f>
        <v>8.484375</v>
      </c>
      <c r="IJ61" s="354"/>
      <c r="IK61" s="355">
        <f>IK69+IK67</f>
        <v>8.484375</v>
      </c>
      <c r="IL61" s="354"/>
      <c r="IM61" s="355">
        <f>IM69+IM67</f>
        <v>8.484375</v>
      </c>
      <c r="IN61" s="354"/>
      <c r="IO61" s="355">
        <f>IO69+IO67</f>
        <v>8.484375</v>
      </c>
      <c r="IP61" s="354"/>
      <c r="IQ61" s="355">
        <f>IQ69+IQ67</f>
        <v>8.484375</v>
      </c>
      <c r="IR61" s="354"/>
      <c r="IS61" s="355">
        <f>IS69+IS67</f>
        <v>8.484375</v>
      </c>
      <c r="IT61" s="354"/>
      <c r="IU61" s="355">
        <f>IU69+IU67</f>
        <v>8.484375</v>
      </c>
      <c r="IV61" s="354"/>
      <c r="IW61" s="355">
        <f>IW69+IW67</f>
        <v>8.484375</v>
      </c>
      <c r="IX61" s="354"/>
      <c r="IY61" s="355">
        <f>IY69+IY67</f>
        <v>8.484375</v>
      </c>
      <c r="IZ61" s="353"/>
      <c r="JA61" s="354"/>
      <c r="JB61" s="355">
        <f>JB69+JB67</f>
        <v>8.484375</v>
      </c>
      <c r="JC61" s="354"/>
      <c r="JD61" s="355">
        <f>JD69+JD67</f>
        <v>8.484375</v>
      </c>
      <c r="JE61" s="353"/>
      <c r="JF61" s="354"/>
      <c r="JG61" s="355">
        <f>JG69+JG67</f>
        <v>6.2976190476190474</v>
      </c>
      <c r="JH61" s="354"/>
      <c r="JI61" s="355">
        <f>JI69+JI67</f>
        <v>6.2976190476190474</v>
      </c>
      <c r="JJ61" s="354"/>
      <c r="JK61" s="355">
        <f>JK69+JK67</f>
        <v>6.3214285714285712</v>
      </c>
      <c r="JL61" s="354"/>
      <c r="JM61" s="355">
        <f>JM69+JM67</f>
        <v>6.2976190476190474</v>
      </c>
      <c r="JN61" s="354"/>
      <c r="JO61" s="355">
        <f>JO69+JO67</f>
        <v>6.7761904761904761</v>
      </c>
      <c r="JP61" s="354"/>
      <c r="JQ61" s="355">
        <f>JQ69+JQ67</f>
        <v>6.7761904761904761</v>
      </c>
      <c r="JR61" s="354"/>
      <c r="JS61" s="355">
        <f>JS69+JS67</f>
        <v>6.7761904761904761</v>
      </c>
      <c r="JT61" s="354"/>
      <c r="JU61" s="355">
        <f>JU69+JU67</f>
        <v>6.8238095238095235</v>
      </c>
      <c r="JV61" s="354"/>
      <c r="JW61" s="355">
        <f>JW69+JW67</f>
        <v>6.871428571428571</v>
      </c>
      <c r="JX61" s="354"/>
      <c r="JY61" s="355">
        <f>JY69+JY67</f>
        <v>6.871428571428571</v>
      </c>
      <c r="JZ61" s="354"/>
      <c r="KA61" s="355">
        <f>KA69+KA67</f>
        <v>6.871428571428571</v>
      </c>
      <c r="KB61" s="354"/>
      <c r="KC61" s="355">
        <f>KC69+KC67</f>
        <v>6.871428571428571</v>
      </c>
      <c r="KD61" s="354"/>
      <c r="KE61" s="355">
        <f>KE69+KE67</f>
        <v>6.871428571428571</v>
      </c>
      <c r="KF61" s="354"/>
      <c r="KG61" s="355">
        <f>KG69+KG67</f>
        <v>6.871428571428571</v>
      </c>
      <c r="KH61" s="354"/>
      <c r="KI61" s="355">
        <f>KI69+KI67</f>
        <v>6.871428571428571</v>
      </c>
      <c r="KJ61" s="354"/>
      <c r="KK61" s="355">
        <f>KK69+KK67</f>
        <v>6.8337662337662337</v>
      </c>
      <c r="KL61" s="354"/>
      <c r="KM61" s="355">
        <f>KM69+KM67</f>
        <v>6.8337662337662337</v>
      </c>
      <c r="KN61" s="354"/>
      <c r="KO61" s="355">
        <f>KO69+KO67</f>
        <v>6.8337662337662337</v>
      </c>
      <c r="KP61" s="354"/>
      <c r="KQ61" s="355">
        <f>KQ69+KQ67</f>
        <v>6.8337662337662337</v>
      </c>
      <c r="KR61" s="354"/>
      <c r="KS61" s="355">
        <f>KS69+KS67</f>
        <v>6.8337662337662337</v>
      </c>
      <c r="KT61" s="354"/>
      <c r="KU61" s="355">
        <f>KU69+KU67</f>
        <v>6.8337662337662337</v>
      </c>
      <c r="KV61" s="354"/>
      <c r="KW61" s="355">
        <f>KW69+KW67</f>
        <v>6.8337662337662337</v>
      </c>
      <c r="KX61" s="354"/>
      <c r="KY61" s="355">
        <f>KY69+KY67</f>
        <v>6.8337662337662337</v>
      </c>
      <c r="KZ61" s="354"/>
      <c r="LA61" s="355">
        <f>LA69+LA67</f>
        <v>6.8337662337662337</v>
      </c>
      <c r="LB61" s="354"/>
      <c r="LC61" s="355">
        <f>LC69+LC67</f>
        <v>6.8337662337662337</v>
      </c>
      <c r="LD61" s="354"/>
      <c r="LE61" s="355">
        <f>LE69+LE67</f>
        <v>6.8337662337662337</v>
      </c>
      <c r="LF61" s="354"/>
      <c r="LG61" s="355">
        <f>LG69+LG67</f>
        <v>6.8337662337662337</v>
      </c>
      <c r="LH61" s="354"/>
      <c r="LI61" s="355">
        <f>LI69+LI67</f>
        <v>6.8337662337662337</v>
      </c>
      <c r="LJ61" s="354"/>
      <c r="LK61" s="355">
        <f>LK69+LK67</f>
        <v>6.8337662337662337</v>
      </c>
      <c r="LL61" s="354"/>
      <c r="LM61" s="355">
        <f>LM69+LM67</f>
        <v>6.8337662337662337</v>
      </c>
      <c r="LN61" s="354"/>
      <c r="LO61" s="355">
        <f>LO69+LO67</f>
        <v>6.8337662337662337</v>
      </c>
      <c r="LP61" s="354"/>
      <c r="LQ61" s="355">
        <f>LQ69+LQ67</f>
        <v>6.8337662337662337</v>
      </c>
      <c r="LR61" s="354"/>
      <c r="LS61" s="355">
        <f>LS69+LS67</f>
        <v>6.8337662337662337</v>
      </c>
      <c r="LT61" s="354"/>
      <c r="LU61" s="355">
        <f>LU69+LU67</f>
        <v>6.8337662337662337</v>
      </c>
      <c r="LV61" s="354"/>
      <c r="LW61" s="355">
        <f>LW69+LW67</f>
        <v>6.8337662337662337</v>
      </c>
      <c r="LX61" s="354"/>
      <c r="LY61" s="355">
        <f>LY69+LY67</f>
        <v>6.8337662337662337</v>
      </c>
      <c r="LZ61" s="354"/>
      <c r="MA61" s="355">
        <f>MA69+MA67</f>
        <v>6.8337662337662337</v>
      </c>
      <c r="MB61" s="354"/>
      <c r="MC61" s="355">
        <f>MC69+MC67</f>
        <v>6.8337662337662337</v>
      </c>
      <c r="MD61" s="354"/>
      <c r="ME61" s="355">
        <f>ME69+ME67</f>
        <v>6.8337662337662337</v>
      </c>
      <c r="MF61" s="354"/>
      <c r="MG61" s="355">
        <f>MG69+MG67</f>
        <v>6.8337662337662337</v>
      </c>
      <c r="MH61" s="353"/>
      <c r="MI61" s="354"/>
      <c r="MJ61" s="355">
        <f>MJ69+MJ67</f>
        <v>5.7038405444822562</v>
      </c>
      <c r="MK61" s="354"/>
      <c r="ML61" s="355">
        <f>ML69+ML67</f>
        <v>5.7038405444822562</v>
      </c>
      <c r="MM61" s="354"/>
      <c r="MN61" s="355">
        <f>MN69+MN67</f>
        <v>5.7281477880408369</v>
      </c>
      <c r="MO61" s="354"/>
      <c r="MP61" s="355">
        <f>MP69+MP67</f>
        <v>5.7038405444822562</v>
      </c>
      <c r="MQ61" s="354"/>
      <c r="MR61" s="355">
        <f>MR69+MR67</f>
        <v>6.0861448711716086</v>
      </c>
      <c r="MS61" s="354"/>
      <c r="MT61" s="355">
        <f>MT69+MT67</f>
        <v>5.986144871171609</v>
      </c>
      <c r="MU61" s="354"/>
      <c r="MV61" s="355">
        <f>MV69+MV67</f>
        <v>6.0861448711716086</v>
      </c>
      <c r="MW61" s="354"/>
      <c r="MX61" s="355">
        <f>MX69+MX67</f>
        <v>6.8347593582887702</v>
      </c>
      <c r="MY61" s="354"/>
      <c r="MZ61" s="355">
        <f>MZ69+MZ67</f>
        <v>6.8347593582887702</v>
      </c>
      <c r="NA61" s="354"/>
      <c r="NB61" s="355">
        <f>NB69+NB67</f>
        <v>6.8347593582887702</v>
      </c>
      <c r="NC61" s="354"/>
      <c r="ND61" s="355">
        <f>ND69+ND67</f>
        <v>6.8347593582887702</v>
      </c>
      <c r="NE61" s="354"/>
      <c r="NF61" s="355">
        <f>NF69+NF67</f>
        <v>6.8347593582887702</v>
      </c>
      <c r="NG61" s="354"/>
      <c r="NH61" s="355">
        <f>NH69+NH67</f>
        <v>6.8347593582887702</v>
      </c>
      <c r="NI61" s="354"/>
      <c r="NJ61" s="355">
        <f>NJ69+NJ67</f>
        <v>6.8347593582887702</v>
      </c>
      <c r="NK61" s="354"/>
      <c r="NL61" s="355">
        <f>NL69+NL67</f>
        <v>6.5187651920272236</v>
      </c>
      <c r="NM61" s="354"/>
      <c r="NN61" s="355">
        <f>NN69+NN67</f>
        <v>6.8187651920272234</v>
      </c>
      <c r="NO61" s="354"/>
      <c r="NP61" s="355">
        <f>NP69+NP67</f>
        <v>6.8187651920272234</v>
      </c>
      <c r="NQ61" s="354"/>
      <c r="NR61" s="355">
        <f>NR69+NR67</f>
        <v>6.8187651920272234</v>
      </c>
      <c r="NS61" s="354"/>
      <c r="NT61" s="355">
        <f>NT69+NT67</f>
        <v>6.8187651920272234</v>
      </c>
      <c r="NU61" s="354"/>
      <c r="NV61" s="355">
        <f>NV69+NV67</f>
        <v>6.8187651920272234</v>
      </c>
      <c r="NW61" s="354"/>
      <c r="NX61" s="355">
        <f>NX69+NX67</f>
        <v>6.8187651920272234</v>
      </c>
      <c r="NY61" s="354"/>
      <c r="NZ61" s="355">
        <f>NZ69+NZ67</f>
        <v>6.8187651920272234</v>
      </c>
      <c r="OA61" s="354"/>
      <c r="OB61" s="355">
        <f>OB69+OB67</f>
        <v>6.8187651920272234</v>
      </c>
      <c r="OC61" s="354"/>
      <c r="OD61" s="355">
        <f>OD69+OD67</f>
        <v>6.8187651920272234</v>
      </c>
      <c r="OE61" s="354"/>
      <c r="OF61" s="355">
        <f>OF69+OF67</f>
        <v>6.8187651920272234</v>
      </c>
      <c r="OG61" s="354"/>
      <c r="OH61" s="355">
        <f>OH69+OH67</f>
        <v>6.8187651920272234</v>
      </c>
      <c r="OI61" s="354"/>
      <c r="OJ61" s="355">
        <f>OJ69+OJ67</f>
        <v>6.8187651920272234</v>
      </c>
      <c r="OK61" s="354"/>
      <c r="OL61" s="355">
        <f>OL69+OL67</f>
        <v>6.8187651920272234</v>
      </c>
      <c r="OM61" s="354"/>
      <c r="ON61" s="355">
        <f>ON69+ON67</f>
        <v>6.8187651920272234</v>
      </c>
      <c r="OO61" s="354"/>
      <c r="OP61" s="355">
        <f>OP69+OP67</f>
        <v>6.8187651920272234</v>
      </c>
      <c r="OQ61" s="354"/>
      <c r="OR61" s="355">
        <f>OR69+OR67</f>
        <v>6.8187651920272234</v>
      </c>
      <c r="OS61" s="354"/>
      <c r="OT61" s="355">
        <f>OT69+OT67</f>
        <v>6.8187651920272234</v>
      </c>
      <c r="OU61" s="354"/>
      <c r="OV61" s="355">
        <f>OV69+OV67</f>
        <v>6.8187651920272234</v>
      </c>
      <c r="OW61" s="354"/>
      <c r="OX61" s="355">
        <f>OX69+OX67</f>
        <v>6.8187651920272234</v>
      </c>
      <c r="OY61" s="354"/>
      <c r="OZ61" s="355">
        <f>OZ69+OZ67</f>
        <v>6.8187651920272234</v>
      </c>
      <c r="PA61" s="354"/>
      <c r="PB61" s="355">
        <f>PB69+PB67</f>
        <v>6.8187651920272234</v>
      </c>
      <c r="PC61" s="354"/>
      <c r="PD61" s="355">
        <f>PD69+PD67</f>
        <v>6.8187651920272234</v>
      </c>
      <c r="PE61" s="354"/>
      <c r="PF61" s="355">
        <f>PF69+PF67</f>
        <v>6.8187651920272234</v>
      </c>
      <c r="PG61" s="354"/>
      <c r="PH61" s="355">
        <f>PH69+PH67</f>
        <v>6.8187651920272234</v>
      </c>
      <c r="PI61" s="354"/>
      <c r="PJ61" s="355">
        <f>PJ69+PJ67</f>
        <v>6.8187651920272234</v>
      </c>
      <c r="PK61" s="354"/>
      <c r="PL61" s="355">
        <f>PL69+PL67</f>
        <v>6.8187651920272234</v>
      </c>
      <c r="PM61" s="354"/>
      <c r="PN61" s="355">
        <f>PN69+PN67</f>
        <v>6.8187651920272234</v>
      </c>
      <c r="PO61" s="354"/>
      <c r="PP61" s="355">
        <f>PP69+PP67</f>
        <v>6.8187651920272234</v>
      </c>
      <c r="PR61" s="354"/>
      <c r="PS61" s="355">
        <f>PS69+PS67</f>
        <v>7.8724137931034486</v>
      </c>
      <c r="PT61" s="354"/>
      <c r="PU61" s="355">
        <f>PU69+PU67</f>
        <v>7.8724137931034486</v>
      </c>
      <c r="PV61" s="354"/>
      <c r="PW61" s="355">
        <f>PW69+PW67</f>
        <v>7.8724137931034486</v>
      </c>
      <c r="PX61" s="354"/>
      <c r="PY61" s="355">
        <f>PY69+PY67</f>
        <v>7.8724137931034486</v>
      </c>
      <c r="PZ61" s="354"/>
      <c r="QA61" s="355">
        <f>QA69+QA67</f>
        <v>7.8724137931034486</v>
      </c>
      <c r="QB61" s="354"/>
      <c r="QC61" s="355">
        <f>QC69+QC67</f>
        <v>7.8724137931034486</v>
      </c>
      <c r="QF61" s="354"/>
      <c r="QG61" s="355">
        <f>QG69+QG67</f>
        <v>7.8724137931034486</v>
      </c>
      <c r="QH61" s="354"/>
      <c r="QI61" s="355">
        <f>QI69+QI67</f>
        <v>7.8724137931034486</v>
      </c>
      <c r="QJ61" s="354"/>
      <c r="QK61" s="355">
        <f>QK69+QK67</f>
        <v>7.8724137931034486</v>
      </c>
      <c r="QL61" s="354"/>
      <c r="QM61" s="355">
        <f>QM69+QM67</f>
        <v>7.8724137931034486</v>
      </c>
      <c r="QN61" s="354"/>
      <c r="QO61" s="355">
        <f>QO69+QO67</f>
        <v>7.0724137931034488</v>
      </c>
      <c r="QP61" s="354"/>
      <c r="QQ61" s="355">
        <f>QQ69+QQ67</f>
        <v>7.0724137931034488</v>
      </c>
    </row>
    <row r="62" spans="1:459" x14ac:dyDescent="0.45">
      <c r="A62" s="871"/>
      <c r="B62" s="180"/>
      <c r="C62" s="181"/>
      <c r="D62" s="182"/>
      <c r="E62" s="177"/>
      <c r="F62" s="285"/>
      <c r="G62" s="357"/>
      <c r="H62" s="285"/>
      <c r="I62" s="357"/>
      <c r="J62" s="285"/>
      <c r="K62" s="357"/>
      <c r="L62" s="285"/>
      <c r="M62" s="357"/>
      <c r="N62" s="285"/>
      <c r="O62" s="357"/>
      <c r="P62" s="285"/>
      <c r="Q62" s="357"/>
      <c r="R62" s="285"/>
      <c r="S62" s="357"/>
      <c r="T62" s="285"/>
      <c r="U62" s="357"/>
      <c r="V62" s="285"/>
      <c r="W62" s="357"/>
      <c r="X62" s="285"/>
      <c r="Y62" s="357"/>
      <c r="Z62" s="285"/>
      <c r="AA62" s="357"/>
      <c r="AB62" s="285"/>
      <c r="AC62" s="357"/>
      <c r="AD62" s="285"/>
      <c r="AE62" s="357"/>
      <c r="AF62" s="285"/>
      <c r="AG62" s="357"/>
      <c r="AH62" s="285"/>
      <c r="AI62" s="357"/>
      <c r="AJ62" s="285"/>
      <c r="AK62" s="357"/>
      <c r="AL62" s="285"/>
      <c r="AM62" s="357"/>
      <c r="AN62" s="285"/>
      <c r="AO62" s="357"/>
      <c r="AP62" s="285"/>
      <c r="AQ62" s="357"/>
      <c r="AR62" s="285"/>
      <c r="AS62" s="357"/>
      <c r="AT62" s="285"/>
      <c r="AU62" s="357"/>
      <c r="AV62" s="285"/>
      <c r="AW62" s="357"/>
      <c r="AX62" s="285"/>
      <c r="AY62" s="357"/>
      <c r="AZ62" s="285"/>
      <c r="BA62" s="357"/>
      <c r="BB62" s="285"/>
      <c r="BC62" s="357"/>
      <c r="BD62" s="285"/>
      <c r="BE62" s="357"/>
      <c r="BF62" s="285"/>
      <c r="BG62" s="357"/>
      <c r="BH62" s="285"/>
      <c r="BI62" s="357"/>
      <c r="BJ62" s="285"/>
      <c r="BK62" s="357"/>
      <c r="BL62" s="285"/>
      <c r="BM62" s="357"/>
      <c r="BN62" s="285"/>
      <c r="BO62" s="357"/>
      <c r="BP62" s="285"/>
      <c r="BQ62" s="357"/>
      <c r="BR62" s="285"/>
      <c r="BS62" s="357"/>
      <c r="BT62" s="285"/>
      <c r="BU62" s="357"/>
      <c r="BV62" s="285"/>
      <c r="BW62" s="357"/>
      <c r="BX62" s="285"/>
      <c r="BY62" s="357"/>
      <c r="BZ62" s="285"/>
      <c r="CA62" s="357"/>
      <c r="CB62" s="285"/>
      <c r="CC62" s="357"/>
      <c r="CD62" s="285"/>
      <c r="CE62" s="357"/>
      <c r="CF62" s="285"/>
      <c r="CG62" s="357"/>
      <c r="CH62" s="285"/>
      <c r="CI62" s="357"/>
      <c r="CJ62" s="285"/>
      <c r="CK62" s="357"/>
      <c r="CL62" s="285"/>
      <c r="CM62" s="357"/>
      <c r="CN62" s="285"/>
      <c r="CO62" s="357"/>
      <c r="CP62" s="285"/>
      <c r="CQ62" s="357"/>
      <c r="CR62" s="285"/>
      <c r="CS62" s="357"/>
      <c r="CT62" s="136"/>
      <c r="CU62" s="285"/>
      <c r="CV62" s="357"/>
      <c r="CW62" s="285"/>
      <c r="CX62" s="357"/>
      <c r="CY62" s="285"/>
      <c r="CZ62" s="357"/>
      <c r="DA62" s="285"/>
      <c r="DB62" s="357"/>
      <c r="DC62" s="285"/>
      <c r="DD62" s="357"/>
      <c r="DE62" s="285"/>
      <c r="DF62" s="357"/>
      <c r="DG62" s="285"/>
      <c r="DH62" s="357"/>
      <c r="DI62" s="285"/>
      <c r="DJ62" s="357"/>
      <c r="DK62" s="285"/>
      <c r="DL62" s="357"/>
      <c r="DM62" s="285"/>
      <c r="DN62" s="357"/>
      <c r="DO62" s="285"/>
      <c r="DP62" s="357"/>
      <c r="DQ62" s="285"/>
      <c r="DR62" s="357"/>
      <c r="DS62" s="285"/>
      <c r="DT62" s="357"/>
      <c r="DU62" s="285"/>
      <c r="DV62" s="357"/>
      <c r="DW62" s="285"/>
      <c r="DX62" s="357"/>
      <c r="DY62" s="285"/>
      <c r="DZ62" s="357"/>
      <c r="EA62" s="285"/>
      <c r="EB62" s="357"/>
      <c r="EC62" s="285"/>
      <c r="ED62" s="357"/>
      <c r="EE62" s="285"/>
      <c r="EF62" s="357"/>
      <c r="EG62" s="285"/>
      <c r="EH62" s="357"/>
      <c r="EI62" s="285"/>
      <c r="EJ62" s="357"/>
      <c r="EK62" s="285"/>
      <c r="EL62" s="357"/>
      <c r="EM62" s="285"/>
      <c r="EN62" s="357"/>
      <c r="EO62" s="285"/>
      <c r="EP62" s="357"/>
      <c r="EQ62" s="285"/>
      <c r="ER62" s="357"/>
      <c r="ES62" s="285"/>
      <c r="ET62" s="357"/>
      <c r="EU62" s="285"/>
      <c r="EV62" s="357"/>
      <c r="EW62" s="285"/>
      <c r="EX62" s="357"/>
      <c r="EY62" s="285"/>
      <c r="EZ62" s="357"/>
      <c r="FA62" s="285"/>
      <c r="FB62" s="357"/>
      <c r="FC62" s="285"/>
      <c r="FD62" s="357"/>
      <c r="FE62" s="285"/>
      <c r="FF62" s="357"/>
      <c r="FG62" s="285"/>
      <c r="FH62" s="357"/>
      <c r="FI62" s="285"/>
      <c r="FJ62" s="357"/>
      <c r="FK62" s="285"/>
      <c r="FL62" s="357"/>
      <c r="FM62" s="285"/>
      <c r="FN62" s="357"/>
      <c r="FO62" s="285"/>
      <c r="FP62" s="357"/>
      <c r="FQ62" s="177"/>
      <c r="FR62" s="285"/>
      <c r="FS62" s="357"/>
      <c r="FT62" s="285"/>
      <c r="FU62" s="357"/>
      <c r="FV62" s="285"/>
      <c r="FW62" s="357"/>
      <c r="FX62" s="285"/>
      <c r="FY62" s="357"/>
      <c r="FZ62" s="285"/>
      <c r="GA62" s="357"/>
      <c r="GB62" s="285"/>
      <c r="GC62" s="357"/>
      <c r="GD62" s="285"/>
      <c r="GE62" s="357"/>
      <c r="GF62" s="285"/>
      <c r="GG62" s="357"/>
      <c r="GH62" s="285"/>
      <c r="GI62" s="357"/>
      <c r="GJ62" s="285"/>
      <c r="GK62" s="357"/>
      <c r="GL62" s="285"/>
      <c r="GM62" s="357"/>
      <c r="GN62" s="285"/>
      <c r="GO62" s="357"/>
      <c r="GP62" s="285"/>
      <c r="GQ62" s="357"/>
      <c r="GR62" s="285"/>
      <c r="GS62" s="357"/>
      <c r="GT62" s="285"/>
      <c r="GU62" s="357"/>
      <c r="GV62" s="285"/>
      <c r="GW62" s="357"/>
      <c r="GX62" s="285"/>
      <c r="GY62" s="357"/>
      <c r="GZ62" s="285"/>
      <c r="HA62" s="357"/>
      <c r="HB62" s="285"/>
      <c r="HC62" s="357"/>
      <c r="HD62" s="285"/>
      <c r="HE62" s="357"/>
      <c r="HF62" s="285"/>
      <c r="HG62" s="357"/>
      <c r="HH62" s="285"/>
      <c r="HI62" s="357"/>
      <c r="HJ62" s="285"/>
      <c r="HK62" s="357"/>
      <c r="HL62" s="285"/>
      <c r="HM62" s="357"/>
      <c r="HN62" s="285"/>
      <c r="HO62" s="357"/>
      <c r="HP62" s="285"/>
      <c r="HQ62" s="357"/>
      <c r="HR62" s="285"/>
      <c r="HS62" s="357"/>
      <c r="HT62" s="285"/>
      <c r="HU62" s="357"/>
      <c r="HV62" s="285"/>
      <c r="HW62" s="357"/>
      <c r="HX62" s="285"/>
      <c r="HY62" s="357"/>
      <c r="HZ62" s="285"/>
      <c r="IA62" s="357"/>
      <c r="IB62" s="285"/>
      <c r="IC62" s="357"/>
      <c r="ID62" s="285"/>
      <c r="IE62" s="357"/>
      <c r="IF62" s="285"/>
      <c r="IG62" s="357"/>
      <c r="IH62" s="285"/>
      <c r="II62" s="357"/>
      <c r="IJ62" s="285"/>
      <c r="IK62" s="357"/>
      <c r="IL62" s="285"/>
      <c r="IM62" s="357"/>
      <c r="IN62" s="285"/>
      <c r="IO62" s="357"/>
      <c r="IP62" s="285"/>
      <c r="IQ62" s="357"/>
      <c r="IR62" s="285"/>
      <c r="IS62" s="357"/>
      <c r="IT62" s="285"/>
      <c r="IU62" s="357"/>
      <c r="IV62" s="285"/>
      <c r="IW62" s="357"/>
      <c r="IX62" s="285"/>
      <c r="IY62" s="357"/>
      <c r="IZ62" s="177"/>
      <c r="JA62" s="285"/>
      <c r="JB62" s="357"/>
      <c r="JC62" s="285"/>
      <c r="JD62" s="357"/>
      <c r="JE62" s="177"/>
      <c r="JF62" s="285"/>
      <c r="JG62" s="357"/>
      <c r="JH62" s="285"/>
      <c r="JI62" s="357"/>
      <c r="JJ62" s="285"/>
      <c r="JK62" s="357"/>
      <c r="JL62" s="285"/>
      <c r="JM62" s="357"/>
      <c r="JN62" s="285"/>
      <c r="JO62" s="357"/>
      <c r="JP62" s="285"/>
      <c r="JQ62" s="357"/>
      <c r="JR62" s="285"/>
      <c r="JS62" s="357"/>
      <c r="JT62" s="285"/>
      <c r="JU62" s="357"/>
      <c r="JV62" s="285"/>
      <c r="JW62" s="357"/>
      <c r="JX62" s="285"/>
      <c r="JY62" s="357"/>
      <c r="JZ62" s="285"/>
      <c r="KA62" s="357"/>
      <c r="KB62" s="285"/>
      <c r="KC62" s="357"/>
      <c r="KD62" s="285"/>
      <c r="KE62" s="357"/>
      <c r="KF62" s="285"/>
      <c r="KG62" s="357"/>
      <c r="KH62" s="285"/>
      <c r="KI62" s="357"/>
      <c r="KJ62" s="285"/>
      <c r="KK62" s="357"/>
      <c r="KL62" s="285"/>
      <c r="KM62" s="357"/>
      <c r="KN62" s="285"/>
      <c r="KO62" s="357"/>
      <c r="KP62" s="285"/>
      <c r="KQ62" s="357"/>
      <c r="KR62" s="285"/>
      <c r="KS62" s="357"/>
      <c r="KT62" s="285"/>
      <c r="KU62" s="357"/>
      <c r="KV62" s="285"/>
      <c r="KW62" s="357"/>
      <c r="KX62" s="285"/>
      <c r="KY62" s="357"/>
      <c r="KZ62" s="285"/>
      <c r="LA62" s="357"/>
      <c r="LB62" s="285"/>
      <c r="LC62" s="357"/>
      <c r="LD62" s="285"/>
      <c r="LE62" s="357"/>
      <c r="LF62" s="285"/>
      <c r="LG62" s="357"/>
      <c r="LH62" s="285"/>
      <c r="LI62" s="357"/>
      <c r="LJ62" s="285"/>
      <c r="LK62" s="357"/>
      <c r="LL62" s="285"/>
      <c r="LM62" s="357"/>
      <c r="LN62" s="285"/>
      <c r="LO62" s="357"/>
      <c r="LP62" s="285"/>
      <c r="LQ62" s="357"/>
      <c r="LR62" s="285"/>
      <c r="LS62" s="357"/>
      <c r="LT62" s="285"/>
      <c r="LU62" s="357"/>
      <c r="LV62" s="285"/>
      <c r="LW62" s="357"/>
      <c r="LX62" s="285"/>
      <c r="LY62" s="357"/>
      <c r="LZ62" s="285"/>
      <c r="MA62" s="357"/>
      <c r="MB62" s="285"/>
      <c r="MC62" s="357"/>
      <c r="MD62" s="285"/>
      <c r="ME62" s="357"/>
      <c r="MF62" s="285"/>
      <c r="MG62" s="357"/>
      <c r="MH62" s="177"/>
      <c r="MI62" s="285"/>
      <c r="MJ62" s="357"/>
      <c r="MK62" s="285"/>
      <c r="ML62" s="357"/>
      <c r="MM62" s="285"/>
      <c r="MN62" s="357"/>
      <c r="MO62" s="285"/>
      <c r="MP62" s="357"/>
      <c r="MQ62" s="285"/>
      <c r="MR62" s="357"/>
      <c r="MS62" s="285"/>
      <c r="MT62" s="357"/>
      <c r="MU62" s="285"/>
      <c r="MV62" s="357"/>
      <c r="MW62" s="285"/>
      <c r="MX62" s="357"/>
      <c r="MY62" s="285"/>
      <c r="MZ62" s="357"/>
      <c r="NA62" s="285"/>
      <c r="NB62" s="357"/>
      <c r="NC62" s="285"/>
      <c r="ND62" s="357"/>
      <c r="NE62" s="285"/>
      <c r="NF62" s="357"/>
      <c r="NG62" s="285"/>
      <c r="NH62" s="357"/>
      <c r="NI62" s="285"/>
      <c r="NJ62" s="357"/>
      <c r="NK62" s="285"/>
      <c r="NL62" s="357"/>
      <c r="NM62" s="285"/>
      <c r="NN62" s="357"/>
      <c r="NO62" s="285"/>
      <c r="NP62" s="357"/>
      <c r="NQ62" s="285"/>
      <c r="NR62" s="357"/>
      <c r="NS62" s="285"/>
      <c r="NT62" s="357"/>
      <c r="NU62" s="285"/>
      <c r="NV62" s="357"/>
      <c r="NW62" s="285"/>
      <c r="NX62" s="357"/>
      <c r="NY62" s="285"/>
      <c r="NZ62" s="357"/>
      <c r="OA62" s="285"/>
      <c r="OB62" s="357"/>
      <c r="OC62" s="285"/>
      <c r="OD62" s="357"/>
      <c r="OE62" s="285"/>
      <c r="OF62" s="357"/>
      <c r="OG62" s="285"/>
      <c r="OH62" s="357"/>
      <c r="OI62" s="285"/>
      <c r="OJ62" s="357"/>
      <c r="OK62" s="285"/>
      <c r="OL62" s="357"/>
      <c r="OM62" s="285"/>
      <c r="ON62" s="357"/>
      <c r="OO62" s="285"/>
      <c r="OP62" s="357"/>
      <c r="OQ62" s="285"/>
      <c r="OR62" s="357"/>
      <c r="OS62" s="285"/>
      <c r="OT62" s="357"/>
      <c r="OU62" s="285"/>
      <c r="OV62" s="357"/>
      <c r="OW62" s="285"/>
      <c r="OX62" s="357"/>
      <c r="OY62" s="285"/>
      <c r="OZ62" s="357"/>
      <c r="PA62" s="285"/>
      <c r="PB62" s="357"/>
      <c r="PC62" s="285"/>
      <c r="PD62" s="357"/>
      <c r="PE62" s="285"/>
      <c r="PF62" s="357"/>
      <c r="PG62" s="285"/>
      <c r="PH62" s="357"/>
      <c r="PI62" s="285"/>
      <c r="PJ62" s="357"/>
      <c r="PK62" s="285"/>
      <c r="PL62" s="357"/>
      <c r="PM62" s="285"/>
      <c r="PN62" s="357"/>
      <c r="PO62" s="285"/>
      <c r="PP62" s="357"/>
      <c r="PR62" s="285"/>
      <c r="PS62" s="357"/>
      <c r="PT62" s="285"/>
      <c r="PU62" s="357"/>
      <c r="PV62" s="285"/>
      <c r="PW62" s="357"/>
      <c r="PX62" s="285"/>
      <c r="PY62" s="357"/>
      <c r="PZ62" s="285"/>
      <c r="QA62" s="357"/>
      <c r="QB62" s="285"/>
      <c r="QC62" s="357"/>
      <c r="QF62" s="285"/>
      <c r="QG62" s="357"/>
      <c r="QH62" s="285"/>
      <c r="QI62" s="357"/>
      <c r="QJ62" s="285"/>
      <c r="QK62" s="357"/>
      <c r="QL62" s="285"/>
      <c r="QM62" s="357"/>
      <c r="QN62" s="285"/>
      <c r="QO62" s="357"/>
      <c r="QP62" s="285"/>
      <c r="QQ62" s="357"/>
    </row>
    <row r="63" spans="1:459" x14ac:dyDescent="0.45">
      <c r="A63" s="871"/>
      <c r="B63" s="358" t="s">
        <v>368</v>
      </c>
      <c r="C63" s="359"/>
      <c r="D63" s="182"/>
      <c r="E63" s="177"/>
      <c r="F63" s="285"/>
      <c r="G63" s="357"/>
      <c r="H63" s="285"/>
      <c r="I63" s="357"/>
      <c r="J63" s="285"/>
      <c r="K63" s="357"/>
      <c r="L63" s="285"/>
      <c r="M63" s="357"/>
      <c r="N63" s="285"/>
      <c r="O63" s="357"/>
      <c r="P63" s="285"/>
      <c r="Q63" s="357"/>
      <c r="R63" s="285"/>
      <c r="S63" s="357"/>
      <c r="T63" s="285"/>
      <c r="U63" s="357"/>
      <c r="V63" s="285"/>
      <c r="W63" s="357"/>
      <c r="X63" s="285"/>
      <c r="Y63" s="357"/>
      <c r="Z63" s="285"/>
      <c r="AA63" s="357"/>
      <c r="AB63" s="285"/>
      <c r="AC63" s="357"/>
      <c r="AD63" s="285"/>
      <c r="AE63" s="357"/>
      <c r="AF63" s="285"/>
      <c r="AG63" s="357"/>
      <c r="AH63" s="285"/>
      <c r="AI63" s="357"/>
      <c r="AJ63" s="285"/>
      <c r="AK63" s="357"/>
      <c r="AL63" s="285"/>
      <c r="AM63" s="357"/>
      <c r="AN63" s="285"/>
      <c r="AO63" s="357"/>
      <c r="AP63" s="285"/>
      <c r="AQ63" s="357"/>
      <c r="AR63" s="285"/>
      <c r="AS63" s="357"/>
      <c r="AT63" s="285"/>
      <c r="AU63" s="357"/>
      <c r="AV63" s="285"/>
      <c r="AW63" s="357"/>
      <c r="AX63" s="285"/>
      <c r="AY63" s="357"/>
      <c r="AZ63" s="285"/>
      <c r="BA63" s="357"/>
      <c r="BB63" s="285"/>
      <c r="BC63" s="357"/>
      <c r="BD63" s="285"/>
      <c r="BE63" s="357"/>
      <c r="BF63" s="285"/>
      <c r="BG63" s="357"/>
      <c r="BH63" s="285"/>
      <c r="BI63" s="357"/>
      <c r="BJ63" s="285"/>
      <c r="BK63" s="357"/>
      <c r="BL63" s="285"/>
      <c r="BM63" s="357"/>
      <c r="BN63" s="285"/>
      <c r="BO63" s="357"/>
      <c r="BP63" s="285"/>
      <c r="BQ63" s="357"/>
      <c r="BR63" s="285"/>
      <c r="BS63" s="357"/>
      <c r="BT63" s="285"/>
      <c r="BU63" s="357"/>
      <c r="BV63" s="285"/>
      <c r="BW63" s="357"/>
      <c r="BX63" s="285"/>
      <c r="BY63" s="357"/>
      <c r="BZ63" s="285"/>
      <c r="CA63" s="357"/>
      <c r="CB63" s="285"/>
      <c r="CC63" s="357"/>
      <c r="CD63" s="285"/>
      <c r="CE63" s="357"/>
      <c r="CF63" s="285"/>
      <c r="CG63" s="357"/>
      <c r="CH63" s="285"/>
      <c r="CI63" s="357"/>
      <c r="CJ63" s="285"/>
      <c r="CK63" s="357"/>
      <c r="CL63" s="285"/>
      <c r="CM63" s="357"/>
      <c r="CN63" s="285"/>
      <c r="CO63" s="357"/>
      <c r="CP63" s="285"/>
      <c r="CQ63" s="357"/>
      <c r="CR63" s="285"/>
      <c r="CS63" s="357"/>
      <c r="CT63" s="136"/>
      <c r="CU63" s="285"/>
      <c r="CV63" s="357"/>
      <c r="CW63" s="285"/>
      <c r="CX63" s="357"/>
      <c r="CY63" s="285"/>
      <c r="CZ63" s="357"/>
      <c r="DA63" s="285"/>
      <c r="DB63" s="357"/>
      <c r="DC63" s="285"/>
      <c r="DD63" s="357"/>
      <c r="DE63" s="285"/>
      <c r="DF63" s="357"/>
      <c r="DG63" s="285"/>
      <c r="DH63" s="357"/>
      <c r="DI63" s="285"/>
      <c r="DJ63" s="357"/>
      <c r="DK63" s="285"/>
      <c r="DL63" s="357"/>
      <c r="DM63" s="285"/>
      <c r="DN63" s="357"/>
      <c r="DO63" s="285"/>
      <c r="DP63" s="357"/>
      <c r="DQ63" s="285"/>
      <c r="DR63" s="357"/>
      <c r="DS63" s="285"/>
      <c r="DT63" s="357"/>
      <c r="DU63" s="285"/>
      <c r="DV63" s="357"/>
      <c r="DW63" s="285"/>
      <c r="DX63" s="357"/>
      <c r="DY63" s="285"/>
      <c r="DZ63" s="357"/>
      <c r="EA63" s="285"/>
      <c r="EB63" s="357"/>
      <c r="EC63" s="285"/>
      <c r="ED63" s="357"/>
      <c r="EE63" s="285"/>
      <c r="EF63" s="357"/>
      <c r="EG63" s="285"/>
      <c r="EH63" s="357"/>
      <c r="EI63" s="285"/>
      <c r="EJ63" s="357"/>
      <c r="EK63" s="285"/>
      <c r="EL63" s="357"/>
      <c r="EM63" s="285"/>
      <c r="EN63" s="357"/>
      <c r="EO63" s="285"/>
      <c r="EP63" s="357"/>
      <c r="EQ63" s="285"/>
      <c r="ER63" s="357"/>
      <c r="ES63" s="285"/>
      <c r="ET63" s="357"/>
      <c r="EU63" s="285"/>
      <c r="EV63" s="357"/>
      <c r="EW63" s="285"/>
      <c r="EX63" s="357"/>
      <c r="EY63" s="285"/>
      <c r="EZ63" s="357"/>
      <c r="FA63" s="285"/>
      <c r="FB63" s="357"/>
      <c r="FC63" s="285"/>
      <c r="FD63" s="357"/>
      <c r="FE63" s="285"/>
      <c r="FF63" s="357"/>
      <c r="FG63" s="285"/>
      <c r="FH63" s="357"/>
      <c r="FI63" s="285"/>
      <c r="FJ63" s="357"/>
      <c r="FK63" s="285"/>
      <c r="FL63" s="357"/>
      <c r="FM63" s="285"/>
      <c r="FN63" s="357"/>
      <c r="FO63" s="285"/>
      <c r="FP63" s="357"/>
      <c r="FQ63" s="177"/>
      <c r="FR63" s="285"/>
      <c r="FS63" s="357"/>
      <c r="FT63" s="285"/>
      <c r="FU63" s="357"/>
      <c r="FV63" s="285"/>
      <c r="FW63" s="357"/>
      <c r="FX63" s="285"/>
      <c r="FY63" s="357"/>
      <c r="FZ63" s="285"/>
      <c r="GA63" s="357"/>
      <c r="GB63" s="285"/>
      <c r="GC63" s="357"/>
      <c r="GD63" s="285"/>
      <c r="GE63" s="357"/>
      <c r="GF63" s="285"/>
      <c r="GG63" s="357"/>
      <c r="GH63" s="285"/>
      <c r="GI63" s="357"/>
      <c r="GJ63" s="285"/>
      <c r="GK63" s="357"/>
      <c r="GL63" s="285"/>
      <c r="GM63" s="357"/>
      <c r="GN63" s="285"/>
      <c r="GO63" s="357"/>
      <c r="GP63" s="285"/>
      <c r="GQ63" s="357"/>
      <c r="GR63" s="285"/>
      <c r="GS63" s="357"/>
      <c r="GT63" s="285"/>
      <c r="GU63" s="357"/>
      <c r="GV63" s="285"/>
      <c r="GW63" s="357"/>
      <c r="GX63" s="285"/>
      <c r="GY63" s="357"/>
      <c r="GZ63" s="285"/>
      <c r="HA63" s="357"/>
      <c r="HB63" s="285"/>
      <c r="HC63" s="357"/>
      <c r="HD63" s="285"/>
      <c r="HE63" s="357"/>
      <c r="HF63" s="285"/>
      <c r="HG63" s="357"/>
      <c r="HH63" s="285"/>
      <c r="HI63" s="357"/>
      <c r="HJ63" s="285"/>
      <c r="HK63" s="357"/>
      <c r="HL63" s="285"/>
      <c r="HM63" s="357"/>
      <c r="HN63" s="285"/>
      <c r="HO63" s="357"/>
      <c r="HP63" s="285"/>
      <c r="HQ63" s="357"/>
      <c r="HR63" s="285"/>
      <c r="HS63" s="357"/>
      <c r="HT63" s="285"/>
      <c r="HU63" s="357"/>
      <c r="HV63" s="285"/>
      <c r="HW63" s="357"/>
      <c r="HX63" s="285"/>
      <c r="HY63" s="357"/>
      <c r="HZ63" s="285"/>
      <c r="IA63" s="357"/>
      <c r="IB63" s="285"/>
      <c r="IC63" s="357"/>
      <c r="ID63" s="285"/>
      <c r="IE63" s="357"/>
      <c r="IF63" s="285"/>
      <c r="IG63" s="357"/>
      <c r="IH63" s="285"/>
      <c r="II63" s="357"/>
      <c r="IJ63" s="285"/>
      <c r="IK63" s="357"/>
      <c r="IL63" s="285"/>
      <c r="IM63" s="357"/>
      <c r="IN63" s="285"/>
      <c r="IO63" s="357"/>
      <c r="IP63" s="285"/>
      <c r="IQ63" s="357"/>
      <c r="IR63" s="285"/>
      <c r="IS63" s="357"/>
      <c r="IT63" s="285"/>
      <c r="IU63" s="357"/>
      <c r="IV63" s="285"/>
      <c r="IW63" s="357"/>
      <c r="IX63" s="285"/>
      <c r="IY63" s="357"/>
      <c r="IZ63" s="177"/>
      <c r="JA63" s="285"/>
      <c r="JB63" s="357"/>
      <c r="JC63" s="285"/>
      <c r="JD63" s="357"/>
      <c r="JE63" s="177"/>
      <c r="JF63" s="285"/>
      <c r="JG63" s="357"/>
      <c r="JH63" s="285"/>
      <c r="JI63" s="357"/>
      <c r="JJ63" s="285"/>
      <c r="JK63" s="357"/>
      <c r="JL63" s="285"/>
      <c r="JM63" s="357"/>
      <c r="JN63" s="285"/>
      <c r="JO63" s="357"/>
      <c r="JP63" s="285"/>
      <c r="JQ63" s="357"/>
      <c r="JR63" s="285"/>
      <c r="JS63" s="357"/>
      <c r="JT63" s="285"/>
      <c r="JU63" s="357"/>
      <c r="JV63" s="285"/>
      <c r="JW63" s="357"/>
      <c r="JX63" s="285"/>
      <c r="JY63" s="357"/>
      <c r="JZ63" s="285"/>
      <c r="KA63" s="357"/>
      <c r="KB63" s="285"/>
      <c r="KC63" s="357"/>
      <c r="KD63" s="285"/>
      <c r="KE63" s="357"/>
      <c r="KF63" s="285"/>
      <c r="KG63" s="357"/>
      <c r="KH63" s="285"/>
      <c r="KI63" s="357"/>
      <c r="KJ63" s="285"/>
      <c r="KK63" s="357"/>
      <c r="KL63" s="285"/>
      <c r="KM63" s="357"/>
      <c r="KN63" s="285"/>
      <c r="KO63" s="357"/>
      <c r="KP63" s="285"/>
      <c r="KQ63" s="357"/>
      <c r="KR63" s="285"/>
      <c r="KS63" s="357"/>
      <c r="KT63" s="285"/>
      <c r="KU63" s="357"/>
      <c r="KV63" s="285"/>
      <c r="KW63" s="357"/>
      <c r="KX63" s="285"/>
      <c r="KY63" s="357"/>
      <c r="KZ63" s="285"/>
      <c r="LA63" s="357"/>
      <c r="LB63" s="285"/>
      <c r="LC63" s="357"/>
      <c r="LD63" s="285"/>
      <c r="LE63" s="357"/>
      <c r="LF63" s="285"/>
      <c r="LG63" s="357"/>
      <c r="LH63" s="285"/>
      <c r="LI63" s="357"/>
      <c r="LJ63" s="285"/>
      <c r="LK63" s="357"/>
      <c r="LL63" s="285"/>
      <c r="LM63" s="357"/>
      <c r="LN63" s="285"/>
      <c r="LO63" s="357"/>
      <c r="LP63" s="285"/>
      <c r="LQ63" s="357"/>
      <c r="LR63" s="285"/>
      <c r="LS63" s="357"/>
      <c r="LT63" s="285"/>
      <c r="LU63" s="357"/>
      <c r="LV63" s="285"/>
      <c r="LW63" s="357"/>
      <c r="LX63" s="285"/>
      <c r="LY63" s="357"/>
      <c r="LZ63" s="285"/>
      <c r="MA63" s="357"/>
      <c r="MB63" s="285"/>
      <c r="MC63" s="357"/>
      <c r="MD63" s="285"/>
      <c r="ME63" s="357"/>
      <c r="MF63" s="285"/>
      <c r="MG63" s="357"/>
      <c r="MH63" s="177"/>
      <c r="MI63" s="285"/>
      <c r="MJ63" s="357"/>
      <c r="MK63" s="285"/>
      <c r="ML63" s="357"/>
      <c r="MM63" s="285"/>
      <c r="MN63" s="357"/>
      <c r="MO63" s="285"/>
      <c r="MP63" s="357"/>
      <c r="MQ63" s="285"/>
      <c r="MR63" s="357"/>
      <c r="MS63" s="285"/>
      <c r="MT63" s="357"/>
      <c r="MU63" s="285"/>
      <c r="MV63" s="357"/>
      <c r="MW63" s="285"/>
      <c r="MX63" s="357"/>
      <c r="MY63" s="285"/>
      <c r="MZ63" s="357"/>
      <c r="NA63" s="285"/>
      <c r="NB63" s="357"/>
      <c r="NC63" s="285"/>
      <c r="ND63" s="357"/>
      <c r="NE63" s="285"/>
      <c r="NF63" s="357"/>
      <c r="NG63" s="285"/>
      <c r="NH63" s="357"/>
      <c r="NI63" s="285"/>
      <c r="NJ63" s="357"/>
      <c r="NK63" s="285"/>
      <c r="NL63" s="357"/>
      <c r="NM63" s="285"/>
      <c r="NN63" s="357"/>
      <c r="NO63" s="285"/>
      <c r="NP63" s="357"/>
      <c r="NQ63" s="285"/>
      <c r="NR63" s="357"/>
      <c r="NS63" s="285"/>
      <c r="NT63" s="357"/>
      <c r="NU63" s="285"/>
      <c r="NV63" s="357"/>
      <c r="NW63" s="285"/>
      <c r="NX63" s="357"/>
      <c r="NY63" s="285"/>
      <c r="NZ63" s="357"/>
      <c r="OA63" s="285"/>
      <c r="OB63" s="357"/>
      <c r="OC63" s="285"/>
      <c r="OD63" s="357"/>
      <c r="OE63" s="285"/>
      <c r="OF63" s="357"/>
      <c r="OG63" s="285"/>
      <c r="OH63" s="357"/>
      <c r="OI63" s="285"/>
      <c r="OJ63" s="357"/>
      <c r="OK63" s="285"/>
      <c r="OL63" s="357"/>
      <c r="OM63" s="285"/>
      <c r="ON63" s="357"/>
      <c r="OO63" s="285"/>
      <c r="OP63" s="357"/>
      <c r="OQ63" s="285"/>
      <c r="OR63" s="357"/>
      <c r="OS63" s="285"/>
      <c r="OT63" s="357"/>
      <c r="OU63" s="285"/>
      <c r="OV63" s="357"/>
      <c r="OW63" s="285"/>
      <c r="OX63" s="357"/>
      <c r="OY63" s="285"/>
      <c r="OZ63" s="357"/>
      <c r="PA63" s="285"/>
      <c r="PB63" s="357"/>
      <c r="PC63" s="285"/>
      <c r="PD63" s="357"/>
      <c r="PE63" s="285"/>
      <c r="PF63" s="357"/>
      <c r="PG63" s="285"/>
      <c r="PH63" s="357"/>
      <c r="PI63" s="285"/>
      <c r="PJ63" s="357"/>
      <c r="PK63" s="285"/>
      <c r="PL63" s="357"/>
      <c r="PM63" s="285"/>
      <c r="PN63" s="357"/>
      <c r="PO63" s="285"/>
      <c r="PP63" s="357"/>
      <c r="PR63" s="285"/>
      <c r="PS63" s="357"/>
      <c r="PT63" s="285"/>
      <c r="PU63" s="357"/>
      <c r="PV63" s="285"/>
      <c r="PW63" s="357"/>
      <c r="PX63" s="285"/>
      <c r="PY63" s="357"/>
      <c r="PZ63" s="285"/>
      <c r="QA63" s="357"/>
      <c r="QB63" s="285"/>
      <c r="QC63" s="357"/>
      <c r="QF63" s="285"/>
      <c r="QG63" s="357"/>
      <c r="QH63" s="285"/>
      <c r="QI63" s="357"/>
      <c r="QJ63" s="285"/>
      <c r="QK63" s="357"/>
      <c r="QL63" s="285"/>
      <c r="QM63" s="357"/>
      <c r="QN63" s="285"/>
      <c r="QO63" s="357"/>
      <c r="QP63" s="285"/>
      <c r="QQ63" s="357"/>
    </row>
    <row r="64" spans="1:459" x14ac:dyDescent="0.45">
      <c r="A64" s="871"/>
      <c r="B64" s="272" t="s">
        <v>203</v>
      </c>
      <c r="C64" s="360"/>
      <c r="D64" s="361" t="s">
        <v>361</v>
      </c>
      <c r="E64" s="362"/>
      <c r="F64" s="363"/>
      <c r="G64" s="364">
        <f>0.0425/100*G55</f>
        <v>2.0400000000000006E-3</v>
      </c>
      <c r="H64" s="363"/>
      <c r="I64" s="364">
        <f>0.0425/100*I55</f>
        <v>2.0400000000000006E-3</v>
      </c>
      <c r="J64" s="363"/>
      <c r="K64" s="364">
        <f>0.0425/100*K55</f>
        <v>2.5287500000000002E-3</v>
      </c>
      <c r="L64" s="363"/>
      <c r="M64" s="364">
        <f>0.0425/100*M55</f>
        <v>2.5287500000000002E-3</v>
      </c>
      <c r="N64" s="363"/>
      <c r="O64" s="364">
        <f>0.0425/100*O55</f>
        <v>2.6775000000000006E-3</v>
      </c>
      <c r="P64" s="363"/>
      <c r="Q64" s="364">
        <f>0.0425/100*Q55</f>
        <v>2.8050000000000006E-3</v>
      </c>
      <c r="R64" s="363"/>
      <c r="S64" s="364">
        <f>0.1/100*S55</f>
        <v>6.6000000000000008E-3</v>
      </c>
      <c r="T64" s="363"/>
      <c r="U64" s="364">
        <f>0.1/100*U55</f>
        <v>7.0000000000000001E-3</v>
      </c>
      <c r="V64" s="363"/>
      <c r="W64" s="364">
        <f>0.1/100*W55</f>
        <v>7.0000000000000001E-3</v>
      </c>
      <c r="X64" s="363"/>
      <c r="Y64" s="364">
        <f>0.1/100*Y55</f>
        <v>6.9500000000000004E-3</v>
      </c>
      <c r="Z64" s="363"/>
      <c r="AA64" s="364">
        <f>0.0425/100*AA55</f>
        <v>2.9537500000000002E-3</v>
      </c>
      <c r="AB64" s="363"/>
      <c r="AC64" s="364">
        <f>0.0425/100*AC55</f>
        <v>2.9537500000000002E-3</v>
      </c>
      <c r="AD64" s="363"/>
      <c r="AE64" s="364">
        <f>0.0425/100*AE55</f>
        <v>3.1875000000000002E-3</v>
      </c>
      <c r="AF64" s="363"/>
      <c r="AG64" s="364">
        <f>0.0425/100*AG55</f>
        <v>3.1875000000000002E-3</v>
      </c>
      <c r="AH64" s="363"/>
      <c r="AI64" s="364">
        <f>0.0425/100*AI55</f>
        <v>3.1875000000000002E-3</v>
      </c>
      <c r="AJ64" s="363"/>
      <c r="AK64" s="364">
        <f>0.0425/100*AK55</f>
        <v>3.1875000000000002E-3</v>
      </c>
      <c r="AL64" s="363"/>
      <c r="AM64" s="364">
        <f>0.0425/100*AM55</f>
        <v>3.1875000000000002E-3</v>
      </c>
      <c r="AN64" s="363"/>
      <c r="AO64" s="364">
        <f>0.0425/100*AO55</f>
        <v>3.1875000000000002E-3</v>
      </c>
      <c r="AP64" s="363"/>
      <c r="AQ64" s="364">
        <f>0.0425/100*AQ55</f>
        <v>3.1875000000000002E-3</v>
      </c>
      <c r="AR64" s="363"/>
      <c r="AS64" s="364">
        <f>0.0425/100*AS55</f>
        <v>3.1875000000000002E-3</v>
      </c>
      <c r="AT64" s="363"/>
      <c r="AU64" s="364">
        <f>0.0425/100*AU55</f>
        <v>3.1875000000000002E-3</v>
      </c>
      <c r="AV64" s="363"/>
      <c r="AW64" s="364">
        <f>0.0425/100*AW55</f>
        <v>3.1875000000000002E-3</v>
      </c>
      <c r="AX64" s="363"/>
      <c r="AY64" s="364">
        <f>0.0425/100*AY55</f>
        <v>3.1875000000000002E-3</v>
      </c>
      <c r="AZ64" s="363"/>
      <c r="BA64" s="364">
        <f>0.0425/100*BA55</f>
        <v>3.1875000000000002E-3</v>
      </c>
      <c r="BB64" s="363"/>
      <c r="BC64" s="364">
        <f>0.0425/100*BC55</f>
        <v>3.1875000000000002E-3</v>
      </c>
      <c r="BD64" s="363"/>
      <c r="BE64" s="364">
        <f>0.0425/100*BE55</f>
        <v>3.1875000000000002E-3</v>
      </c>
      <c r="BF64" s="363"/>
      <c r="BG64" s="364">
        <f>0.0425/100*BG55</f>
        <v>3.1875000000000002E-3</v>
      </c>
      <c r="BH64" s="363"/>
      <c r="BI64" s="364">
        <f>0.0425/100*BI55</f>
        <v>3.1875000000000002E-3</v>
      </c>
      <c r="BJ64" s="363"/>
      <c r="BK64" s="364">
        <f>0.0425/100*BK55</f>
        <v>3.1875000000000002E-3</v>
      </c>
      <c r="BL64" s="363"/>
      <c r="BM64" s="364">
        <f>0.0425/100*BM55</f>
        <v>3.1875000000000002E-3</v>
      </c>
      <c r="BN64" s="363"/>
      <c r="BO64" s="364">
        <f>0.0425/100*BO55</f>
        <v>3.1875000000000002E-3</v>
      </c>
      <c r="BP64" s="363"/>
      <c r="BQ64" s="364">
        <f>0.0425/100*BQ55</f>
        <v>3.1875000000000002E-3</v>
      </c>
      <c r="BR64" s="363"/>
      <c r="BS64" s="364">
        <f>0.0425/100*BS55</f>
        <v>3.1875000000000002E-3</v>
      </c>
      <c r="BT64" s="363"/>
      <c r="BU64" s="364">
        <f>0.0425/100*BU55</f>
        <v>3.1875000000000002E-3</v>
      </c>
      <c r="BV64" s="363"/>
      <c r="BW64" s="364">
        <f>0.0425/100*BW55</f>
        <v>3.1875000000000002E-3</v>
      </c>
      <c r="BX64" s="363"/>
      <c r="BY64" s="364">
        <f>0.0425/100*BY55</f>
        <v>3.1875000000000002E-3</v>
      </c>
      <c r="BZ64" s="363"/>
      <c r="CA64" s="364">
        <f>0.0425/100*CA55</f>
        <v>3.1875000000000002E-3</v>
      </c>
      <c r="CB64" s="363"/>
      <c r="CC64" s="364">
        <f>0.0425/100*CC55</f>
        <v>3.1875000000000002E-3</v>
      </c>
      <c r="CD64" s="363"/>
      <c r="CE64" s="364">
        <f>0.0425/100*CE55</f>
        <v>3.1875000000000002E-3</v>
      </c>
      <c r="CF64" s="363"/>
      <c r="CG64" s="364">
        <f>0.0425/100*CG55</f>
        <v>3.1875000000000002E-3</v>
      </c>
      <c r="CH64" s="363"/>
      <c r="CI64" s="364">
        <f>0.0425/100*CI55</f>
        <v>3.1875000000000002E-3</v>
      </c>
      <c r="CJ64" s="363"/>
      <c r="CK64" s="364">
        <f>0.0425/100*CK55</f>
        <v>3.1875000000000002E-3</v>
      </c>
      <c r="CL64" s="363"/>
      <c r="CM64" s="364">
        <f>0.0425/100*CM55</f>
        <v>3.1875000000000002E-3</v>
      </c>
      <c r="CN64" s="363"/>
      <c r="CO64" s="364">
        <f>0.0425/100*CO55</f>
        <v>3.1875000000000002E-3</v>
      </c>
      <c r="CP64" s="363"/>
      <c r="CQ64" s="364">
        <f>0.0425/100*CQ55</f>
        <v>3.1875000000000002E-3</v>
      </c>
      <c r="CR64" s="363"/>
      <c r="CS64" s="364">
        <f>0.0425/100*CS55</f>
        <v>3.1875000000000002E-3</v>
      </c>
      <c r="CT64" s="365"/>
      <c r="CU64" s="363"/>
      <c r="CV64" s="364">
        <f>0.0425/100*CV55</f>
        <v>4.0375000000000003E-3</v>
      </c>
      <c r="CW64" s="363"/>
      <c r="CX64" s="364">
        <f>0.1/100*CX55</f>
        <v>9.4999999999999998E-3</v>
      </c>
      <c r="CY64" s="363"/>
      <c r="CZ64" s="364">
        <f>0.1/100*CZ55</f>
        <v>9.7999999999999997E-3</v>
      </c>
      <c r="DA64" s="363"/>
      <c r="DB64" s="364">
        <f>0.0425/100*DB55</f>
        <v>4.1649999999999994E-3</v>
      </c>
      <c r="DC64" s="363"/>
      <c r="DD64" s="364">
        <f>0.0425/100*DD55</f>
        <v>4.6325000000000003E-3</v>
      </c>
      <c r="DE64" s="363"/>
      <c r="DF64" s="364">
        <f>0.0425/100*DF55</f>
        <v>4.6325000000000003E-3</v>
      </c>
      <c r="DG64" s="363"/>
      <c r="DH64" s="364">
        <f>0.0425/100*DH55</f>
        <v>4.6325000000000003E-3</v>
      </c>
      <c r="DI64" s="363"/>
      <c r="DJ64" s="364">
        <f>0.0425/100*DJ55</f>
        <v>4.6325000000000003E-3</v>
      </c>
      <c r="DK64" s="363"/>
      <c r="DL64" s="364">
        <f>0.0425/100*DL55</f>
        <v>4.6325000000000003E-3</v>
      </c>
      <c r="DM64" s="363"/>
      <c r="DN64" s="364">
        <f>0.0425/100*DN55</f>
        <v>4.6325000000000003E-3</v>
      </c>
      <c r="DO64" s="363"/>
      <c r="DP64" s="364">
        <f>0.0425/100*DP55</f>
        <v>4.6325000000000003E-3</v>
      </c>
      <c r="DQ64" s="363"/>
      <c r="DR64" s="364">
        <f>0.0425/100*DR55</f>
        <v>4.6325000000000003E-3</v>
      </c>
      <c r="DS64" s="363"/>
      <c r="DT64" s="364">
        <f>0.0425/100*DT55</f>
        <v>4.6325000000000003E-3</v>
      </c>
      <c r="DU64" s="363"/>
      <c r="DV64" s="364">
        <f>0.0425/100*DV55</f>
        <v>4.6325000000000003E-3</v>
      </c>
      <c r="DW64" s="363"/>
      <c r="DX64" s="364">
        <f>0.0425/100*DX55</f>
        <v>4.6325000000000003E-3</v>
      </c>
      <c r="DY64" s="363"/>
      <c r="DZ64" s="364">
        <f>0.0425/100*DZ55</f>
        <v>4.6325000000000003E-3</v>
      </c>
      <c r="EA64" s="363"/>
      <c r="EB64" s="364">
        <f>0.0425/100*EB55</f>
        <v>4.6325000000000003E-3</v>
      </c>
      <c r="EC64" s="363"/>
      <c r="ED64" s="364">
        <f>0.0425/100*ED55</f>
        <v>4.6325000000000003E-3</v>
      </c>
      <c r="EE64" s="363"/>
      <c r="EF64" s="364">
        <f>0.0425/100*EF55</f>
        <v>4.6325000000000003E-3</v>
      </c>
      <c r="EG64" s="363"/>
      <c r="EH64" s="364">
        <f>0.0425/100*EH55</f>
        <v>4.6325000000000003E-3</v>
      </c>
      <c r="EI64" s="363"/>
      <c r="EJ64" s="364">
        <f>0.0425/100*EJ55</f>
        <v>4.6325000000000003E-3</v>
      </c>
      <c r="EK64" s="363"/>
      <c r="EL64" s="364">
        <f>0.0425/100*EL55</f>
        <v>4.6325000000000003E-3</v>
      </c>
      <c r="EM64" s="363"/>
      <c r="EN64" s="364">
        <f>0.0425/100*EN55</f>
        <v>4.6325000000000003E-3</v>
      </c>
      <c r="EO64" s="363"/>
      <c r="EP64" s="364">
        <f>0.0425/100*EP55</f>
        <v>4.6325000000000003E-3</v>
      </c>
      <c r="EQ64" s="363"/>
      <c r="ER64" s="364">
        <f>0.0425/100*ER55</f>
        <v>4.6325000000000003E-3</v>
      </c>
      <c r="ES64" s="363"/>
      <c r="ET64" s="364">
        <f>0.0425/100*ET55</f>
        <v>4.6325000000000003E-3</v>
      </c>
      <c r="EU64" s="363"/>
      <c r="EV64" s="364">
        <f>0.0425/100*EV55</f>
        <v>4.6325000000000003E-3</v>
      </c>
      <c r="EW64" s="363"/>
      <c r="EX64" s="364">
        <f>0.0425/100*EX55</f>
        <v>4.6325000000000003E-3</v>
      </c>
      <c r="EY64" s="363"/>
      <c r="EZ64" s="364">
        <f>0.0425/100*EZ55</f>
        <v>4.6325000000000003E-3</v>
      </c>
      <c r="FA64" s="363"/>
      <c r="FB64" s="364">
        <f>0.0425/100*FB55</f>
        <v>4.6325000000000003E-3</v>
      </c>
      <c r="FC64" s="363"/>
      <c r="FD64" s="364">
        <f>0.0425/100*FD55</f>
        <v>4.6325000000000003E-3</v>
      </c>
      <c r="FE64" s="363"/>
      <c r="FF64" s="364">
        <f>0.0425/100*FF55</f>
        <v>4.6325000000000003E-3</v>
      </c>
      <c r="FG64" s="363"/>
      <c r="FH64" s="364">
        <f>0.0425/100*FH55</f>
        <v>4.6325000000000003E-3</v>
      </c>
      <c r="FI64" s="363"/>
      <c r="FJ64" s="364">
        <f>0.0425/100*FJ55</f>
        <v>4.6325000000000003E-3</v>
      </c>
      <c r="FK64" s="363"/>
      <c r="FL64" s="364">
        <f>0.0425/100*FL55</f>
        <v>4.6325000000000003E-3</v>
      </c>
      <c r="FM64" s="363"/>
      <c r="FN64" s="364">
        <f>0.0425/100*FN55</f>
        <v>4.6325000000000003E-3</v>
      </c>
      <c r="FO64" s="363"/>
      <c r="FP64" s="364">
        <f>0.0425/100*FP55</f>
        <v>4.6325000000000003E-3</v>
      </c>
      <c r="FQ64" s="362"/>
      <c r="FR64" s="363"/>
      <c r="FS64" s="364">
        <f>0.0425/100*FS55</f>
        <v>2.5287500000000002E-3</v>
      </c>
      <c r="FT64" s="363"/>
      <c r="FU64" s="364">
        <f>0.0425/100*FU55</f>
        <v>2.6775000000000006E-3</v>
      </c>
      <c r="FV64" s="363"/>
      <c r="FW64" s="364">
        <f>0.0425/100*FW55</f>
        <v>2.8050000000000006E-3</v>
      </c>
      <c r="FX64" s="363"/>
      <c r="FY64" s="364">
        <f>0.1/100*FY55</f>
        <v>6.6000000000000008E-3</v>
      </c>
      <c r="FZ64" s="363"/>
      <c r="GA64" s="364">
        <f>0.1/100*GA55</f>
        <v>7.0000000000000001E-3</v>
      </c>
      <c r="GB64" s="363"/>
      <c r="GC64" s="364">
        <f>0.1/100*GC55</f>
        <v>7.0000000000000001E-3</v>
      </c>
      <c r="GD64" s="363"/>
      <c r="GE64" s="364">
        <f>0.1/100*GE55</f>
        <v>6.9500000000000004E-3</v>
      </c>
      <c r="GF64" s="363"/>
      <c r="GG64" s="364">
        <f>0.0425/100*GG55</f>
        <v>2.9537500000000002E-3</v>
      </c>
      <c r="GH64" s="363"/>
      <c r="GI64" s="364">
        <f>0.0425/100*GI55</f>
        <v>2.9537500000000002E-3</v>
      </c>
      <c r="GJ64" s="363"/>
      <c r="GK64" s="364">
        <f>0.0425/100*GK55</f>
        <v>3.4849999999999998E-3</v>
      </c>
      <c r="GL64" s="363"/>
      <c r="GM64" s="364">
        <f>0.0425/100*GM55</f>
        <v>3.4849999999999998E-3</v>
      </c>
      <c r="GN64" s="363"/>
      <c r="GO64" s="364">
        <f>0.0425/100*GO55</f>
        <v>3.4849999999999998E-3</v>
      </c>
      <c r="GP64" s="363"/>
      <c r="GQ64" s="364">
        <f>0.0425/100*GQ55</f>
        <v>3.4849999999999998E-3</v>
      </c>
      <c r="GR64" s="363"/>
      <c r="GS64" s="364">
        <f>0.0425/100*GS55</f>
        <v>3.4849999999999998E-3</v>
      </c>
      <c r="GT64" s="363"/>
      <c r="GU64" s="364">
        <f>0.0425/100*GU55</f>
        <v>3.4849999999999998E-3</v>
      </c>
      <c r="GV64" s="363"/>
      <c r="GW64" s="364">
        <f>0.0425/100*GW55</f>
        <v>3.4849999999999998E-3</v>
      </c>
      <c r="GX64" s="363"/>
      <c r="GY64" s="364">
        <f>0.0425/100*GY55</f>
        <v>3.4849999999999998E-3</v>
      </c>
      <c r="GZ64" s="363"/>
      <c r="HA64" s="364">
        <f>0.0425/100*HA55</f>
        <v>3.4849999999999998E-3</v>
      </c>
      <c r="HB64" s="363"/>
      <c r="HC64" s="364">
        <f>0.0425/100*HC55</f>
        <v>3.4849999999999998E-3</v>
      </c>
      <c r="HD64" s="363"/>
      <c r="HE64" s="364">
        <f>0.0425/100*HE55</f>
        <v>3.4849999999999998E-3</v>
      </c>
      <c r="HF64" s="363"/>
      <c r="HG64" s="364">
        <f>0.0425/100*HG55</f>
        <v>3.4849999999999998E-3</v>
      </c>
      <c r="HH64" s="363"/>
      <c r="HI64" s="364">
        <f>0.0425/100*HI55</f>
        <v>3.4849999999999998E-3</v>
      </c>
      <c r="HJ64" s="363"/>
      <c r="HK64" s="364">
        <f>0.0425/100*HK55</f>
        <v>3.4849999999999998E-3</v>
      </c>
      <c r="HL64" s="363"/>
      <c r="HM64" s="364">
        <f>0.0425/100*HM55</f>
        <v>3.4849999999999998E-3</v>
      </c>
      <c r="HN64" s="363"/>
      <c r="HO64" s="364">
        <f>0.0425/100*HO55</f>
        <v>3.4849999999999998E-3</v>
      </c>
      <c r="HP64" s="363"/>
      <c r="HQ64" s="364">
        <f>0.0425/100*HQ55</f>
        <v>3.4849999999999998E-3</v>
      </c>
      <c r="HR64" s="363"/>
      <c r="HS64" s="364">
        <f>0.0425/100*HS55</f>
        <v>3.4849999999999998E-3</v>
      </c>
      <c r="HT64" s="363"/>
      <c r="HU64" s="364">
        <f>0.0425/100*HU55</f>
        <v>3.4849999999999998E-3</v>
      </c>
      <c r="HV64" s="363"/>
      <c r="HW64" s="364">
        <f>0.0425/100*HW55</f>
        <v>3.4849999999999998E-3</v>
      </c>
      <c r="HX64" s="363"/>
      <c r="HY64" s="364">
        <f>0.0425/100*HY55</f>
        <v>3.4849999999999998E-3</v>
      </c>
      <c r="HZ64" s="363"/>
      <c r="IA64" s="364">
        <f>0.0425/100*IA55</f>
        <v>3.4849999999999998E-3</v>
      </c>
      <c r="IB64" s="363"/>
      <c r="IC64" s="364">
        <f>0.0425/100*IC55</f>
        <v>3.4849999999999998E-3</v>
      </c>
      <c r="ID64" s="363"/>
      <c r="IE64" s="364">
        <f>0.0425/100*IE55</f>
        <v>3.4849999999999998E-3</v>
      </c>
      <c r="IF64" s="363"/>
      <c r="IG64" s="364">
        <f>0.0425/100*IG55</f>
        <v>3.4849999999999998E-3</v>
      </c>
      <c r="IH64" s="363"/>
      <c r="II64" s="364">
        <f>0.0425/100*II55</f>
        <v>3.4849999999999998E-3</v>
      </c>
      <c r="IJ64" s="363"/>
      <c r="IK64" s="364">
        <f>0.0425/100*IK55</f>
        <v>3.4849999999999998E-3</v>
      </c>
      <c r="IL64" s="363"/>
      <c r="IM64" s="364">
        <f>0.0425/100*IM55</f>
        <v>3.4849999999999998E-3</v>
      </c>
      <c r="IN64" s="363"/>
      <c r="IO64" s="364">
        <f>0.0425/100*IO55</f>
        <v>3.4849999999999998E-3</v>
      </c>
      <c r="IP64" s="363"/>
      <c r="IQ64" s="364">
        <f>0.0425/100*IQ55</f>
        <v>3.4849999999999998E-3</v>
      </c>
      <c r="IR64" s="363"/>
      <c r="IS64" s="364">
        <f>0.0425/100*IS55</f>
        <v>3.4849999999999998E-3</v>
      </c>
      <c r="IT64" s="363"/>
      <c r="IU64" s="364">
        <f>0.0425/100*IU55</f>
        <v>3.4849999999999998E-3</v>
      </c>
      <c r="IV64" s="363"/>
      <c r="IW64" s="364">
        <f>0.0425/100*IW55</f>
        <v>3.4849999999999998E-3</v>
      </c>
      <c r="IX64" s="363"/>
      <c r="IY64" s="364">
        <f>0.0425/100*IY55</f>
        <v>3.4849999999999998E-3</v>
      </c>
      <c r="IZ64" s="362"/>
      <c r="JA64" s="363"/>
      <c r="JB64" s="364">
        <f>0.0425/100*JB55</f>
        <v>3.4849999999999998E-3</v>
      </c>
      <c r="JC64" s="363"/>
      <c r="JD64" s="364">
        <f>0.0425/100*JD55</f>
        <v>3.4849999999999998E-3</v>
      </c>
      <c r="JE64" s="362"/>
      <c r="JF64" s="363"/>
      <c r="JG64" s="364">
        <f>0.0425/100*JG55</f>
        <v>2.3800000000000002E-3</v>
      </c>
      <c r="JH64" s="363"/>
      <c r="JI64" s="364">
        <f>0.0425/100*JI55</f>
        <v>2.5287500000000002E-3</v>
      </c>
      <c r="JJ64" s="363"/>
      <c r="JK64" s="364">
        <f>0.0425/100*JK55</f>
        <v>2.6350000000000002E-3</v>
      </c>
      <c r="JL64" s="363"/>
      <c r="JM64" s="364">
        <f>0.1/100*JM55</f>
        <v>6.2000000000000006E-3</v>
      </c>
      <c r="JN64" s="363"/>
      <c r="JO64" s="364">
        <f>0.1/100*JO55</f>
        <v>6.7000000000000002E-3</v>
      </c>
      <c r="JP64" s="363"/>
      <c r="JQ64" s="364">
        <f>0.0425/100*JQ55</f>
        <v>2.8475000000000002E-3</v>
      </c>
      <c r="JR64" s="363"/>
      <c r="JS64" s="364">
        <f>0.0425/100*JS55</f>
        <v>2.8475000000000002E-3</v>
      </c>
      <c r="JT64" s="363"/>
      <c r="JU64" s="364">
        <f>0.0425/100*JU55</f>
        <v>2.8475000000000002E-3</v>
      </c>
      <c r="JV64" s="363"/>
      <c r="JW64" s="364">
        <f>0.0425/100*JW55</f>
        <v>2.8475000000000002E-3</v>
      </c>
      <c r="JX64" s="363"/>
      <c r="JY64" s="364">
        <f>0.0425/100*JY55</f>
        <v>2.8475000000000002E-3</v>
      </c>
      <c r="JZ64" s="363"/>
      <c r="KA64" s="364">
        <f>0.0425/100*KA55</f>
        <v>2.8475000000000002E-3</v>
      </c>
      <c r="KB64" s="363"/>
      <c r="KC64" s="364">
        <f>0.0425/100*KC55</f>
        <v>2.8475000000000002E-3</v>
      </c>
      <c r="KD64" s="363"/>
      <c r="KE64" s="364">
        <f>0.0425/100*KE55</f>
        <v>2.8475000000000002E-3</v>
      </c>
      <c r="KF64" s="363"/>
      <c r="KG64" s="364">
        <f>0.0425/100*KG55</f>
        <v>2.8475000000000002E-3</v>
      </c>
      <c r="KH64" s="363"/>
      <c r="KI64" s="364">
        <f>0.0425/100*KI55</f>
        <v>2.8475000000000002E-3</v>
      </c>
      <c r="KJ64" s="363"/>
      <c r="KK64" s="364">
        <f>0.0425/100*KK55</f>
        <v>2.8475000000000002E-3</v>
      </c>
      <c r="KL64" s="363"/>
      <c r="KM64" s="364">
        <f>0.0425/100*KM55</f>
        <v>2.8475000000000002E-3</v>
      </c>
      <c r="KN64" s="363"/>
      <c r="KO64" s="364">
        <f>0.0425/100*KO55</f>
        <v>2.8475000000000002E-3</v>
      </c>
      <c r="KP64" s="363"/>
      <c r="KQ64" s="364">
        <f>0.0425/100*KQ55</f>
        <v>2.8475000000000002E-3</v>
      </c>
      <c r="KR64" s="363"/>
      <c r="KS64" s="364">
        <f>0.0425/100*KS55</f>
        <v>2.8475000000000002E-3</v>
      </c>
      <c r="KT64" s="363"/>
      <c r="KU64" s="364">
        <f>0.0425/100*KU55</f>
        <v>2.8475000000000002E-3</v>
      </c>
      <c r="KV64" s="363"/>
      <c r="KW64" s="364">
        <f>0.0425/100*KW55</f>
        <v>2.8475000000000002E-3</v>
      </c>
      <c r="KX64" s="363"/>
      <c r="KY64" s="364">
        <f>0.0425/100*KY55</f>
        <v>2.8475000000000002E-3</v>
      </c>
      <c r="KZ64" s="363"/>
      <c r="LA64" s="364">
        <f>0.0425/100*LA55</f>
        <v>2.8475000000000002E-3</v>
      </c>
      <c r="LB64" s="363"/>
      <c r="LC64" s="364">
        <f>0.0425/100*LC55</f>
        <v>2.8475000000000002E-3</v>
      </c>
      <c r="LD64" s="363"/>
      <c r="LE64" s="364">
        <f>0.0425/100*LE55</f>
        <v>2.8475000000000002E-3</v>
      </c>
      <c r="LF64" s="363"/>
      <c r="LG64" s="364">
        <f>0.0425/100*LG55</f>
        <v>2.8475000000000002E-3</v>
      </c>
      <c r="LH64" s="363"/>
      <c r="LI64" s="364">
        <f>0.0425/100*LI55</f>
        <v>2.8475000000000002E-3</v>
      </c>
      <c r="LJ64" s="363"/>
      <c r="LK64" s="364">
        <f>0.0425/100*LK55</f>
        <v>2.8475000000000002E-3</v>
      </c>
      <c r="LL64" s="363"/>
      <c r="LM64" s="364">
        <f>0.0425/100*LM55</f>
        <v>2.8475000000000002E-3</v>
      </c>
      <c r="LN64" s="363"/>
      <c r="LO64" s="364">
        <f>0.0425/100*LO55</f>
        <v>2.8475000000000002E-3</v>
      </c>
      <c r="LP64" s="363"/>
      <c r="LQ64" s="364">
        <f>0.0425/100*LQ55</f>
        <v>2.8475000000000002E-3</v>
      </c>
      <c r="LR64" s="363"/>
      <c r="LS64" s="364">
        <f>0.0425/100*LS55</f>
        <v>2.8475000000000002E-3</v>
      </c>
      <c r="LT64" s="363"/>
      <c r="LU64" s="364">
        <f>0.0425/100*LU55</f>
        <v>2.8475000000000002E-3</v>
      </c>
      <c r="LV64" s="363"/>
      <c r="LW64" s="364">
        <f>0.0425/100*LW55</f>
        <v>2.8475000000000002E-3</v>
      </c>
      <c r="LX64" s="363"/>
      <c r="LY64" s="364">
        <f>0.0425/100*LY55</f>
        <v>2.8475000000000002E-3</v>
      </c>
      <c r="LZ64" s="363"/>
      <c r="MA64" s="364">
        <f>0.0425/100*MA55</f>
        <v>2.8475000000000002E-3</v>
      </c>
      <c r="MB64" s="363"/>
      <c r="MC64" s="364">
        <f>0.0425/100*MC55</f>
        <v>2.8475000000000002E-3</v>
      </c>
      <c r="MD64" s="363"/>
      <c r="ME64" s="364">
        <f>0.0425/100*ME55</f>
        <v>2.8475000000000002E-3</v>
      </c>
      <c r="MF64" s="363"/>
      <c r="MG64" s="364">
        <f>0.0425/100*MG55</f>
        <v>2.8475000000000002E-3</v>
      </c>
      <c r="MH64" s="362"/>
      <c r="MI64" s="363"/>
      <c r="MJ64" s="364">
        <f>0.0425/100*MJ55</f>
        <v>1.8062500000000001E-3</v>
      </c>
      <c r="MK64" s="363"/>
      <c r="ML64" s="364">
        <f>0.0425/100*ML55</f>
        <v>1.8912500000000001E-3</v>
      </c>
      <c r="MM64" s="363"/>
      <c r="MN64" s="364">
        <f>0.0425/100*MN55</f>
        <v>1.9975000000000001E-3</v>
      </c>
      <c r="MO64" s="363"/>
      <c r="MP64" s="364">
        <f>0.1/100*MP55</f>
        <v>4.7000000000000002E-3</v>
      </c>
      <c r="MQ64" s="363"/>
      <c r="MR64" s="364">
        <f>0.1/100*MR55</f>
        <v>5.0999999999999995E-3</v>
      </c>
      <c r="MS64" s="363"/>
      <c r="MT64" s="364">
        <f>0.0425/100*MT55</f>
        <v>2.1250000000000002E-3</v>
      </c>
      <c r="MU64" s="363"/>
      <c r="MV64" s="364">
        <f>0.0425/100*MV55</f>
        <v>2.1675000000000002E-3</v>
      </c>
      <c r="MW64" s="363"/>
      <c r="MX64" s="364">
        <f>0.0425/100*MX55</f>
        <v>2.6350000000000002E-3</v>
      </c>
      <c r="MY64" s="363"/>
      <c r="MZ64" s="364">
        <f>0.0425/100*MZ55</f>
        <v>2.6350000000000002E-3</v>
      </c>
      <c r="NA64" s="363"/>
      <c r="NB64" s="364">
        <f>0.0425/100*NB55</f>
        <v>2.6350000000000002E-3</v>
      </c>
      <c r="NC64" s="363"/>
      <c r="ND64" s="364">
        <f>0.0425/100*ND55</f>
        <v>2.6350000000000002E-3</v>
      </c>
      <c r="NE64" s="363"/>
      <c r="NF64" s="364">
        <f>0.0425/100*NF55</f>
        <v>2.6350000000000002E-3</v>
      </c>
      <c r="NG64" s="363"/>
      <c r="NH64" s="364">
        <f>0.0425/100*NH55</f>
        <v>2.6350000000000002E-3</v>
      </c>
      <c r="NI64" s="363"/>
      <c r="NJ64" s="364">
        <f>0.0425/100*NJ55</f>
        <v>2.6350000000000002E-3</v>
      </c>
      <c r="NK64" s="363"/>
      <c r="NL64" s="364">
        <f>0.0425/100*NL55</f>
        <v>2.6350000000000002E-3</v>
      </c>
      <c r="NM64" s="363"/>
      <c r="NN64" s="364">
        <f>0.0425/100*NN55</f>
        <v>2.6350000000000002E-3</v>
      </c>
      <c r="NO64" s="363"/>
      <c r="NP64" s="364">
        <f>0.0425/100*NP55</f>
        <v>2.6350000000000002E-3</v>
      </c>
      <c r="NQ64" s="363"/>
      <c r="NR64" s="364">
        <f>0.0425/100*NR55</f>
        <v>2.6350000000000002E-3</v>
      </c>
      <c r="NS64" s="363"/>
      <c r="NT64" s="364">
        <f>0.0425/100*NT55</f>
        <v>2.6350000000000002E-3</v>
      </c>
      <c r="NU64" s="363"/>
      <c r="NV64" s="364">
        <f>0.0425/100*NV55</f>
        <v>2.6350000000000002E-3</v>
      </c>
      <c r="NW64" s="363"/>
      <c r="NX64" s="364">
        <f>0.0425/100*NX55</f>
        <v>2.6350000000000002E-3</v>
      </c>
      <c r="NY64" s="363"/>
      <c r="NZ64" s="364">
        <f>0.0425/100*NZ55</f>
        <v>2.6350000000000002E-3</v>
      </c>
      <c r="OA64" s="363"/>
      <c r="OB64" s="364">
        <f>0.0425/100*OB55</f>
        <v>2.6350000000000002E-3</v>
      </c>
      <c r="OC64" s="363"/>
      <c r="OD64" s="364">
        <f>0.0425/100*OD55</f>
        <v>2.6350000000000002E-3</v>
      </c>
      <c r="OE64" s="363"/>
      <c r="OF64" s="364">
        <f>0.0425/100*OF55</f>
        <v>2.6350000000000002E-3</v>
      </c>
      <c r="OG64" s="363"/>
      <c r="OH64" s="364">
        <f>0.0425/100*OH55</f>
        <v>2.6350000000000002E-3</v>
      </c>
      <c r="OI64" s="363"/>
      <c r="OJ64" s="364">
        <f>0.0425/100*OJ55</f>
        <v>2.6350000000000002E-3</v>
      </c>
      <c r="OK64" s="363"/>
      <c r="OL64" s="364">
        <f>0.0425/100*OL55</f>
        <v>2.6350000000000002E-3</v>
      </c>
      <c r="OM64" s="363"/>
      <c r="ON64" s="364">
        <f>0.0425/100*ON55</f>
        <v>2.6350000000000002E-3</v>
      </c>
      <c r="OO64" s="363"/>
      <c r="OP64" s="364">
        <f>0.0425/100*OP55</f>
        <v>2.6350000000000002E-3</v>
      </c>
      <c r="OQ64" s="363"/>
      <c r="OR64" s="364">
        <f>0.0425/100*OR55</f>
        <v>2.6350000000000002E-3</v>
      </c>
      <c r="OS64" s="363"/>
      <c r="OT64" s="364">
        <f>0.0425/100*OT55</f>
        <v>2.6350000000000002E-3</v>
      </c>
      <c r="OU64" s="363"/>
      <c r="OV64" s="364">
        <f>0.0425/100*OV55</f>
        <v>2.6350000000000002E-3</v>
      </c>
      <c r="OW64" s="363"/>
      <c r="OX64" s="364">
        <f>0.0425/100*OX55</f>
        <v>2.6350000000000002E-3</v>
      </c>
      <c r="OY64" s="363"/>
      <c r="OZ64" s="364">
        <f>0.0425/100*OZ55</f>
        <v>2.6350000000000002E-3</v>
      </c>
      <c r="PA64" s="363"/>
      <c r="PB64" s="364">
        <f>0.0425/100*PB55</f>
        <v>2.6350000000000002E-3</v>
      </c>
      <c r="PC64" s="363"/>
      <c r="PD64" s="364">
        <f>0.0425/100*PD55</f>
        <v>2.6350000000000002E-3</v>
      </c>
      <c r="PE64" s="363"/>
      <c r="PF64" s="364">
        <f>0.0425/100*PF55</f>
        <v>2.6350000000000002E-3</v>
      </c>
      <c r="PG64" s="363"/>
      <c r="PH64" s="364">
        <f>0.0425/100*PH55</f>
        <v>2.6350000000000002E-3</v>
      </c>
      <c r="PI64" s="363"/>
      <c r="PJ64" s="364">
        <f>0.0425/100*PJ55</f>
        <v>2.4862500000000006E-3</v>
      </c>
      <c r="PK64" s="363"/>
      <c r="PL64" s="364">
        <f>0.0425/100*PL55</f>
        <v>2.4225000000000002E-3</v>
      </c>
      <c r="PM64" s="363"/>
      <c r="PN64" s="364">
        <f>0.0425/100*PN55</f>
        <v>2.6350000000000002E-3</v>
      </c>
      <c r="PO64" s="363"/>
      <c r="PP64" s="364">
        <f>0.0425/100*PP55</f>
        <v>2.6350000000000002E-3</v>
      </c>
      <c r="PQ64" s="366"/>
      <c r="PR64" s="363"/>
      <c r="PS64" s="364">
        <f>0.0425/100*PS55</f>
        <v>3.1450000000000002E-3</v>
      </c>
      <c r="PT64" s="363"/>
      <c r="PU64" s="364">
        <f>0.0425/100*PU55</f>
        <v>3.1450000000000002E-3</v>
      </c>
      <c r="PV64" s="363"/>
      <c r="PW64" s="364">
        <f>0.0425/100*PW55</f>
        <v>2.8050000000000006E-3</v>
      </c>
      <c r="PX64" s="363"/>
      <c r="PY64" s="364">
        <f>0.0425/100*PY55</f>
        <v>2.8050000000000006E-3</v>
      </c>
      <c r="PZ64" s="363"/>
      <c r="QA64" s="364">
        <f>0.0425/100*QA55</f>
        <v>2.1675000000000006E-3</v>
      </c>
      <c r="QB64" s="363"/>
      <c r="QC64" s="364">
        <f>0.0425/100*QC55</f>
        <v>2.1675000000000006E-3</v>
      </c>
      <c r="QD64" s="366"/>
      <c r="QE64" s="366"/>
      <c r="QF64" s="363"/>
      <c r="QG64" s="364">
        <f>0.0425/100*QG55</f>
        <v>3.1450000000000002E-3</v>
      </c>
      <c r="QH64" s="363"/>
      <c r="QI64" s="364">
        <f>0.0425/100*QI55</f>
        <v>3.1450000000000002E-3</v>
      </c>
      <c r="QJ64" s="363"/>
      <c r="QK64" s="364">
        <f>0.0425/100*QK55</f>
        <v>2.8050000000000006E-3</v>
      </c>
      <c r="QL64" s="363"/>
      <c r="QM64" s="364">
        <f>0.0425/100*QM55</f>
        <v>2.8050000000000006E-3</v>
      </c>
      <c r="QN64" s="363"/>
      <c r="QO64" s="364">
        <f>0.0425/100*QO55</f>
        <v>2.8050000000000002E-3</v>
      </c>
      <c r="QP64" s="363"/>
      <c r="QQ64" s="364">
        <f>0.0425/100*QQ55</f>
        <v>2.8050000000000002E-3</v>
      </c>
    </row>
    <row r="65" spans="1:459" x14ac:dyDescent="0.45">
      <c r="A65" s="871"/>
      <c r="B65" s="367" t="s">
        <v>369</v>
      </c>
      <c r="C65" s="368"/>
      <c r="D65" s="369" t="s">
        <v>370</v>
      </c>
      <c r="E65" s="370"/>
      <c r="F65" s="371"/>
      <c r="G65" s="372">
        <v>1150</v>
      </c>
      <c r="H65" s="371"/>
      <c r="I65" s="372">
        <v>1150</v>
      </c>
      <c r="J65" s="371"/>
      <c r="K65" s="372">
        <v>1150</v>
      </c>
      <c r="L65" s="371"/>
      <c r="M65" s="372">
        <v>1150</v>
      </c>
      <c r="N65" s="371"/>
      <c r="O65" s="372">
        <v>1150</v>
      </c>
      <c r="P65" s="371"/>
      <c r="Q65" s="372">
        <v>1350</v>
      </c>
      <c r="R65" s="371"/>
      <c r="S65" s="372">
        <v>1150</v>
      </c>
      <c r="T65" s="371"/>
      <c r="U65" s="372">
        <v>2000</v>
      </c>
      <c r="V65" s="371"/>
      <c r="W65" s="372">
        <v>2000</v>
      </c>
      <c r="X65" s="371"/>
      <c r="Y65" s="372">
        <v>2091</v>
      </c>
      <c r="Z65" s="371"/>
      <c r="AA65" s="372">
        <v>2000</v>
      </c>
      <c r="AB65" s="371"/>
      <c r="AC65" s="372">
        <v>2000</v>
      </c>
      <c r="AD65" s="371"/>
      <c r="AE65" s="372">
        <v>2200</v>
      </c>
      <c r="AF65" s="371"/>
      <c r="AG65" s="372">
        <v>2200</v>
      </c>
      <c r="AH65" s="371"/>
      <c r="AI65" s="372">
        <v>2200</v>
      </c>
      <c r="AJ65" s="371"/>
      <c r="AK65" s="372">
        <v>2200</v>
      </c>
      <c r="AL65" s="371"/>
      <c r="AM65" s="372">
        <v>2200</v>
      </c>
      <c r="AN65" s="371"/>
      <c r="AO65" s="372">
        <v>2200</v>
      </c>
      <c r="AP65" s="371"/>
      <c r="AQ65" s="372">
        <v>2200</v>
      </c>
      <c r="AR65" s="371"/>
      <c r="AS65" s="372">
        <v>900</v>
      </c>
      <c r="AT65" s="371"/>
      <c r="AU65" s="372">
        <v>900</v>
      </c>
      <c r="AV65" s="371"/>
      <c r="AW65" s="372">
        <v>900</v>
      </c>
      <c r="AX65" s="371"/>
      <c r="AY65" s="372">
        <v>900</v>
      </c>
      <c r="AZ65" s="371"/>
      <c r="BA65" s="372">
        <v>900</v>
      </c>
      <c r="BB65" s="371"/>
      <c r="BC65" s="372">
        <v>900</v>
      </c>
      <c r="BD65" s="371"/>
      <c r="BE65" s="372">
        <v>900</v>
      </c>
      <c r="BF65" s="371"/>
      <c r="BG65" s="372">
        <v>900</v>
      </c>
      <c r="BH65" s="371"/>
      <c r="BI65" s="372">
        <v>900</v>
      </c>
      <c r="BJ65" s="371"/>
      <c r="BK65" s="372">
        <v>900</v>
      </c>
      <c r="BL65" s="371"/>
      <c r="BM65" s="372">
        <v>900</v>
      </c>
      <c r="BN65" s="371"/>
      <c r="BO65" s="372">
        <v>900</v>
      </c>
      <c r="BP65" s="371"/>
      <c r="BQ65" s="372">
        <v>900</v>
      </c>
      <c r="BR65" s="371"/>
      <c r="BS65" s="372">
        <v>900</v>
      </c>
      <c r="BT65" s="371"/>
      <c r="BU65" s="372">
        <v>900</v>
      </c>
      <c r="BV65" s="371"/>
      <c r="BW65" s="372">
        <v>900</v>
      </c>
      <c r="BX65" s="371"/>
      <c r="BY65" s="372">
        <v>900</v>
      </c>
      <c r="BZ65" s="371"/>
      <c r="CA65" s="372">
        <v>900</v>
      </c>
      <c r="CB65" s="371"/>
      <c r="CC65" s="372">
        <v>900</v>
      </c>
      <c r="CD65" s="371"/>
      <c r="CE65" s="372">
        <v>900</v>
      </c>
      <c r="CF65" s="371"/>
      <c r="CG65" s="372">
        <v>900</v>
      </c>
      <c r="CH65" s="371"/>
      <c r="CI65" s="372">
        <v>900</v>
      </c>
      <c r="CJ65" s="371"/>
      <c r="CK65" s="372">
        <v>900</v>
      </c>
      <c r="CL65" s="371"/>
      <c r="CM65" s="372">
        <v>900</v>
      </c>
      <c r="CN65" s="371"/>
      <c r="CO65" s="372">
        <v>900</v>
      </c>
      <c r="CP65" s="371"/>
      <c r="CQ65" s="372">
        <v>900</v>
      </c>
      <c r="CR65" s="371"/>
      <c r="CS65" s="372">
        <v>900</v>
      </c>
      <c r="CT65" s="373"/>
      <c r="CU65" s="371"/>
      <c r="CV65" s="372">
        <v>1350</v>
      </c>
      <c r="CW65" s="371"/>
      <c r="CX65" s="372">
        <v>1420</v>
      </c>
      <c r="CY65" s="371"/>
      <c r="CZ65" s="372">
        <v>2000</v>
      </c>
      <c r="DA65" s="371"/>
      <c r="DB65" s="372">
        <v>2000</v>
      </c>
      <c r="DC65" s="371"/>
      <c r="DD65" s="372">
        <v>2200</v>
      </c>
      <c r="DE65" s="371"/>
      <c r="DF65" s="372">
        <v>2200</v>
      </c>
      <c r="DG65" s="371"/>
      <c r="DH65" s="372">
        <v>2200</v>
      </c>
      <c r="DI65" s="371"/>
      <c r="DJ65" s="372">
        <v>2200</v>
      </c>
      <c r="DK65" s="371"/>
      <c r="DL65" s="372">
        <v>2200</v>
      </c>
      <c r="DM65" s="371"/>
      <c r="DN65" s="372">
        <v>2200</v>
      </c>
      <c r="DO65" s="371"/>
      <c r="DP65" s="372">
        <v>2200</v>
      </c>
      <c r="DQ65" s="371"/>
      <c r="DR65" s="372">
        <f>DP65</f>
        <v>2200</v>
      </c>
      <c r="DS65" s="371"/>
      <c r="DT65" s="372">
        <v>900</v>
      </c>
      <c r="DU65" s="371"/>
      <c r="DV65" s="372">
        <v>900</v>
      </c>
      <c r="DW65" s="371"/>
      <c r="DX65" s="372">
        <v>900</v>
      </c>
      <c r="DY65" s="371"/>
      <c r="DZ65" s="372">
        <v>900</v>
      </c>
      <c r="EA65" s="371"/>
      <c r="EB65" s="372">
        <v>900</v>
      </c>
      <c r="EC65" s="371"/>
      <c r="ED65" s="372">
        <v>900</v>
      </c>
      <c r="EE65" s="371"/>
      <c r="EF65" s="372">
        <v>900</v>
      </c>
      <c r="EG65" s="371"/>
      <c r="EH65" s="372">
        <v>900</v>
      </c>
      <c r="EI65" s="371"/>
      <c r="EJ65" s="372">
        <v>900</v>
      </c>
      <c r="EK65" s="371"/>
      <c r="EL65" s="372">
        <v>900</v>
      </c>
      <c r="EM65" s="371"/>
      <c r="EN65" s="372">
        <v>900</v>
      </c>
      <c r="EO65" s="371"/>
      <c r="EP65" s="372">
        <v>900</v>
      </c>
      <c r="EQ65" s="371"/>
      <c r="ER65" s="372">
        <v>900</v>
      </c>
      <c r="ES65" s="371"/>
      <c r="ET65" s="372">
        <v>900</v>
      </c>
      <c r="EU65" s="371"/>
      <c r="EV65" s="372">
        <v>900</v>
      </c>
      <c r="EW65" s="371"/>
      <c r="EX65" s="372">
        <v>900</v>
      </c>
      <c r="EY65" s="371"/>
      <c r="EZ65" s="372">
        <v>900</v>
      </c>
      <c r="FA65" s="371"/>
      <c r="FB65" s="372">
        <v>900</v>
      </c>
      <c r="FC65" s="371"/>
      <c r="FD65" s="372">
        <v>900</v>
      </c>
      <c r="FE65" s="371"/>
      <c r="FF65" s="372">
        <v>900</v>
      </c>
      <c r="FG65" s="371"/>
      <c r="FH65" s="372">
        <v>900</v>
      </c>
      <c r="FI65" s="371"/>
      <c r="FJ65" s="372">
        <v>900</v>
      </c>
      <c r="FK65" s="371"/>
      <c r="FL65" s="372">
        <v>900</v>
      </c>
      <c r="FM65" s="371"/>
      <c r="FN65" s="372">
        <v>900</v>
      </c>
      <c r="FO65" s="371"/>
      <c r="FP65" s="372">
        <v>900</v>
      </c>
      <c r="FQ65" s="370"/>
      <c r="FR65" s="371"/>
      <c r="FS65" s="372">
        <v>1160</v>
      </c>
      <c r="FT65" s="371"/>
      <c r="FU65" s="372">
        <v>1160</v>
      </c>
      <c r="FV65" s="371"/>
      <c r="FW65" s="372">
        <v>1350</v>
      </c>
      <c r="FX65" s="371"/>
      <c r="FY65" s="372">
        <v>1150</v>
      </c>
      <c r="FZ65" s="371"/>
      <c r="GA65" s="372">
        <v>2000</v>
      </c>
      <c r="GB65" s="371"/>
      <c r="GC65" s="372">
        <v>2000</v>
      </c>
      <c r="GD65" s="371"/>
      <c r="GE65" s="372">
        <v>2091</v>
      </c>
      <c r="GF65" s="371"/>
      <c r="GG65" s="372">
        <v>2000</v>
      </c>
      <c r="GH65" s="371"/>
      <c r="GI65" s="372">
        <v>2000</v>
      </c>
      <c r="GJ65" s="371"/>
      <c r="GK65" s="372">
        <v>2200</v>
      </c>
      <c r="GL65" s="371"/>
      <c r="GM65" s="372">
        <v>2200</v>
      </c>
      <c r="GN65" s="371"/>
      <c r="GO65" s="372">
        <v>2200</v>
      </c>
      <c r="GP65" s="371"/>
      <c r="GQ65" s="372">
        <v>2200</v>
      </c>
      <c r="GR65" s="371"/>
      <c r="GS65" s="372">
        <v>2200</v>
      </c>
      <c r="GT65" s="371"/>
      <c r="GU65" s="372">
        <v>2200</v>
      </c>
      <c r="GV65" s="371"/>
      <c r="GW65" s="372">
        <v>2200</v>
      </c>
      <c r="GX65" s="371"/>
      <c r="GY65" s="372">
        <f>GW65</f>
        <v>2200</v>
      </c>
      <c r="GZ65" s="371"/>
      <c r="HA65" s="372">
        <v>900</v>
      </c>
      <c r="HB65" s="371"/>
      <c r="HC65" s="372">
        <v>900</v>
      </c>
      <c r="HD65" s="371"/>
      <c r="HE65" s="372">
        <v>900</v>
      </c>
      <c r="HF65" s="371"/>
      <c r="HG65" s="372">
        <v>900</v>
      </c>
      <c r="HH65" s="371"/>
      <c r="HI65" s="372">
        <v>900</v>
      </c>
      <c r="HJ65" s="371"/>
      <c r="HK65" s="372">
        <v>900</v>
      </c>
      <c r="HL65" s="371"/>
      <c r="HM65" s="372">
        <v>900</v>
      </c>
      <c r="HN65" s="371"/>
      <c r="HO65" s="372">
        <v>900</v>
      </c>
      <c r="HP65" s="371"/>
      <c r="HQ65" s="372">
        <v>900</v>
      </c>
      <c r="HR65" s="371"/>
      <c r="HS65" s="372">
        <v>900</v>
      </c>
      <c r="HT65" s="371"/>
      <c r="HU65" s="372">
        <v>900</v>
      </c>
      <c r="HV65" s="371"/>
      <c r="HW65" s="372">
        <v>900</v>
      </c>
      <c r="HX65" s="371"/>
      <c r="HY65" s="372">
        <v>900</v>
      </c>
      <c r="HZ65" s="371"/>
      <c r="IA65" s="372">
        <v>900</v>
      </c>
      <c r="IB65" s="371"/>
      <c r="IC65" s="372">
        <v>900</v>
      </c>
      <c r="ID65" s="371"/>
      <c r="IE65" s="372">
        <v>900</v>
      </c>
      <c r="IF65" s="371"/>
      <c r="IG65" s="372">
        <v>900</v>
      </c>
      <c r="IH65" s="371"/>
      <c r="II65" s="372">
        <v>900</v>
      </c>
      <c r="IJ65" s="371"/>
      <c r="IK65" s="372">
        <v>900</v>
      </c>
      <c r="IL65" s="371"/>
      <c r="IM65" s="372">
        <v>900</v>
      </c>
      <c r="IN65" s="371"/>
      <c r="IO65" s="372">
        <v>900</v>
      </c>
      <c r="IP65" s="371"/>
      <c r="IQ65" s="372">
        <v>900</v>
      </c>
      <c r="IR65" s="371"/>
      <c r="IS65" s="372">
        <v>900</v>
      </c>
      <c r="IT65" s="371"/>
      <c r="IU65" s="372">
        <v>900</v>
      </c>
      <c r="IV65" s="371"/>
      <c r="IW65" s="372">
        <v>900</v>
      </c>
      <c r="IX65" s="371"/>
      <c r="IY65" s="372">
        <v>900</v>
      </c>
      <c r="IZ65" s="370"/>
      <c r="JA65" s="371"/>
      <c r="JB65" s="372">
        <v>900</v>
      </c>
      <c r="JC65" s="371"/>
      <c r="JD65" s="372">
        <v>900</v>
      </c>
      <c r="JE65" s="370"/>
      <c r="JF65" s="371"/>
      <c r="JG65" s="372">
        <v>1250</v>
      </c>
      <c r="JH65" s="371"/>
      <c r="JI65" s="372">
        <v>1250</v>
      </c>
      <c r="JJ65" s="371"/>
      <c r="JK65" s="372">
        <v>1350</v>
      </c>
      <c r="JL65" s="371"/>
      <c r="JM65" s="372">
        <v>1250</v>
      </c>
      <c r="JN65" s="371"/>
      <c r="JO65" s="372">
        <v>2000</v>
      </c>
      <c r="JP65" s="371"/>
      <c r="JQ65" s="372">
        <v>2000</v>
      </c>
      <c r="JR65" s="371"/>
      <c r="JS65" s="372">
        <v>2000</v>
      </c>
      <c r="JT65" s="371"/>
      <c r="JU65" s="372">
        <v>2200</v>
      </c>
      <c r="JV65" s="371"/>
      <c r="JW65" s="372">
        <v>2200</v>
      </c>
      <c r="JX65" s="371"/>
      <c r="JY65" s="372">
        <v>2200</v>
      </c>
      <c r="JZ65" s="371"/>
      <c r="KA65" s="372">
        <v>2200</v>
      </c>
      <c r="KB65" s="371"/>
      <c r="KC65" s="372">
        <v>2200</v>
      </c>
      <c r="KD65" s="371"/>
      <c r="KE65" s="372">
        <v>2200</v>
      </c>
      <c r="KF65" s="371"/>
      <c r="KG65" s="372">
        <v>2200</v>
      </c>
      <c r="KH65" s="371"/>
      <c r="KI65" s="372">
        <f>KG65</f>
        <v>2200</v>
      </c>
      <c r="KJ65" s="371"/>
      <c r="KK65" s="372">
        <v>900</v>
      </c>
      <c r="KL65" s="371"/>
      <c r="KM65" s="372">
        <v>900</v>
      </c>
      <c r="KN65" s="371"/>
      <c r="KO65" s="372">
        <v>900</v>
      </c>
      <c r="KP65" s="371"/>
      <c r="KQ65" s="372">
        <v>900</v>
      </c>
      <c r="KR65" s="371"/>
      <c r="KS65" s="372">
        <v>900</v>
      </c>
      <c r="KT65" s="371"/>
      <c r="KU65" s="372">
        <v>900</v>
      </c>
      <c r="KV65" s="371"/>
      <c r="KW65" s="372">
        <v>900</v>
      </c>
      <c r="KX65" s="371"/>
      <c r="KY65" s="372">
        <v>900</v>
      </c>
      <c r="KZ65" s="371"/>
      <c r="LA65" s="372">
        <v>900</v>
      </c>
      <c r="LB65" s="371"/>
      <c r="LC65" s="372">
        <v>900</v>
      </c>
      <c r="LD65" s="371"/>
      <c r="LE65" s="372">
        <v>900</v>
      </c>
      <c r="LF65" s="371"/>
      <c r="LG65" s="372">
        <v>900</v>
      </c>
      <c r="LH65" s="371"/>
      <c r="LI65" s="372">
        <v>900</v>
      </c>
      <c r="LJ65" s="371"/>
      <c r="LK65" s="372">
        <v>900</v>
      </c>
      <c r="LL65" s="371"/>
      <c r="LM65" s="372">
        <v>900</v>
      </c>
      <c r="LN65" s="371"/>
      <c r="LO65" s="372">
        <v>900</v>
      </c>
      <c r="LP65" s="371"/>
      <c r="LQ65" s="372">
        <v>900</v>
      </c>
      <c r="LR65" s="371"/>
      <c r="LS65" s="372">
        <v>900</v>
      </c>
      <c r="LT65" s="371"/>
      <c r="LU65" s="372">
        <v>900</v>
      </c>
      <c r="LV65" s="371"/>
      <c r="LW65" s="372">
        <v>900</v>
      </c>
      <c r="LX65" s="371"/>
      <c r="LY65" s="372">
        <v>900</v>
      </c>
      <c r="LZ65" s="371"/>
      <c r="MA65" s="372">
        <v>900</v>
      </c>
      <c r="MB65" s="371"/>
      <c r="MC65" s="372">
        <v>900</v>
      </c>
      <c r="MD65" s="371"/>
      <c r="ME65" s="372">
        <v>900</v>
      </c>
      <c r="MF65" s="371"/>
      <c r="MG65" s="372">
        <v>900</v>
      </c>
      <c r="MH65" s="370"/>
      <c r="MI65" s="371"/>
      <c r="MJ65" s="372">
        <v>1250</v>
      </c>
      <c r="MK65" s="371"/>
      <c r="ML65" s="372">
        <v>1250</v>
      </c>
      <c r="MM65" s="371"/>
      <c r="MN65" s="372">
        <v>1350</v>
      </c>
      <c r="MO65" s="371"/>
      <c r="MP65" s="372">
        <v>1250</v>
      </c>
      <c r="MQ65" s="371"/>
      <c r="MR65" s="372">
        <v>2000</v>
      </c>
      <c r="MS65" s="371"/>
      <c r="MT65" s="372">
        <v>2000</v>
      </c>
      <c r="MU65" s="371"/>
      <c r="MV65" s="372">
        <v>2000</v>
      </c>
      <c r="MW65" s="371"/>
      <c r="MX65" s="372">
        <v>2200</v>
      </c>
      <c r="MY65" s="371"/>
      <c r="MZ65" s="372">
        <v>2200</v>
      </c>
      <c r="NA65" s="371"/>
      <c r="NB65" s="372">
        <v>2200</v>
      </c>
      <c r="NC65" s="371"/>
      <c r="ND65" s="372">
        <v>2200</v>
      </c>
      <c r="NE65" s="371"/>
      <c r="NF65" s="372">
        <v>2200</v>
      </c>
      <c r="NG65" s="371"/>
      <c r="NH65" s="372">
        <v>2200</v>
      </c>
      <c r="NI65" s="371"/>
      <c r="NJ65" s="372">
        <v>2200</v>
      </c>
      <c r="NK65" s="371"/>
      <c r="NL65" s="372">
        <v>900</v>
      </c>
      <c r="NM65" s="371"/>
      <c r="NN65" s="372">
        <v>900</v>
      </c>
      <c r="NO65" s="371"/>
      <c r="NP65" s="372">
        <v>900</v>
      </c>
      <c r="NQ65" s="371"/>
      <c r="NR65" s="372">
        <v>900</v>
      </c>
      <c r="NS65" s="371"/>
      <c r="NT65" s="372">
        <v>900</v>
      </c>
      <c r="NU65" s="371"/>
      <c r="NV65" s="372">
        <v>900</v>
      </c>
      <c r="NW65" s="371"/>
      <c r="NX65" s="372">
        <v>900</v>
      </c>
      <c r="NY65" s="371"/>
      <c r="NZ65" s="372">
        <v>900</v>
      </c>
      <c r="OA65" s="371"/>
      <c r="OB65" s="372">
        <v>900</v>
      </c>
      <c r="OC65" s="371"/>
      <c r="OD65" s="372">
        <v>900</v>
      </c>
      <c r="OE65" s="371"/>
      <c r="OF65" s="372">
        <v>900</v>
      </c>
      <c r="OG65" s="371"/>
      <c r="OH65" s="372">
        <v>900</v>
      </c>
      <c r="OI65" s="371"/>
      <c r="OJ65" s="372">
        <v>900</v>
      </c>
      <c r="OK65" s="371"/>
      <c r="OL65" s="372">
        <v>900</v>
      </c>
      <c r="OM65" s="371"/>
      <c r="ON65" s="372">
        <v>900</v>
      </c>
      <c r="OO65" s="371"/>
      <c r="OP65" s="372">
        <v>900</v>
      </c>
      <c r="OQ65" s="371"/>
      <c r="OR65" s="372">
        <v>900</v>
      </c>
      <c r="OS65" s="371"/>
      <c r="OT65" s="372">
        <v>900</v>
      </c>
      <c r="OU65" s="371"/>
      <c r="OV65" s="372">
        <v>900</v>
      </c>
      <c r="OW65" s="371"/>
      <c r="OX65" s="372">
        <v>900</v>
      </c>
      <c r="OY65" s="371"/>
      <c r="OZ65" s="372">
        <v>900</v>
      </c>
      <c r="PA65" s="371"/>
      <c r="PB65" s="372">
        <v>900</v>
      </c>
      <c r="PC65" s="371"/>
      <c r="PD65" s="372">
        <v>900</v>
      </c>
      <c r="PE65" s="371"/>
      <c r="PF65" s="372">
        <v>900</v>
      </c>
      <c r="PG65" s="371"/>
      <c r="PH65" s="372">
        <v>900</v>
      </c>
      <c r="PI65" s="371"/>
      <c r="PJ65" s="372">
        <v>900</v>
      </c>
      <c r="PK65" s="371"/>
      <c r="PL65" s="372">
        <v>900</v>
      </c>
      <c r="PM65" s="371"/>
      <c r="PN65" s="372">
        <v>900</v>
      </c>
      <c r="PO65" s="371"/>
      <c r="PP65" s="372">
        <v>900</v>
      </c>
      <c r="PQ65" s="366"/>
      <c r="PR65" s="371"/>
      <c r="PS65" s="372">
        <v>1000</v>
      </c>
      <c r="PT65" s="371"/>
      <c r="PU65" s="372">
        <v>1000</v>
      </c>
      <c r="PV65" s="371"/>
      <c r="PW65" s="372">
        <v>1000</v>
      </c>
      <c r="PX65" s="371"/>
      <c r="PY65" s="372">
        <v>1000</v>
      </c>
      <c r="PZ65" s="371"/>
      <c r="QA65" s="372">
        <v>1000</v>
      </c>
      <c r="QB65" s="371"/>
      <c r="QC65" s="372">
        <v>1000</v>
      </c>
      <c r="QD65" s="366"/>
      <c r="QE65" s="366"/>
      <c r="QF65" s="371"/>
      <c r="QG65" s="372">
        <v>1000</v>
      </c>
      <c r="QH65" s="371"/>
      <c r="QI65" s="372">
        <v>1000</v>
      </c>
      <c r="QJ65" s="371"/>
      <c r="QK65" s="372">
        <v>1000</v>
      </c>
      <c r="QL65" s="371"/>
      <c r="QM65" s="372">
        <v>1000</v>
      </c>
      <c r="QN65" s="371"/>
      <c r="QO65" s="372">
        <v>1000</v>
      </c>
      <c r="QP65" s="371"/>
      <c r="QQ65" s="372">
        <v>1000</v>
      </c>
    </row>
    <row r="66" spans="1:459" x14ac:dyDescent="0.45">
      <c r="A66" s="871"/>
      <c r="B66" s="367" t="s">
        <v>371</v>
      </c>
      <c r="C66" s="373"/>
      <c r="D66" s="374" t="s">
        <v>372</v>
      </c>
      <c r="E66" s="370"/>
      <c r="F66" s="371"/>
      <c r="G66" s="372">
        <v>3840</v>
      </c>
      <c r="H66" s="371"/>
      <c r="I66" s="372">
        <v>3840</v>
      </c>
      <c r="J66" s="371"/>
      <c r="K66" s="372">
        <v>3840</v>
      </c>
      <c r="L66" s="371"/>
      <c r="M66" s="372">
        <v>3840</v>
      </c>
      <c r="N66" s="371"/>
      <c r="O66" s="372">
        <v>3840</v>
      </c>
      <c r="P66" s="371"/>
      <c r="Q66" s="372">
        <v>3840</v>
      </c>
      <c r="R66" s="371"/>
      <c r="S66" s="372">
        <v>3840</v>
      </c>
      <c r="T66" s="371"/>
      <c r="U66" s="372">
        <v>3840</v>
      </c>
      <c r="V66" s="371"/>
      <c r="W66" s="372">
        <v>3840</v>
      </c>
      <c r="X66" s="371"/>
      <c r="Y66" s="372">
        <v>3840</v>
      </c>
      <c r="Z66" s="371"/>
      <c r="AA66" s="372">
        <v>3840</v>
      </c>
      <c r="AB66" s="371"/>
      <c r="AC66" s="372">
        <v>3840</v>
      </c>
      <c r="AD66" s="371"/>
      <c r="AE66" s="372">
        <v>3840</v>
      </c>
      <c r="AF66" s="371"/>
      <c r="AG66" s="372">
        <v>3840</v>
      </c>
      <c r="AH66" s="371"/>
      <c r="AI66" s="372">
        <v>3840</v>
      </c>
      <c r="AJ66" s="371"/>
      <c r="AK66" s="372">
        <v>3840</v>
      </c>
      <c r="AL66" s="371"/>
      <c r="AM66" s="372">
        <v>3840</v>
      </c>
      <c r="AN66" s="371"/>
      <c r="AO66" s="372">
        <v>3840</v>
      </c>
      <c r="AP66" s="371"/>
      <c r="AQ66" s="372">
        <v>3840</v>
      </c>
      <c r="AR66" s="371"/>
      <c r="AS66" s="372">
        <v>3840</v>
      </c>
      <c r="AT66" s="371"/>
      <c r="AU66" s="372">
        <v>3840</v>
      </c>
      <c r="AV66" s="371"/>
      <c r="AW66" s="372">
        <v>3840</v>
      </c>
      <c r="AX66" s="371"/>
      <c r="AY66" s="372">
        <v>3840</v>
      </c>
      <c r="AZ66" s="371"/>
      <c r="BA66" s="372">
        <v>3840</v>
      </c>
      <c r="BB66" s="371"/>
      <c r="BC66" s="372">
        <v>3840</v>
      </c>
      <c r="BD66" s="371"/>
      <c r="BE66" s="372">
        <v>3840</v>
      </c>
      <c r="BF66" s="371"/>
      <c r="BG66" s="372">
        <v>3840</v>
      </c>
      <c r="BH66" s="371"/>
      <c r="BI66" s="372">
        <v>3840</v>
      </c>
      <c r="BJ66" s="371"/>
      <c r="BK66" s="372">
        <v>3840</v>
      </c>
      <c r="BL66" s="371"/>
      <c r="BM66" s="372">
        <v>3840</v>
      </c>
      <c r="BN66" s="371"/>
      <c r="BO66" s="372">
        <v>3840</v>
      </c>
      <c r="BP66" s="371"/>
      <c r="BQ66" s="372">
        <v>3840</v>
      </c>
      <c r="BR66" s="371"/>
      <c r="BS66" s="372">
        <v>3840</v>
      </c>
      <c r="BT66" s="371"/>
      <c r="BU66" s="372">
        <v>3840</v>
      </c>
      <c r="BV66" s="371"/>
      <c r="BW66" s="372">
        <v>3840</v>
      </c>
      <c r="BX66" s="371"/>
      <c r="BY66" s="372">
        <v>3840</v>
      </c>
      <c r="BZ66" s="371"/>
      <c r="CA66" s="372">
        <v>3840</v>
      </c>
      <c r="CB66" s="371"/>
      <c r="CC66" s="372">
        <v>3840</v>
      </c>
      <c r="CD66" s="371"/>
      <c r="CE66" s="372">
        <v>3840</v>
      </c>
      <c r="CF66" s="371"/>
      <c r="CG66" s="372">
        <v>3840</v>
      </c>
      <c r="CH66" s="371"/>
      <c r="CI66" s="372">
        <v>3840</v>
      </c>
      <c r="CJ66" s="371"/>
      <c r="CK66" s="372">
        <v>3840</v>
      </c>
      <c r="CL66" s="371"/>
      <c r="CM66" s="372">
        <v>3840</v>
      </c>
      <c r="CN66" s="371"/>
      <c r="CO66" s="372">
        <v>3840</v>
      </c>
      <c r="CP66" s="371"/>
      <c r="CQ66" s="372">
        <v>3840</v>
      </c>
      <c r="CR66" s="371"/>
      <c r="CS66" s="372">
        <v>3840</v>
      </c>
      <c r="CT66" s="365"/>
      <c r="CU66" s="371"/>
      <c r="CV66" s="372">
        <v>2387</v>
      </c>
      <c r="CW66" s="371"/>
      <c r="CX66" s="372">
        <v>2387</v>
      </c>
      <c r="CY66" s="371"/>
      <c r="CZ66" s="372">
        <v>2387</v>
      </c>
      <c r="DA66" s="371"/>
      <c r="DB66" s="372">
        <v>2387</v>
      </c>
      <c r="DC66" s="371"/>
      <c r="DD66" s="372">
        <v>2387</v>
      </c>
      <c r="DE66" s="371"/>
      <c r="DF66" s="372">
        <v>2387</v>
      </c>
      <c r="DG66" s="371"/>
      <c r="DH66" s="372">
        <v>2387</v>
      </c>
      <c r="DI66" s="371"/>
      <c r="DJ66" s="372">
        <v>2387</v>
      </c>
      <c r="DK66" s="371"/>
      <c r="DL66" s="372">
        <v>2387</v>
      </c>
      <c r="DM66" s="371"/>
      <c r="DN66" s="372">
        <v>2387</v>
      </c>
      <c r="DO66" s="371"/>
      <c r="DP66" s="372">
        <v>2387</v>
      </c>
      <c r="DQ66" s="371"/>
      <c r="DR66" s="372">
        <v>2387</v>
      </c>
      <c r="DS66" s="371"/>
      <c r="DT66" s="372">
        <v>2387</v>
      </c>
      <c r="DU66" s="371"/>
      <c r="DV66" s="372">
        <v>2387</v>
      </c>
      <c r="DW66" s="371"/>
      <c r="DX66" s="372">
        <v>2387</v>
      </c>
      <c r="DY66" s="371"/>
      <c r="DZ66" s="372">
        <v>2387</v>
      </c>
      <c r="EA66" s="371"/>
      <c r="EB66" s="372">
        <v>2387</v>
      </c>
      <c r="EC66" s="371"/>
      <c r="ED66" s="372">
        <v>2387</v>
      </c>
      <c r="EE66" s="371"/>
      <c r="EF66" s="372">
        <v>2387</v>
      </c>
      <c r="EG66" s="371"/>
      <c r="EH66" s="372">
        <v>2387</v>
      </c>
      <c r="EI66" s="371"/>
      <c r="EJ66" s="372">
        <v>2387</v>
      </c>
      <c r="EK66" s="371"/>
      <c r="EL66" s="372">
        <v>2387</v>
      </c>
      <c r="EM66" s="371"/>
      <c r="EN66" s="372">
        <v>2387</v>
      </c>
      <c r="EO66" s="371"/>
      <c r="EP66" s="372">
        <v>2387</v>
      </c>
      <c r="EQ66" s="371"/>
      <c r="ER66" s="372">
        <v>2387</v>
      </c>
      <c r="ES66" s="371"/>
      <c r="ET66" s="372">
        <v>2387</v>
      </c>
      <c r="EU66" s="371"/>
      <c r="EV66" s="372">
        <v>2387</v>
      </c>
      <c r="EW66" s="371"/>
      <c r="EX66" s="372">
        <v>2387</v>
      </c>
      <c r="EY66" s="371"/>
      <c r="EZ66" s="372">
        <v>2387</v>
      </c>
      <c r="FA66" s="371"/>
      <c r="FB66" s="372">
        <v>2387</v>
      </c>
      <c r="FC66" s="371"/>
      <c r="FD66" s="372">
        <v>2387</v>
      </c>
      <c r="FE66" s="371"/>
      <c r="FF66" s="372">
        <v>2387</v>
      </c>
      <c r="FG66" s="371"/>
      <c r="FH66" s="372">
        <v>2387</v>
      </c>
      <c r="FI66" s="371"/>
      <c r="FJ66" s="372">
        <v>2387</v>
      </c>
      <c r="FK66" s="371"/>
      <c r="FL66" s="372">
        <v>2387</v>
      </c>
      <c r="FM66" s="371"/>
      <c r="FN66" s="372">
        <v>2387</v>
      </c>
      <c r="FO66" s="371"/>
      <c r="FP66" s="372">
        <v>2387</v>
      </c>
      <c r="FQ66" s="370"/>
      <c r="FR66" s="371"/>
      <c r="FS66" s="372">
        <v>3840</v>
      </c>
      <c r="FT66" s="371"/>
      <c r="FU66" s="372">
        <v>3840</v>
      </c>
      <c r="FV66" s="371"/>
      <c r="FW66" s="372">
        <v>3840</v>
      </c>
      <c r="FX66" s="371"/>
      <c r="FY66" s="372">
        <v>3840</v>
      </c>
      <c r="FZ66" s="371"/>
      <c r="GA66" s="372">
        <v>3840</v>
      </c>
      <c r="GB66" s="371"/>
      <c r="GC66" s="372">
        <v>3840</v>
      </c>
      <c r="GD66" s="371"/>
      <c r="GE66" s="372">
        <v>3840</v>
      </c>
      <c r="GF66" s="371"/>
      <c r="GG66" s="372">
        <v>3840</v>
      </c>
      <c r="GH66" s="371"/>
      <c r="GI66" s="372">
        <v>3840</v>
      </c>
      <c r="GJ66" s="371"/>
      <c r="GK66" s="372">
        <v>3840</v>
      </c>
      <c r="GL66" s="371"/>
      <c r="GM66" s="372">
        <v>3840</v>
      </c>
      <c r="GN66" s="371"/>
      <c r="GO66" s="372">
        <v>3840</v>
      </c>
      <c r="GP66" s="371"/>
      <c r="GQ66" s="372">
        <v>3840</v>
      </c>
      <c r="GR66" s="371"/>
      <c r="GS66" s="372">
        <v>3840</v>
      </c>
      <c r="GT66" s="371"/>
      <c r="GU66" s="372">
        <v>3840</v>
      </c>
      <c r="GV66" s="371"/>
      <c r="GW66" s="372">
        <v>3840</v>
      </c>
      <c r="GX66" s="371"/>
      <c r="GY66" s="372">
        <v>3840</v>
      </c>
      <c r="GZ66" s="371"/>
      <c r="HA66" s="372">
        <v>3840</v>
      </c>
      <c r="HB66" s="371"/>
      <c r="HC66" s="372">
        <v>3840</v>
      </c>
      <c r="HD66" s="371"/>
      <c r="HE66" s="372">
        <v>3840</v>
      </c>
      <c r="HF66" s="371"/>
      <c r="HG66" s="372">
        <v>3840</v>
      </c>
      <c r="HH66" s="371"/>
      <c r="HI66" s="372">
        <v>3840</v>
      </c>
      <c r="HJ66" s="371"/>
      <c r="HK66" s="372">
        <v>3840</v>
      </c>
      <c r="HL66" s="371"/>
      <c r="HM66" s="372">
        <v>3840</v>
      </c>
      <c r="HN66" s="371"/>
      <c r="HO66" s="372">
        <v>3840</v>
      </c>
      <c r="HP66" s="371"/>
      <c r="HQ66" s="372">
        <v>3840</v>
      </c>
      <c r="HR66" s="371"/>
      <c r="HS66" s="372">
        <v>3840</v>
      </c>
      <c r="HT66" s="371"/>
      <c r="HU66" s="372">
        <v>3840</v>
      </c>
      <c r="HV66" s="371"/>
      <c r="HW66" s="372">
        <v>3840</v>
      </c>
      <c r="HX66" s="371"/>
      <c r="HY66" s="372">
        <v>3840</v>
      </c>
      <c r="HZ66" s="371"/>
      <c r="IA66" s="372">
        <v>3840</v>
      </c>
      <c r="IB66" s="371"/>
      <c r="IC66" s="372">
        <v>3840</v>
      </c>
      <c r="ID66" s="371"/>
      <c r="IE66" s="372">
        <v>3840</v>
      </c>
      <c r="IF66" s="371"/>
      <c r="IG66" s="372">
        <v>3840</v>
      </c>
      <c r="IH66" s="371"/>
      <c r="II66" s="372">
        <v>3840</v>
      </c>
      <c r="IJ66" s="371"/>
      <c r="IK66" s="372">
        <v>3840</v>
      </c>
      <c r="IL66" s="371"/>
      <c r="IM66" s="372">
        <v>3840</v>
      </c>
      <c r="IN66" s="371"/>
      <c r="IO66" s="372">
        <v>3840</v>
      </c>
      <c r="IP66" s="371"/>
      <c r="IQ66" s="372">
        <v>3840</v>
      </c>
      <c r="IR66" s="371"/>
      <c r="IS66" s="372">
        <v>3840</v>
      </c>
      <c r="IT66" s="371"/>
      <c r="IU66" s="372">
        <v>3840</v>
      </c>
      <c r="IV66" s="371"/>
      <c r="IW66" s="372">
        <v>3840</v>
      </c>
      <c r="IX66" s="371"/>
      <c r="IY66" s="372">
        <v>3840</v>
      </c>
      <c r="IZ66" s="370"/>
      <c r="JA66" s="371"/>
      <c r="JB66" s="372">
        <v>3840</v>
      </c>
      <c r="JC66" s="371"/>
      <c r="JD66" s="372">
        <v>3840</v>
      </c>
      <c r="JE66" s="370"/>
      <c r="JF66" s="371"/>
      <c r="JG66" s="372">
        <v>4200</v>
      </c>
      <c r="JH66" s="371"/>
      <c r="JI66" s="372">
        <v>4200</v>
      </c>
      <c r="JJ66" s="371"/>
      <c r="JK66" s="372">
        <v>4200</v>
      </c>
      <c r="JL66" s="371"/>
      <c r="JM66" s="372">
        <v>4200</v>
      </c>
      <c r="JN66" s="371"/>
      <c r="JO66" s="372">
        <v>4200</v>
      </c>
      <c r="JP66" s="371"/>
      <c r="JQ66" s="372">
        <v>4200</v>
      </c>
      <c r="JR66" s="371"/>
      <c r="JS66" s="372">
        <v>4200</v>
      </c>
      <c r="JT66" s="371"/>
      <c r="JU66" s="372">
        <v>4200</v>
      </c>
      <c r="JV66" s="371"/>
      <c r="JW66" s="372">
        <v>3850</v>
      </c>
      <c r="JX66" s="371"/>
      <c r="JY66" s="372">
        <v>3850</v>
      </c>
      <c r="JZ66" s="371"/>
      <c r="KA66" s="372">
        <v>3850</v>
      </c>
      <c r="KB66" s="371"/>
      <c r="KC66" s="372">
        <v>3850</v>
      </c>
      <c r="KD66" s="371"/>
      <c r="KE66" s="372">
        <v>3850</v>
      </c>
      <c r="KF66" s="371"/>
      <c r="KG66" s="372">
        <v>3850</v>
      </c>
      <c r="KH66" s="371"/>
      <c r="KI66" s="372">
        <v>3850</v>
      </c>
      <c r="KJ66" s="371"/>
      <c r="KK66" s="372">
        <v>3850</v>
      </c>
      <c r="KL66" s="371"/>
      <c r="KM66" s="372">
        <v>3850</v>
      </c>
      <c r="KN66" s="371"/>
      <c r="KO66" s="372">
        <v>3850</v>
      </c>
      <c r="KP66" s="371"/>
      <c r="KQ66" s="372">
        <v>3850</v>
      </c>
      <c r="KR66" s="371"/>
      <c r="KS66" s="372">
        <v>3850</v>
      </c>
      <c r="KT66" s="371"/>
      <c r="KU66" s="372">
        <v>3850</v>
      </c>
      <c r="KV66" s="371"/>
      <c r="KW66" s="372">
        <v>3850</v>
      </c>
      <c r="KX66" s="371"/>
      <c r="KY66" s="372">
        <v>3850</v>
      </c>
      <c r="KZ66" s="371"/>
      <c r="LA66" s="372">
        <v>3850</v>
      </c>
      <c r="LB66" s="371"/>
      <c r="LC66" s="372">
        <v>3850</v>
      </c>
      <c r="LD66" s="371"/>
      <c r="LE66" s="372">
        <v>3850</v>
      </c>
      <c r="LF66" s="371"/>
      <c r="LG66" s="372">
        <v>3850</v>
      </c>
      <c r="LH66" s="371"/>
      <c r="LI66" s="372">
        <v>3850</v>
      </c>
      <c r="LJ66" s="371"/>
      <c r="LK66" s="372">
        <v>3850</v>
      </c>
      <c r="LL66" s="371"/>
      <c r="LM66" s="372">
        <v>3850</v>
      </c>
      <c r="LN66" s="371"/>
      <c r="LO66" s="372">
        <v>3850</v>
      </c>
      <c r="LP66" s="371"/>
      <c r="LQ66" s="372">
        <v>3850</v>
      </c>
      <c r="LR66" s="371"/>
      <c r="LS66" s="372">
        <v>3850</v>
      </c>
      <c r="LT66" s="371"/>
      <c r="LU66" s="372">
        <v>3850</v>
      </c>
      <c r="LV66" s="371"/>
      <c r="LW66" s="372">
        <v>3850</v>
      </c>
      <c r="LX66" s="371"/>
      <c r="LY66" s="372">
        <v>3850</v>
      </c>
      <c r="LZ66" s="371"/>
      <c r="MA66" s="372">
        <v>3850</v>
      </c>
      <c r="MB66" s="371"/>
      <c r="MC66" s="372">
        <v>3850</v>
      </c>
      <c r="MD66" s="371"/>
      <c r="ME66" s="372">
        <v>3850</v>
      </c>
      <c r="MF66" s="371"/>
      <c r="MG66" s="372">
        <v>3850</v>
      </c>
      <c r="MH66" s="370"/>
      <c r="MI66" s="371"/>
      <c r="MJ66" s="372">
        <v>4114</v>
      </c>
      <c r="MK66" s="371"/>
      <c r="ML66" s="372">
        <v>4114</v>
      </c>
      <c r="MM66" s="371"/>
      <c r="MN66" s="372">
        <v>4114</v>
      </c>
      <c r="MO66" s="371"/>
      <c r="MP66" s="372">
        <v>4114</v>
      </c>
      <c r="MQ66" s="371"/>
      <c r="MR66" s="372">
        <v>4114</v>
      </c>
      <c r="MS66" s="371"/>
      <c r="MT66" s="372">
        <v>4114</v>
      </c>
      <c r="MU66" s="371"/>
      <c r="MV66" s="372">
        <v>4114</v>
      </c>
      <c r="MW66" s="371"/>
      <c r="MX66" s="372">
        <v>4114</v>
      </c>
      <c r="MY66" s="371"/>
      <c r="MZ66" s="372">
        <v>4114</v>
      </c>
      <c r="NA66" s="371"/>
      <c r="NB66" s="372">
        <v>4114</v>
      </c>
      <c r="NC66" s="371"/>
      <c r="ND66" s="372">
        <v>4114</v>
      </c>
      <c r="NE66" s="371"/>
      <c r="NF66" s="372">
        <v>4114</v>
      </c>
      <c r="NG66" s="371"/>
      <c r="NH66" s="372">
        <v>4114</v>
      </c>
      <c r="NI66" s="371"/>
      <c r="NJ66" s="372">
        <v>4114</v>
      </c>
      <c r="NK66" s="371"/>
      <c r="NL66" s="372">
        <v>4114</v>
      </c>
      <c r="NM66" s="371"/>
      <c r="NN66" s="372">
        <v>4114</v>
      </c>
      <c r="NO66" s="371"/>
      <c r="NP66" s="372">
        <v>4114</v>
      </c>
      <c r="NQ66" s="371"/>
      <c r="NR66" s="372">
        <v>4114</v>
      </c>
      <c r="NS66" s="371"/>
      <c r="NT66" s="372">
        <v>4114</v>
      </c>
      <c r="NU66" s="371"/>
      <c r="NV66" s="372">
        <v>4114</v>
      </c>
      <c r="NW66" s="371"/>
      <c r="NX66" s="372">
        <v>4114</v>
      </c>
      <c r="NY66" s="371"/>
      <c r="NZ66" s="372">
        <v>4114</v>
      </c>
      <c r="OA66" s="371"/>
      <c r="OB66" s="372">
        <v>4114</v>
      </c>
      <c r="OC66" s="371"/>
      <c r="OD66" s="372">
        <v>4114</v>
      </c>
      <c r="OE66" s="371"/>
      <c r="OF66" s="372">
        <v>4114</v>
      </c>
      <c r="OG66" s="371"/>
      <c r="OH66" s="372">
        <v>4114</v>
      </c>
      <c r="OI66" s="371"/>
      <c r="OJ66" s="372">
        <v>4114</v>
      </c>
      <c r="OK66" s="371"/>
      <c r="OL66" s="372">
        <v>4114</v>
      </c>
      <c r="OM66" s="371"/>
      <c r="ON66" s="372">
        <v>4114</v>
      </c>
      <c r="OO66" s="371"/>
      <c r="OP66" s="372">
        <v>4114</v>
      </c>
      <c r="OQ66" s="371"/>
      <c r="OR66" s="372">
        <v>4114</v>
      </c>
      <c r="OS66" s="371"/>
      <c r="OT66" s="372">
        <v>4114</v>
      </c>
      <c r="OU66" s="371"/>
      <c r="OV66" s="372">
        <v>4114</v>
      </c>
      <c r="OW66" s="371"/>
      <c r="OX66" s="372">
        <v>4114</v>
      </c>
      <c r="OY66" s="371"/>
      <c r="OZ66" s="372">
        <v>4114</v>
      </c>
      <c r="PA66" s="371"/>
      <c r="PB66" s="372">
        <v>4114</v>
      </c>
      <c r="PC66" s="371"/>
      <c r="PD66" s="372">
        <v>4114</v>
      </c>
      <c r="PE66" s="371"/>
      <c r="PF66" s="372">
        <v>4114</v>
      </c>
      <c r="PG66" s="371"/>
      <c r="PH66" s="372">
        <v>4114</v>
      </c>
      <c r="PI66" s="371"/>
      <c r="PJ66" s="372">
        <v>4114</v>
      </c>
      <c r="PK66" s="371"/>
      <c r="PL66" s="372">
        <v>4114</v>
      </c>
      <c r="PM66" s="371"/>
      <c r="PN66" s="372">
        <v>4114</v>
      </c>
      <c r="PO66" s="371"/>
      <c r="PP66" s="372">
        <v>4114</v>
      </c>
      <c r="PQ66" s="366"/>
      <c r="PR66" s="371"/>
      <c r="PS66" s="372">
        <v>5800</v>
      </c>
      <c r="PT66" s="371"/>
      <c r="PU66" s="372">
        <v>5800</v>
      </c>
      <c r="PV66" s="371"/>
      <c r="PW66" s="372">
        <v>5800</v>
      </c>
      <c r="PX66" s="371"/>
      <c r="PY66" s="372">
        <v>5800</v>
      </c>
      <c r="PZ66" s="371"/>
      <c r="QA66" s="372">
        <v>5800</v>
      </c>
      <c r="QB66" s="371"/>
      <c r="QC66" s="372">
        <v>5800</v>
      </c>
      <c r="QD66" s="366"/>
      <c r="QE66" s="366"/>
      <c r="QF66" s="371"/>
      <c r="QG66" s="372">
        <v>5800</v>
      </c>
      <c r="QH66" s="371"/>
      <c r="QI66" s="372">
        <v>5800</v>
      </c>
      <c r="QJ66" s="371"/>
      <c r="QK66" s="372">
        <v>5800</v>
      </c>
      <c r="QL66" s="371"/>
      <c r="QM66" s="372">
        <v>5800</v>
      </c>
      <c r="QN66" s="371"/>
      <c r="QO66" s="372">
        <v>5800</v>
      </c>
      <c r="QP66" s="371"/>
      <c r="QQ66" s="372">
        <v>5800</v>
      </c>
    </row>
    <row r="67" spans="1:459" x14ac:dyDescent="0.45">
      <c r="A67" s="871"/>
      <c r="B67" s="272" t="s">
        <v>373</v>
      </c>
      <c r="C67" s="360"/>
      <c r="D67" s="375" t="s">
        <v>361</v>
      </c>
      <c r="E67" s="376"/>
      <c r="F67" s="377"/>
      <c r="G67" s="378">
        <f>G65/G66</f>
        <v>0.29947916666666669</v>
      </c>
      <c r="H67" s="377"/>
      <c r="I67" s="378">
        <f>I65/I66</f>
        <v>0.29947916666666669</v>
      </c>
      <c r="J67" s="377"/>
      <c r="K67" s="378">
        <f>K65/K66</f>
        <v>0.29947916666666669</v>
      </c>
      <c r="L67" s="377"/>
      <c r="M67" s="378">
        <f>M65/M66</f>
        <v>0.29947916666666669</v>
      </c>
      <c r="N67" s="377"/>
      <c r="O67" s="378">
        <f>O65/O66</f>
        <v>0.29947916666666669</v>
      </c>
      <c r="P67" s="377"/>
      <c r="Q67" s="378">
        <f>Q65/Q66</f>
        <v>0.3515625</v>
      </c>
      <c r="R67" s="377"/>
      <c r="S67" s="378">
        <f>S65/S66</f>
        <v>0.29947916666666669</v>
      </c>
      <c r="T67" s="377"/>
      <c r="U67" s="378">
        <f>U65/U66</f>
        <v>0.52083333333333337</v>
      </c>
      <c r="V67" s="377"/>
      <c r="W67" s="378">
        <f>W65/W66</f>
        <v>0.52083333333333337</v>
      </c>
      <c r="X67" s="377"/>
      <c r="Y67" s="378">
        <f>Y65/Y66</f>
        <v>0.54453125000000002</v>
      </c>
      <c r="Z67" s="377"/>
      <c r="AA67" s="378">
        <f>AA65/AA66</f>
        <v>0.52083333333333337</v>
      </c>
      <c r="AB67" s="377"/>
      <c r="AC67" s="378">
        <f>AC65/AC66</f>
        <v>0.52083333333333337</v>
      </c>
      <c r="AD67" s="377"/>
      <c r="AE67" s="378">
        <f>AE65/AE66</f>
        <v>0.57291666666666663</v>
      </c>
      <c r="AF67" s="377"/>
      <c r="AG67" s="378">
        <f>AG65/AG66</f>
        <v>0.57291666666666663</v>
      </c>
      <c r="AH67" s="377"/>
      <c r="AI67" s="378">
        <f>AI65/AI66</f>
        <v>0.57291666666666663</v>
      </c>
      <c r="AJ67" s="377"/>
      <c r="AK67" s="378">
        <f>AK65/AK66</f>
        <v>0.57291666666666663</v>
      </c>
      <c r="AL67" s="377"/>
      <c r="AM67" s="378">
        <f>AM65/AM66</f>
        <v>0.57291666666666663</v>
      </c>
      <c r="AN67" s="377"/>
      <c r="AO67" s="378">
        <f>AO65/AO66</f>
        <v>0.57291666666666663</v>
      </c>
      <c r="AP67" s="377"/>
      <c r="AQ67" s="378">
        <f>AQ65/AQ66</f>
        <v>0.57291666666666663</v>
      </c>
      <c r="AR67" s="377"/>
      <c r="AS67" s="378">
        <f>AS65/AS66</f>
        <v>0.234375</v>
      </c>
      <c r="AT67" s="377"/>
      <c r="AU67" s="378">
        <f>AU65/AU66</f>
        <v>0.234375</v>
      </c>
      <c r="AV67" s="377"/>
      <c r="AW67" s="378">
        <f>AW65/AW66</f>
        <v>0.234375</v>
      </c>
      <c r="AX67" s="377"/>
      <c r="AY67" s="378">
        <f>AY65/AY66</f>
        <v>0.234375</v>
      </c>
      <c r="AZ67" s="377"/>
      <c r="BA67" s="378">
        <f>BA65/BA66</f>
        <v>0.234375</v>
      </c>
      <c r="BB67" s="377"/>
      <c r="BC67" s="378">
        <f>BC65/BC66</f>
        <v>0.234375</v>
      </c>
      <c r="BD67" s="377"/>
      <c r="BE67" s="378">
        <f>BE65/BE66</f>
        <v>0.234375</v>
      </c>
      <c r="BF67" s="377"/>
      <c r="BG67" s="378">
        <f>BG65/BG66</f>
        <v>0.234375</v>
      </c>
      <c r="BH67" s="377"/>
      <c r="BI67" s="378">
        <f>BI65/BI66</f>
        <v>0.234375</v>
      </c>
      <c r="BJ67" s="377"/>
      <c r="BK67" s="378">
        <f>BK65/BK66</f>
        <v>0.234375</v>
      </c>
      <c r="BL67" s="377"/>
      <c r="BM67" s="378">
        <f>BM65/BM66</f>
        <v>0.234375</v>
      </c>
      <c r="BN67" s="377"/>
      <c r="BO67" s="378">
        <f>BO65/BO66</f>
        <v>0.234375</v>
      </c>
      <c r="BP67" s="377"/>
      <c r="BQ67" s="378">
        <f>BQ65/BQ66</f>
        <v>0.234375</v>
      </c>
      <c r="BR67" s="377"/>
      <c r="BS67" s="378">
        <f>BS65/BS66</f>
        <v>0.234375</v>
      </c>
      <c r="BT67" s="377"/>
      <c r="BU67" s="378">
        <f>BU65/BU66</f>
        <v>0.234375</v>
      </c>
      <c r="BV67" s="377"/>
      <c r="BW67" s="378">
        <f>BW65/BW66</f>
        <v>0.234375</v>
      </c>
      <c r="BX67" s="377"/>
      <c r="BY67" s="378">
        <f>BY65/BY66</f>
        <v>0.234375</v>
      </c>
      <c r="BZ67" s="377"/>
      <c r="CA67" s="378">
        <f>CA65/CA66</f>
        <v>0.234375</v>
      </c>
      <c r="CB67" s="377"/>
      <c r="CC67" s="378">
        <f>CC65/CC66</f>
        <v>0.234375</v>
      </c>
      <c r="CD67" s="377"/>
      <c r="CE67" s="378">
        <f>CE65/CE66</f>
        <v>0.234375</v>
      </c>
      <c r="CF67" s="377"/>
      <c r="CG67" s="378">
        <f>CG65/CG66</f>
        <v>0.234375</v>
      </c>
      <c r="CH67" s="377"/>
      <c r="CI67" s="378">
        <f>CI65/CI66</f>
        <v>0.234375</v>
      </c>
      <c r="CJ67" s="377"/>
      <c r="CK67" s="378">
        <f>CK65/CK66</f>
        <v>0.234375</v>
      </c>
      <c r="CL67" s="377"/>
      <c r="CM67" s="378">
        <f>CM65/CM66</f>
        <v>0.234375</v>
      </c>
      <c r="CN67" s="377"/>
      <c r="CO67" s="378">
        <f>CO65/CO66</f>
        <v>0.234375</v>
      </c>
      <c r="CP67" s="377"/>
      <c r="CQ67" s="378">
        <f>CQ65/CQ66</f>
        <v>0.234375</v>
      </c>
      <c r="CR67" s="377"/>
      <c r="CS67" s="378">
        <f>CS65/CS66</f>
        <v>0.234375</v>
      </c>
      <c r="CT67" s="379"/>
      <c r="CU67" s="377"/>
      <c r="CV67" s="378">
        <f>CV65/CV66</f>
        <v>0.56556346878927521</v>
      </c>
      <c r="CW67" s="377"/>
      <c r="CX67" s="378">
        <f>CX65/CX66</f>
        <v>0.59488898198575613</v>
      </c>
      <c r="CY67" s="377"/>
      <c r="CZ67" s="378">
        <f>CZ65/CZ66</f>
        <v>0.83787180561374108</v>
      </c>
      <c r="DA67" s="377"/>
      <c r="DB67" s="378">
        <f>DB65/DB66</f>
        <v>0.83787180561374108</v>
      </c>
      <c r="DC67" s="377"/>
      <c r="DD67" s="378">
        <f>DD65/DD66</f>
        <v>0.92165898617511521</v>
      </c>
      <c r="DE67" s="377"/>
      <c r="DF67" s="378">
        <f>DF65/DF66</f>
        <v>0.92165898617511521</v>
      </c>
      <c r="DG67" s="377"/>
      <c r="DH67" s="378">
        <f>DH65/DH66</f>
        <v>0.92165898617511521</v>
      </c>
      <c r="DI67" s="377"/>
      <c r="DJ67" s="378">
        <f>DJ65/DJ66</f>
        <v>0.92165898617511521</v>
      </c>
      <c r="DK67" s="377"/>
      <c r="DL67" s="378">
        <f>DL65/DL66</f>
        <v>0.92165898617511521</v>
      </c>
      <c r="DM67" s="377"/>
      <c r="DN67" s="378">
        <f>DN65/DN66</f>
        <v>0.92165898617511521</v>
      </c>
      <c r="DO67" s="377"/>
      <c r="DP67" s="378">
        <f>DP65/DP66</f>
        <v>0.92165898617511521</v>
      </c>
      <c r="DQ67" s="377"/>
      <c r="DR67" s="378">
        <f>DR65/DR66</f>
        <v>0.92165898617511521</v>
      </c>
      <c r="DS67" s="377"/>
      <c r="DT67" s="378">
        <f>DT65/DT66</f>
        <v>0.37704231252618348</v>
      </c>
      <c r="DU67" s="377"/>
      <c r="DV67" s="378">
        <f>DV65/DV66</f>
        <v>0.37704231252618348</v>
      </c>
      <c r="DW67" s="377"/>
      <c r="DX67" s="378">
        <f>DX65/DX66</f>
        <v>0.37704231252618348</v>
      </c>
      <c r="DY67" s="377"/>
      <c r="DZ67" s="378">
        <f>DZ65/DZ66</f>
        <v>0.37704231252618348</v>
      </c>
      <c r="EA67" s="377"/>
      <c r="EB67" s="378">
        <f>EB65/EB66</f>
        <v>0.37704231252618348</v>
      </c>
      <c r="EC67" s="377"/>
      <c r="ED67" s="378">
        <f>ED65/ED66</f>
        <v>0.37704231252618348</v>
      </c>
      <c r="EE67" s="377"/>
      <c r="EF67" s="378">
        <f>EF65/EF66</f>
        <v>0.37704231252618348</v>
      </c>
      <c r="EG67" s="377"/>
      <c r="EH67" s="378">
        <f>EH65/EH66</f>
        <v>0.37704231252618348</v>
      </c>
      <c r="EI67" s="377"/>
      <c r="EJ67" s="378">
        <f>EJ65/EJ66</f>
        <v>0.37704231252618348</v>
      </c>
      <c r="EK67" s="377"/>
      <c r="EL67" s="378">
        <f>EL65/EL66</f>
        <v>0.37704231252618348</v>
      </c>
      <c r="EM67" s="377"/>
      <c r="EN67" s="378">
        <f>EN65/EN66</f>
        <v>0.37704231252618348</v>
      </c>
      <c r="EO67" s="377"/>
      <c r="EP67" s="378">
        <f>EP65/EP66</f>
        <v>0.37704231252618348</v>
      </c>
      <c r="EQ67" s="377"/>
      <c r="ER67" s="378">
        <f>ER65/ER66</f>
        <v>0.37704231252618348</v>
      </c>
      <c r="ES67" s="377"/>
      <c r="ET67" s="378">
        <f>ET65/ET66</f>
        <v>0.37704231252618348</v>
      </c>
      <c r="EU67" s="377"/>
      <c r="EV67" s="378">
        <f>EV65/EV66</f>
        <v>0.37704231252618348</v>
      </c>
      <c r="EW67" s="377"/>
      <c r="EX67" s="378">
        <f>EX65/EX66</f>
        <v>0.37704231252618348</v>
      </c>
      <c r="EY67" s="377"/>
      <c r="EZ67" s="378">
        <f>EZ65/EZ66</f>
        <v>0.37704231252618348</v>
      </c>
      <c r="FA67" s="377"/>
      <c r="FB67" s="378">
        <f>FB65/FB66</f>
        <v>0.37704231252618348</v>
      </c>
      <c r="FC67" s="377"/>
      <c r="FD67" s="378">
        <f>FD65/FD66</f>
        <v>0.37704231252618348</v>
      </c>
      <c r="FE67" s="377"/>
      <c r="FF67" s="378">
        <f>FF65/FF66</f>
        <v>0.37704231252618348</v>
      </c>
      <c r="FG67" s="377"/>
      <c r="FH67" s="378">
        <f>FH65/FH66</f>
        <v>0.37704231252618348</v>
      </c>
      <c r="FI67" s="377"/>
      <c r="FJ67" s="378">
        <f>FJ65/FJ66</f>
        <v>0.37704231252618348</v>
      </c>
      <c r="FK67" s="377"/>
      <c r="FL67" s="378">
        <f>FL65/FL66</f>
        <v>0.37704231252618348</v>
      </c>
      <c r="FM67" s="377"/>
      <c r="FN67" s="378">
        <f>FN65/FN66</f>
        <v>0.37704231252618348</v>
      </c>
      <c r="FO67" s="377"/>
      <c r="FP67" s="378">
        <f>FP65/FP66</f>
        <v>0.37704231252618348</v>
      </c>
      <c r="FQ67" s="376"/>
      <c r="FR67" s="377"/>
      <c r="FS67" s="378">
        <f>FS65/FS66</f>
        <v>0.30208333333333331</v>
      </c>
      <c r="FT67" s="377"/>
      <c r="FU67" s="378">
        <f>FU65/FU66</f>
        <v>0.30208333333333331</v>
      </c>
      <c r="FV67" s="377"/>
      <c r="FW67" s="378">
        <f>FW65/FW66</f>
        <v>0.3515625</v>
      </c>
      <c r="FX67" s="377"/>
      <c r="FY67" s="378">
        <f>FY65/FY66</f>
        <v>0.29947916666666669</v>
      </c>
      <c r="FZ67" s="377"/>
      <c r="GA67" s="378">
        <f>GA65/GA66</f>
        <v>0.52083333333333337</v>
      </c>
      <c r="GB67" s="377"/>
      <c r="GC67" s="378">
        <f>GC65/GC66</f>
        <v>0.52083333333333337</v>
      </c>
      <c r="GD67" s="377"/>
      <c r="GE67" s="378">
        <f>GE65/GE66</f>
        <v>0.54453125000000002</v>
      </c>
      <c r="GF67" s="377"/>
      <c r="GG67" s="378">
        <f>GG65/GG66</f>
        <v>0.52083333333333337</v>
      </c>
      <c r="GH67" s="377"/>
      <c r="GI67" s="378">
        <f>GI65/GI66</f>
        <v>0.52083333333333337</v>
      </c>
      <c r="GJ67" s="377"/>
      <c r="GK67" s="378">
        <f>GK65/GK66</f>
        <v>0.57291666666666663</v>
      </c>
      <c r="GL67" s="377"/>
      <c r="GM67" s="378">
        <f>GM65/GM66</f>
        <v>0.57291666666666663</v>
      </c>
      <c r="GN67" s="377"/>
      <c r="GO67" s="378">
        <f>GO65/GO66</f>
        <v>0.57291666666666663</v>
      </c>
      <c r="GP67" s="377"/>
      <c r="GQ67" s="378">
        <f>GQ65/GQ66</f>
        <v>0.57291666666666663</v>
      </c>
      <c r="GR67" s="377"/>
      <c r="GS67" s="378">
        <f>GS65/GS66</f>
        <v>0.57291666666666663</v>
      </c>
      <c r="GT67" s="377"/>
      <c r="GU67" s="378">
        <f>GU65/GU66</f>
        <v>0.57291666666666663</v>
      </c>
      <c r="GV67" s="377"/>
      <c r="GW67" s="378">
        <f>GW65/GW66</f>
        <v>0.57291666666666663</v>
      </c>
      <c r="GX67" s="377"/>
      <c r="GY67" s="378">
        <f>GY65/GY66</f>
        <v>0.57291666666666663</v>
      </c>
      <c r="GZ67" s="377"/>
      <c r="HA67" s="378">
        <f>HA65/HA66</f>
        <v>0.234375</v>
      </c>
      <c r="HB67" s="377"/>
      <c r="HC67" s="378">
        <f>HC65/HC66</f>
        <v>0.234375</v>
      </c>
      <c r="HD67" s="377"/>
      <c r="HE67" s="378">
        <f>HE65/HE66</f>
        <v>0.234375</v>
      </c>
      <c r="HF67" s="377"/>
      <c r="HG67" s="378">
        <f>HG65/HG66</f>
        <v>0.234375</v>
      </c>
      <c r="HH67" s="377"/>
      <c r="HI67" s="378">
        <f>HI65/HI66</f>
        <v>0.234375</v>
      </c>
      <c r="HJ67" s="377"/>
      <c r="HK67" s="378">
        <f>HK65/HK66</f>
        <v>0.234375</v>
      </c>
      <c r="HL67" s="377"/>
      <c r="HM67" s="378">
        <f>HM65/HM66</f>
        <v>0.234375</v>
      </c>
      <c r="HN67" s="377"/>
      <c r="HO67" s="378">
        <f>HO65/HO66</f>
        <v>0.234375</v>
      </c>
      <c r="HP67" s="377"/>
      <c r="HQ67" s="378">
        <f>HQ65/HQ66</f>
        <v>0.234375</v>
      </c>
      <c r="HR67" s="377"/>
      <c r="HS67" s="378">
        <f>HS65/HS66</f>
        <v>0.234375</v>
      </c>
      <c r="HT67" s="377"/>
      <c r="HU67" s="378">
        <f>HU65/HU66</f>
        <v>0.234375</v>
      </c>
      <c r="HV67" s="377"/>
      <c r="HW67" s="378">
        <f>HW65/HW66</f>
        <v>0.234375</v>
      </c>
      <c r="HX67" s="377"/>
      <c r="HY67" s="378">
        <f>HY65/HY66</f>
        <v>0.234375</v>
      </c>
      <c r="HZ67" s="377"/>
      <c r="IA67" s="378">
        <f>IA65/IA66</f>
        <v>0.234375</v>
      </c>
      <c r="IB67" s="377"/>
      <c r="IC67" s="378">
        <f>IC65/IC66</f>
        <v>0.234375</v>
      </c>
      <c r="ID67" s="377"/>
      <c r="IE67" s="378">
        <f>IE65/IE66</f>
        <v>0.234375</v>
      </c>
      <c r="IF67" s="377"/>
      <c r="IG67" s="378">
        <f>IG65/IG66</f>
        <v>0.234375</v>
      </c>
      <c r="IH67" s="377"/>
      <c r="II67" s="378">
        <f>II65/II66</f>
        <v>0.234375</v>
      </c>
      <c r="IJ67" s="377"/>
      <c r="IK67" s="378">
        <f>IK65/IK66</f>
        <v>0.234375</v>
      </c>
      <c r="IL67" s="377"/>
      <c r="IM67" s="378">
        <f>IM65/IM66</f>
        <v>0.234375</v>
      </c>
      <c r="IN67" s="377"/>
      <c r="IO67" s="378">
        <f>IO65/IO66</f>
        <v>0.234375</v>
      </c>
      <c r="IP67" s="377"/>
      <c r="IQ67" s="378">
        <f>IQ65/IQ66</f>
        <v>0.234375</v>
      </c>
      <c r="IR67" s="377"/>
      <c r="IS67" s="378">
        <f>IS65/IS66</f>
        <v>0.234375</v>
      </c>
      <c r="IT67" s="377"/>
      <c r="IU67" s="378">
        <f>IU65/IU66</f>
        <v>0.234375</v>
      </c>
      <c r="IV67" s="377"/>
      <c r="IW67" s="378">
        <f>IW65/IW66</f>
        <v>0.234375</v>
      </c>
      <c r="IX67" s="377"/>
      <c r="IY67" s="378">
        <f>IY65/IY66</f>
        <v>0.234375</v>
      </c>
      <c r="IZ67" s="376"/>
      <c r="JA67" s="377"/>
      <c r="JB67" s="378">
        <f>JB65/JB66</f>
        <v>0.234375</v>
      </c>
      <c r="JC67" s="377"/>
      <c r="JD67" s="378">
        <f>JD65/JD66</f>
        <v>0.234375</v>
      </c>
      <c r="JE67" s="376"/>
      <c r="JF67" s="377"/>
      <c r="JG67" s="378">
        <f>JG65/JG66</f>
        <v>0.29761904761904762</v>
      </c>
      <c r="JH67" s="377"/>
      <c r="JI67" s="378">
        <f>JI65/JI66</f>
        <v>0.29761904761904762</v>
      </c>
      <c r="JJ67" s="377"/>
      <c r="JK67" s="378">
        <f>JK65/JK66</f>
        <v>0.32142857142857145</v>
      </c>
      <c r="JL67" s="377"/>
      <c r="JM67" s="378">
        <f>JM65/JM66</f>
        <v>0.29761904761904762</v>
      </c>
      <c r="JN67" s="377"/>
      <c r="JO67" s="378">
        <f>JO65/JO66</f>
        <v>0.47619047619047616</v>
      </c>
      <c r="JP67" s="377"/>
      <c r="JQ67" s="378">
        <f>JQ65/JQ66</f>
        <v>0.47619047619047616</v>
      </c>
      <c r="JR67" s="377"/>
      <c r="JS67" s="378">
        <f>JS65/JS66</f>
        <v>0.47619047619047616</v>
      </c>
      <c r="JT67" s="377"/>
      <c r="JU67" s="378">
        <f>JU65/JU66</f>
        <v>0.52380952380952384</v>
      </c>
      <c r="JV67" s="377"/>
      <c r="JW67" s="378">
        <f>JW65/JW66</f>
        <v>0.5714285714285714</v>
      </c>
      <c r="JX67" s="377"/>
      <c r="JY67" s="378">
        <f>JY65/JY66</f>
        <v>0.5714285714285714</v>
      </c>
      <c r="JZ67" s="377"/>
      <c r="KA67" s="378">
        <f>KA65/KA66</f>
        <v>0.5714285714285714</v>
      </c>
      <c r="KB67" s="377"/>
      <c r="KC67" s="378">
        <f>KC65/KC66</f>
        <v>0.5714285714285714</v>
      </c>
      <c r="KD67" s="377"/>
      <c r="KE67" s="378">
        <f>KE65/KE66</f>
        <v>0.5714285714285714</v>
      </c>
      <c r="KF67" s="377"/>
      <c r="KG67" s="378">
        <f>KG65/KG66</f>
        <v>0.5714285714285714</v>
      </c>
      <c r="KH67" s="377"/>
      <c r="KI67" s="378">
        <f>KI65/KI66</f>
        <v>0.5714285714285714</v>
      </c>
      <c r="KJ67" s="377"/>
      <c r="KK67" s="378">
        <f>KK65/KK66</f>
        <v>0.23376623376623376</v>
      </c>
      <c r="KL67" s="377"/>
      <c r="KM67" s="378">
        <f>KM65/KM66</f>
        <v>0.23376623376623376</v>
      </c>
      <c r="KN67" s="377"/>
      <c r="KO67" s="378">
        <f>KO65/KO66</f>
        <v>0.23376623376623376</v>
      </c>
      <c r="KP67" s="377"/>
      <c r="KQ67" s="378">
        <f>KQ65/KQ66</f>
        <v>0.23376623376623376</v>
      </c>
      <c r="KR67" s="377"/>
      <c r="KS67" s="378">
        <f>KS65/KS66</f>
        <v>0.23376623376623376</v>
      </c>
      <c r="KT67" s="377"/>
      <c r="KU67" s="378">
        <f>KU65/KU66</f>
        <v>0.23376623376623376</v>
      </c>
      <c r="KV67" s="377"/>
      <c r="KW67" s="378">
        <f>KW65/KW66</f>
        <v>0.23376623376623376</v>
      </c>
      <c r="KX67" s="377"/>
      <c r="KY67" s="378">
        <f>KY65/KY66</f>
        <v>0.23376623376623376</v>
      </c>
      <c r="KZ67" s="377"/>
      <c r="LA67" s="378">
        <f>LA65/LA66</f>
        <v>0.23376623376623376</v>
      </c>
      <c r="LB67" s="377"/>
      <c r="LC67" s="378">
        <f>LC65/LC66</f>
        <v>0.23376623376623376</v>
      </c>
      <c r="LD67" s="377"/>
      <c r="LE67" s="378">
        <f>LE65/LE66</f>
        <v>0.23376623376623376</v>
      </c>
      <c r="LF67" s="377"/>
      <c r="LG67" s="378">
        <f>LG65/LG66</f>
        <v>0.23376623376623376</v>
      </c>
      <c r="LH67" s="377"/>
      <c r="LI67" s="378">
        <f>LI65/LI66</f>
        <v>0.23376623376623376</v>
      </c>
      <c r="LJ67" s="377"/>
      <c r="LK67" s="378">
        <f>LK65/LK66</f>
        <v>0.23376623376623376</v>
      </c>
      <c r="LL67" s="377"/>
      <c r="LM67" s="378">
        <f>LM65/LM66</f>
        <v>0.23376623376623376</v>
      </c>
      <c r="LN67" s="377"/>
      <c r="LO67" s="378">
        <f>LO65/LO66</f>
        <v>0.23376623376623376</v>
      </c>
      <c r="LP67" s="377"/>
      <c r="LQ67" s="378">
        <f>LQ65/LQ66</f>
        <v>0.23376623376623376</v>
      </c>
      <c r="LR67" s="377"/>
      <c r="LS67" s="378">
        <f>LS65/LS66</f>
        <v>0.23376623376623376</v>
      </c>
      <c r="LT67" s="377"/>
      <c r="LU67" s="378">
        <f>LU65/LU66</f>
        <v>0.23376623376623376</v>
      </c>
      <c r="LV67" s="377"/>
      <c r="LW67" s="378">
        <f>LW65/LW66</f>
        <v>0.23376623376623376</v>
      </c>
      <c r="LX67" s="377"/>
      <c r="LY67" s="378">
        <f>LY65/LY66</f>
        <v>0.23376623376623376</v>
      </c>
      <c r="LZ67" s="377"/>
      <c r="MA67" s="378">
        <f>MA65/MA66</f>
        <v>0.23376623376623376</v>
      </c>
      <c r="MB67" s="377"/>
      <c r="MC67" s="378">
        <f>MC65/MC66</f>
        <v>0.23376623376623376</v>
      </c>
      <c r="MD67" s="377"/>
      <c r="ME67" s="378">
        <f>ME65/ME66</f>
        <v>0.23376623376623376</v>
      </c>
      <c r="MF67" s="377"/>
      <c r="MG67" s="378">
        <f>MG65/MG66</f>
        <v>0.23376623376623376</v>
      </c>
      <c r="MH67" s="376"/>
      <c r="MI67" s="377"/>
      <c r="MJ67" s="378">
        <f>MJ65/MJ66</f>
        <v>0.30384054448225573</v>
      </c>
      <c r="MK67" s="377"/>
      <c r="ML67" s="378">
        <f>ML65/ML66</f>
        <v>0.30384054448225573</v>
      </c>
      <c r="MM67" s="377"/>
      <c r="MN67" s="378">
        <f>MN65/MN66</f>
        <v>0.32814778804083616</v>
      </c>
      <c r="MO67" s="377"/>
      <c r="MP67" s="378">
        <f>MP65/MP66</f>
        <v>0.30384054448225573</v>
      </c>
      <c r="MQ67" s="377"/>
      <c r="MR67" s="378">
        <f>MR65/MR66</f>
        <v>0.48614487117160915</v>
      </c>
      <c r="MS67" s="377"/>
      <c r="MT67" s="378">
        <f>MT65/MT66</f>
        <v>0.48614487117160915</v>
      </c>
      <c r="MU67" s="377"/>
      <c r="MV67" s="378">
        <f>MV65/MV66</f>
        <v>0.48614487117160915</v>
      </c>
      <c r="MW67" s="377"/>
      <c r="MX67" s="378">
        <f>MX65/MX66</f>
        <v>0.53475935828877008</v>
      </c>
      <c r="MY67" s="377"/>
      <c r="MZ67" s="378">
        <f>MZ65/MZ66</f>
        <v>0.53475935828877008</v>
      </c>
      <c r="NA67" s="377"/>
      <c r="NB67" s="378">
        <f>NB65/NB66</f>
        <v>0.53475935828877008</v>
      </c>
      <c r="NC67" s="377"/>
      <c r="ND67" s="378">
        <f>ND65/ND66</f>
        <v>0.53475935828877008</v>
      </c>
      <c r="NE67" s="377"/>
      <c r="NF67" s="378">
        <f>NF65/NF66</f>
        <v>0.53475935828877008</v>
      </c>
      <c r="NG67" s="377"/>
      <c r="NH67" s="378">
        <f>NH65/NH66</f>
        <v>0.53475935828877008</v>
      </c>
      <c r="NI67" s="377"/>
      <c r="NJ67" s="378">
        <f>NJ65/NJ66</f>
        <v>0.53475935828877008</v>
      </c>
      <c r="NK67" s="377"/>
      <c r="NL67" s="378">
        <f>NL65/NL66</f>
        <v>0.21876519202722411</v>
      </c>
      <c r="NM67" s="377"/>
      <c r="NN67" s="378">
        <f>NN65/NN66</f>
        <v>0.21876519202722411</v>
      </c>
      <c r="NO67" s="377"/>
      <c r="NP67" s="378">
        <f>NP65/NP66</f>
        <v>0.21876519202722411</v>
      </c>
      <c r="NQ67" s="377"/>
      <c r="NR67" s="378">
        <f>NR65/NR66</f>
        <v>0.21876519202722411</v>
      </c>
      <c r="NS67" s="377"/>
      <c r="NT67" s="378">
        <f>NT65/NT66</f>
        <v>0.21876519202722411</v>
      </c>
      <c r="NU67" s="377"/>
      <c r="NV67" s="378">
        <f>NV65/NV66</f>
        <v>0.21876519202722411</v>
      </c>
      <c r="NW67" s="377"/>
      <c r="NX67" s="378">
        <f>NX65/NX66</f>
        <v>0.21876519202722411</v>
      </c>
      <c r="NY67" s="377"/>
      <c r="NZ67" s="378">
        <f>NZ65/NZ66</f>
        <v>0.21876519202722411</v>
      </c>
      <c r="OA67" s="377"/>
      <c r="OB67" s="378">
        <f>OB65/OB66</f>
        <v>0.21876519202722411</v>
      </c>
      <c r="OC67" s="377"/>
      <c r="OD67" s="378">
        <f>OD65/OD66</f>
        <v>0.21876519202722411</v>
      </c>
      <c r="OE67" s="377"/>
      <c r="OF67" s="378">
        <f>OF65/OF66</f>
        <v>0.21876519202722411</v>
      </c>
      <c r="OG67" s="377"/>
      <c r="OH67" s="378">
        <f>OH65/OH66</f>
        <v>0.21876519202722411</v>
      </c>
      <c r="OI67" s="377"/>
      <c r="OJ67" s="378">
        <f>OJ65/OJ66</f>
        <v>0.21876519202722411</v>
      </c>
      <c r="OK67" s="377"/>
      <c r="OL67" s="378">
        <f>OL65/OL66</f>
        <v>0.21876519202722411</v>
      </c>
      <c r="OM67" s="377"/>
      <c r="ON67" s="378">
        <f>ON65/ON66</f>
        <v>0.21876519202722411</v>
      </c>
      <c r="OO67" s="377"/>
      <c r="OP67" s="378">
        <f>OP65/OP66</f>
        <v>0.21876519202722411</v>
      </c>
      <c r="OQ67" s="377"/>
      <c r="OR67" s="378">
        <f>OR65/OR66</f>
        <v>0.21876519202722411</v>
      </c>
      <c r="OS67" s="377"/>
      <c r="OT67" s="378">
        <f>OT65/OT66</f>
        <v>0.21876519202722411</v>
      </c>
      <c r="OU67" s="377"/>
      <c r="OV67" s="378">
        <f>OV65/OV66</f>
        <v>0.21876519202722411</v>
      </c>
      <c r="OW67" s="377"/>
      <c r="OX67" s="378">
        <f>OX65/OX66</f>
        <v>0.21876519202722411</v>
      </c>
      <c r="OY67" s="377"/>
      <c r="OZ67" s="378">
        <f>OZ65/OZ66</f>
        <v>0.21876519202722411</v>
      </c>
      <c r="PA67" s="377"/>
      <c r="PB67" s="378">
        <f>PB65/PB66</f>
        <v>0.21876519202722411</v>
      </c>
      <c r="PC67" s="377"/>
      <c r="PD67" s="378">
        <f>PD65/PD66</f>
        <v>0.21876519202722411</v>
      </c>
      <c r="PE67" s="377"/>
      <c r="PF67" s="378">
        <f>PF65/PF66</f>
        <v>0.21876519202722411</v>
      </c>
      <c r="PG67" s="377"/>
      <c r="PH67" s="378">
        <f>PH65/PH66</f>
        <v>0.21876519202722411</v>
      </c>
      <c r="PI67" s="377"/>
      <c r="PJ67" s="378">
        <f>PJ65/PJ66</f>
        <v>0.21876519202722411</v>
      </c>
      <c r="PK67" s="377"/>
      <c r="PL67" s="378">
        <f>PL65/PL66</f>
        <v>0.21876519202722411</v>
      </c>
      <c r="PM67" s="377"/>
      <c r="PN67" s="378">
        <f>PN65/PN66</f>
        <v>0.21876519202722411</v>
      </c>
      <c r="PO67" s="377"/>
      <c r="PP67" s="378">
        <f>PP65/PP66</f>
        <v>0.21876519202722411</v>
      </c>
      <c r="PQ67" s="366"/>
      <c r="PR67" s="377"/>
      <c r="PS67" s="378">
        <f>PS65/PS66</f>
        <v>0.17241379310344829</v>
      </c>
      <c r="PT67" s="377"/>
      <c r="PU67" s="378">
        <f>PU65/PU66</f>
        <v>0.17241379310344829</v>
      </c>
      <c r="PV67" s="377"/>
      <c r="PW67" s="378">
        <f>PW65/PW66</f>
        <v>0.17241379310344829</v>
      </c>
      <c r="PX67" s="377"/>
      <c r="PY67" s="378">
        <f>PY65/PY66</f>
        <v>0.17241379310344829</v>
      </c>
      <c r="PZ67" s="377"/>
      <c r="QA67" s="378">
        <f>QA65/QA66</f>
        <v>0.17241379310344829</v>
      </c>
      <c r="QB67" s="377"/>
      <c r="QC67" s="378">
        <f>QC65/QC66</f>
        <v>0.17241379310344829</v>
      </c>
      <c r="QD67" s="366"/>
      <c r="QE67" s="366"/>
      <c r="QF67" s="377"/>
      <c r="QG67" s="378">
        <f>QG65/QG66</f>
        <v>0.17241379310344829</v>
      </c>
      <c r="QH67" s="377"/>
      <c r="QI67" s="378">
        <f>QI65/QI66</f>
        <v>0.17241379310344829</v>
      </c>
      <c r="QJ67" s="377"/>
      <c r="QK67" s="378">
        <f>QK65/QK66</f>
        <v>0.17241379310344829</v>
      </c>
      <c r="QL67" s="377"/>
      <c r="QM67" s="378">
        <f>QM65/QM66</f>
        <v>0.17241379310344829</v>
      </c>
      <c r="QN67" s="377"/>
      <c r="QO67" s="378">
        <f>QO65/QO66</f>
        <v>0.17241379310344829</v>
      </c>
      <c r="QP67" s="377"/>
      <c r="QQ67" s="378">
        <f>QQ65/QQ66</f>
        <v>0.17241379310344829</v>
      </c>
    </row>
    <row r="68" spans="1:459" x14ac:dyDescent="0.45">
      <c r="A68" s="871"/>
      <c r="B68" s="272"/>
      <c r="C68" s="360"/>
      <c r="D68" s="375"/>
      <c r="E68" s="376"/>
      <c r="F68" s="377"/>
      <c r="G68" s="378"/>
      <c r="H68" s="377"/>
      <c r="I68" s="378"/>
      <c r="J68" s="377"/>
      <c r="K68" s="378"/>
      <c r="L68" s="377"/>
      <c r="M68" s="378"/>
      <c r="N68" s="377"/>
      <c r="O68" s="378"/>
      <c r="P68" s="377"/>
      <c r="Q68" s="378"/>
      <c r="R68" s="377"/>
      <c r="S68" s="378"/>
      <c r="T68" s="377"/>
      <c r="U68" s="378"/>
      <c r="V68" s="377"/>
      <c r="W68" s="378"/>
      <c r="X68" s="377"/>
      <c r="Y68" s="378"/>
      <c r="Z68" s="377"/>
      <c r="AA68" s="378"/>
      <c r="AB68" s="377"/>
      <c r="AC68" s="378"/>
      <c r="AD68" s="377"/>
      <c r="AE68" s="378"/>
      <c r="AF68" s="377"/>
      <c r="AG68" s="378"/>
      <c r="AH68" s="377"/>
      <c r="AI68" s="378"/>
      <c r="AJ68" s="377"/>
      <c r="AK68" s="378"/>
      <c r="AL68" s="377"/>
      <c r="AM68" s="378"/>
      <c r="AN68" s="377"/>
      <c r="AO68" s="378"/>
      <c r="AP68" s="377"/>
      <c r="AQ68" s="378"/>
      <c r="AR68" s="377"/>
      <c r="AS68" s="378"/>
      <c r="AT68" s="377"/>
      <c r="AU68" s="378"/>
      <c r="AV68" s="377"/>
      <c r="AW68" s="378"/>
      <c r="AX68" s="377"/>
      <c r="AY68" s="378"/>
      <c r="AZ68" s="377"/>
      <c r="BA68" s="378"/>
      <c r="BB68" s="377"/>
      <c r="BC68" s="378"/>
      <c r="BD68" s="377"/>
      <c r="BE68" s="378"/>
      <c r="BF68" s="377"/>
      <c r="BG68" s="378"/>
      <c r="BH68" s="377"/>
      <c r="BI68" s="378"/>
      <c r="BJ68" s="377"/>
      <c r="BK68" s="378"/>
      <c r="BL68" s="377"/>
      <c r="BM68" s="378"/>
      <c r="BN68" s="377"/>
      <c r="BO68" s="378"/>
      <c r="BP68" s="377"/>
      <c r="BQ68" s="378"/>
      <c r="BR68" s="377"/>
      <c r="BS68" s="378"/>
      <c r="BT68" s="377"/>
      <c r="BU68" s="378"/>
      <c r="BV68" s="377"/>
      <c r="BW68" s="378"/>
      <c r="BX68" s="377"/>
      <c r="BY68" s="378"/>
      <c r="BZ68" s="377"/>
      <c r="CA68" s="378"/>
      <c r="CB68" s="377"/>
      <c r="CC68" s="378"/>
      <c r="CD68" s="377"/>
      <c r="CE68" s="378"/>
      <c r="CF68" s="377"/>
      <c r="CG68" s="378"/>
      <c r="CH68" s="377"/>
      <c r="CI68" s="378"/>
      <c r="CJ68" s="377"/>
      <c r="CK68" s="378"/>
      <c r="CL68" s="377"/>
      <c r="CM68" s="378"/>
      <c r="CN68" s="377"/>
      <c r="CO68" s="378"/>
      <c r="CP68" s="377"/>
      <c r="CQ68" s="378"/>
      <c r="CR68" s="377"/>
      <c r="CS68" s="378"/>
      <c r="CT68" s="379"/>
      <c r="CU68" s="377"/>
      <c r="CV68" s="378"/>
      <c r="CW68" s="377"/>
      <c r="CX68" s="378"/>
      <c r="CY68" s="377"/>
      <c r="CZ68" s="378"/>
      <c r="DA68" s="377"/>
      <c r="DB68" s="378"/>
      <c r="DC68" s="377"/>
      <c r="DD68" s="378"/>
      <c r="DE68" s="377"/>
      <c r="DF68" s="378"/>
      <c r="DG68" s="377"/>
      <c r="DH68" s="378"/>
      <c r="DI68" s="377"/>
      <c r="DJ68" s="378"/>
      <c r="DK68" s="377"/>
      <c r="DL68" s="378"/>
      <c r="DM68" s="377"/>
      <c r="DN68" s="378"/>
      <c r="DO68" s="377"/>
      <c r="DP68" s="378"/>
      <c r="DQ68" s="377"/>
      <c r="DR68" s="378"/>
      <c r="DS68" s="377"/>
      <c r="DT68" s="378"/>
      <c r="DU68" s="377"/>
      <c r="DV68" s="378"/>
      <c r="DW68" s="377"/>
      <c r="DX68" s="378"/>
      <c r="DY68" s="377"/>
      <c r="DZ68" s="378"/>
      <c r="EA68" s="377"/>
      <c r="EB68" s="378"/>
      <c r="EC68" s="377"/>
      <c r="ED68" s="378"/>
      <c r="EE68" s="377"/>
      <c r="EF68" s="378"/>
      <c r="EG68" s="377"/>
      <c r="EH68" s="378"/>
      <c r="EI68" s="377"/>
      <c r="EJ68" s="378"/>
      <c r="EK68" s="377"/>
      <c r="EL68" s="378"/>
      <c r="EM68" s="377"/>
      <c r="EN68" s="378"/>
      <c r="EO68" s="377"/>
      <c r="EP68" s="378"/>
      <c r="EQ68" s="377"/>
      <c r="ER68" s="378"/>
      <c r="ES68" s="377"/>
      <c r="ET68" s="378"/>
      <c r="EU68" s="377"/>
      <c r="EV68" s="378"/>
      <c r="EW68" s="377"/>
      <c r="EX68" s="378"/>
      <c r="EY68" s="377"/>
      <c r="EZ68" s="378"/>
      <c r="FA68" s="377"/>
      <c r="FB68" s="378"/>
      <c r="FC68" s="377"/>
      <c r="FD68" s="378"/>
      <c r="FE68" s="377"/>
      <c r="FF68" s="378"/>
      <c r="FG68" s="377"/>
      <c r="FH68" s="378"/>
      <c r="FI68" s="377"/>
      <c r="FJ68" s="378"/>
      <c r="FK68" s="377"/>
      <c r="FL68" s="378"/>
      <c r="FM68" s="377"/>
      <c r="FN68" s="378"/>
      <c r="FO68" s="377"/>
      <c r="FP68" s="378"/>
      <c r="FQ68" s="376"/>
      <c r="FR68" s="377"/>
      <c r="FS68" s="378"/>
      <c r="FT68" s="377"/>
      <c r="FU68" s="378"/>
      <c r="FV68" s="377"/>
      <c r="FW68" s="378"/>
      <c r="FX68" s="377"/>
      <c r="FY68" s="378"/>
      <c r="FZ68" s="377"/>
      <c r="GA68" s="378"/>
      <c r="GB68" s="377"/>
      <c r="GC68" s="378"/>
      <c r="GD68" s="377"/>
      <c r="GE68" s="378"/>
      <c r="GF68" s="377"/>
      <c r="GG68" s="378"/>
      <c r="GH68" s="377"/>
      <c r="GI68" s="378"/>
      <c r="GJ68" s="377"/>
      <c r="GK68" s="378"/>
      <c r="GL68" s="377"/>
      <c r="GM68" s="378"/>
      <c r="GN68" s="377"/>
      <c r="GO68" s="378"/>
      <c r="GP68" s="377"/>
      <c r="GQ68" s="378"/>
      <c r="GR68" s="377"/>
      <c r="GS68" s="378"/>
      <c r="GT68" s="377"/>
      <c r="GU68" s="378"/>
      <c r="GV68" s="377"/>
      <c r="GW68" s="378"/>
      <c r="GX68" s="377"/>
      <c r="GY68" s="378"/>
      <c r="GZ68" s="377"/>
      <c r="HA68" s="378"/>
      <c r="HB68" s="377"/>
      <c r="HC68" s="378"/>
      <c r="HD68" s="377"/>
      <c r="HE68" s="378"/>
      <c r="HF68" s="377"/>
      <c r="HG68" s="378"/>
      <c r="HH68" s="377"/>
      <c r="HI68" s="378"/>
      <c r="HJ68" s="377"/>
      <c r="HK68" s="378"/>
      <c r="HL68" s="377"/>
      <c r="HM68" s="378"/>
      <c r="HN68" s="377"/>
      <c r="HO68" s="378"/>
      <c r="HP68" s="377"/>
      <c r="HQ68" s="378"/>
      <c r="HR68" s="377"/>
      <c r="HS68" s="378"/>
      <c r="HT68" s="377"/>
      <c r="HU68" s="378"/>
      <c r="HV68" s="377"/>
      <c r="HW68" s="378"/>
      <c r="HX68" s="377"/>
      <c r="HY68" s="378"/>
      <c r="HZ68" s="377"/>
      <c r="IA68" s="378"/>
      <c r="IB68" s="377"/>
      <c r="IC68" s="378"/>
      <c r="ID68" s="377"/>
      <c r="IE68" s="378"/>
      <c r="IF68" s="377"/>
      <c r="IG68" s="378"/>
      <c r="IH68" s="377"/>
      <c r="II68" s="378"/>
      <c r="IJ68" s="377"/>
      <c r="IK68" s="378"/>
      <c r="IL68" s="377"/>
      <c r="IM68" s="378"/>
      <c r="IN68" s="377"/>
      <c r="IO68" s="378"/>
      <c r="IP68" s="377"/>
      <c r="IQ68" s="378"/>
      <c r="IR68" s="377"/>
      <c r="IS68" s="378"/>
      <c r="IT68" s="377"/>
      <c r="IU68" s="378"/>
      <c r="IV68" s="377"/>
      <c r="IW68" s="378"/>
      <c r="IX68" s="377"/>
      <c r="IY68" s="378"/>
      <c r="IZ68" s="376"/>
      <c r="JA68" s="377"/>
      <c r="JB68" s="378"/>
      <c r="JC68" s="377"/>
      <c r="JD68" s="378"/>
      <c r="JE68" s="376"/>
      <c r="JF68" s="377"/>
      <c r="JG68" s="378"/>
      <c r="JH68" s="377"/>
      <c r="JI68" s="378"/>
      <c r="JJ68" s="377"/>
      <c r="JK68" s="378"/>
      <c r="JL68" s="377"/>
      <c r="JM68" s="378"/>
      <c r="JN68" s="377"/>
      <c r="JO68" s="378"/>
      <c r="JP68" s="377"/>
      <c r="JQ68" s="378"/>
      <c r="JR68" s="377"/>
      <c r="JS68" s="378"/>
      <c r="JT68" s="377"/>
      <c r="JU68" s="378"/>
      <c r="JV68" s="377"/>
      <c r="JW68" s="378"/>
      <c r="JX68" s="377"/>
      <c r="JY68" s="378"/>
      <c r="JZ68" s="377"/>
      <c r="KA68" s="378"/>
      <c r="KB68" s="377"/>
      <c r="KC68" s="378"/>
      <c r="KD68" s="377"/>
      <c r="KE68" s="378"/>
      <c r="KF68" s="377"/>
      <c r="KG68" s="378"/>
      <c r="KH68" s="377"/>
      <c r="KI68" s="378"/>
      <c r="KJ68" s="377"/>
      <c r="KK68" s="378"/>
      <c r="KL68" s="377"/>
      <c r="KM68" s="378"/>
      <c r="KN68" s="377"/>
      <c r="KO68" s="378"/>
      <c r="KP68" s="377"/>
      <c r="KQ68" s="378"/>
      <c r="KR68" s="377"/>
      <c r="KS68" s="378"/>
      <c r="KT68" s="377"/>
      <c r="KU68" s="378"/>
      <c r="KV68" s="377"/>
      <c r="KW68" s="378"/>
      <c r="KX68" s="377"/>
      <c r="KY68" s="378"/>
      <c r="KZ68" s="377"/>
      <c r="LA68" s="378"/>
      <c r="LB68" s="377"/>
      <c r="LC68" s="378"/>
      <c r="LD68" s="377"/>
      <c r="LE68" s="378"/>
      <c r="LF68" s="377"/>
      <c r="LG68" s="378"/>
      <c r="LH68" s="377"/>
      <c r="LI68" s="378"/>
      <c r="LJ68" s="377"/>
      <c r="LK68" s="378"/>
      <c r="LL68" s="377"/>
      <c r="LM68" s="378"/>
      <c r="LN68" s="377"/>
      <c r="LO68" s="378"/>
      <c r="LP68" s="377"/>
      <c r="LQ68" s="378"/>
      <c r="LR68" s="377"/>
      <c r="LS68" s="378"/>
      <c r="LT68" s="377"/>
      <c r="LU68" s="378"/>
      <c r="LV68" s="377"/>
      <c r="LW68" s="378"/>
      <c r="LX68" s="377"/>
      <c r="LY68" s="378"/>
      <c r="LZ68" s="377"/>
      <c r="MA68" s="378"/>
      <c r="MB68" s="377"/>
      <c r="MC68" s="378"/>
      <c r="MD68" s="377"/>
      <c r="ME68" s="378"/>
      <c r="MF68" s="377"/>
      <c r="MG68" s="378"/>
      <c r="MH68" s="376"/>
      <c r="MI68" s="377"/>
      <c r="MJ68" s="378"/>
      <c r="MK68" s="377"/>
      <c r="ML68" s="378"/>
      <c r="MM68" s="377"/>
      <c r="MN68" s="378"/>
      <c r="MO68" s="377"/>
      <c r="MP68" s="378"/>
      <c r="MQ68" s="377"/>
      <c r="MR68" s="378"/>
      <c r="MS68" s="377"/>
      <c r="MT68" s="378"/>
      <c r="MU68" s="377"/>
      <c r="MV68" s="378"/>
      <c r="MW68" s="377"/>
      <c r="MX68" s="378"/>
      <c r="MY68" s="377"/>
      <c r="MZ68" s="378"/>
      <c r="NA68" s="377"/>
      <c r="NB68" s="378"/>
      <c r="NC68" s="377"/>
      <c r="ND68" s="378"/>
      <c r="NE68" s="377"/>
      <c r="NF68" s="378"/>
      <c r="NG68" s="377"/>
      <c r="NH68" s="378"/>
      <c r="NI68" s="377"/>
      <c r="NJ68" s="378"/>
      <c r="NK68" s="377"/>
      <c r="NL68" s="378"/>
      <c r="NM68" s="377"/>
      <c r="NN68" s="378"/>
      <c r="NO68" s="377"/>
      <c r="NP68" s="378"/>
      <c r="NQ68" s="377"/>
      <c r="NR68" s="378"/>
      <c r="NS68" s="377"/>
      <c r="NT68" s="378"/>
      <c r="NU68" s="377"/>
      <c r="NV68" s="378"/>
      <c r="NW68" s="377"/>
      <c r="NX68" s="378"/>
      <c r="NY68" s="377"/>
      <c r="NZ68" s="378"/>
      <c r="OA68" s="377"/>
      <c r="OB68" s="378"/>
      <c r="OC68" s="377"/>
      <c r="OD68" s="378"/>
      <c r="OE68" s="377"/>
      <c r="OF68" s="378"/>
      <c r="OG68" s="377"/>
      <c r="OH68" s="378"/>
      <c r="OI68" s="377"/>
      <c r="OJ68" s="378"/>
      <c r="OK68" s="377"/>
      <c r="OL68" s="378"/>
      <c r="OM68" s="377"/>
      <c r="ON68" s="378"/>
      <c r="OO68" s="377"/>
      <c r="OP68" s="378"/>
      <c r="OQ68" s="377"/>
      <c r="OR68" s="378"/>
      <c r="OS68" s="377"/>
      <c r="OT68" s="378"/>
      <c r="OU68" s="377"/>
      <c r="OV68" s="378"/>
      <c r="OW68" s="377"/>
      <c r="OX68" s="378"/>
      <c r="OY68" s="377"/>
      <c r="OZ68" s="378"/>
      <c r="PA68" s="377"/>
      <c r="PB68" s="378"/>
      <c r="PC68" s="377"/>
      <c r="PD68" s="378"/>
      <c r="PE68" s="377"/>
      <c r="PF68" s="378"/>
      <c r="PG68" s="377"/>
      <c r="PH68" s="378"/>
      <c r="PI68" s="377"/>
      <c r="PJ68" s="378"/>
      <c r="PK68" s="377"/>
      <c r="PL68" s="378"/>
      <c r="PM68" s="377"/>
      <c r="PN68" s="378"/>
      <c r="PO68" s="377"/>
      <c r="PP68" s="378"/>
      <c r="PQ68" s="366"/>
      <c r="PR68" s="377"/>
      <c r="PS68" s="378"/>
      <c r="PT68" s="377"/>
      <c r="PU68" s="378"/>
      <c r="PV68" s="377"/>
      <c r="PW68" s="378"/>
      <c r="PX68" s="377"/>
      <c r="PY68" s="378"/>
      <c r="PZ68" s="377"/>
      <c r="QA68" s="378"/>
      <c r="QB68" s="377"/>
      <c r="QC68" s="378"/>
      <c r="QD68" s="366"/>
      <c r="QE68" s="366"/>
      <c r="QF68" s="377"/>
      <c r="QG68" s="378"/>
      <c r="QH68" s="377"/>
      <c r="QI68" s="378"/>
      <c r="QJ68" s="377"/>
      <c r="QK68" s="378"/>
      <c r="QL68" s="377"/>
      <c r="QM68" s="378"/>
      <c r="QN68" s="377"/>
      <c r="QO68" s="378"/>
      <c r="QP68" s="377"/>
      <c r="QQ68" s="378"/>
    </row>
    <row r="69" spans="1:459" x14ac:dyDescent="0.45">
      <c r="A69" s="871"/>
      <c r="B69" s="318" t="s">
        <v>374</v>
      </c>
      <c r="C69" s="319"/>
      <c r="D69" s="320" t="s">
        <v>361</v>
      </c>
      <c r="E69" s="219"/>
      <c r="F69" s="321"/>
      <c r="G69" s="322">
        <v>5.0999999999999996</v>
      </c>
      <c r="H69" s="321"/>
      <c r="I69" s="322">
        <v>6.6</v>
      </c>
      <c r="J69" s="321"/>
      <c r="K69" s="322">
        <v>6.6</v>
      </c>
      <c r="L69" s="321"/>
      <c r="M69" s="322">
        <v>6.6</v>
      </c>
      <c r="N69" s="321"/>
      <c r="O69" s="322">
        <v>6.6</v>
      </c>
      <c r="P69" s="321"/>
      <c r="Q69" s="322">
        <v>6.6</v>
      </c>
      <c r="R69" s="321"/>
      <c r="S69" s="322">
        <v>6.6</v>
      </c>
      <c r="T69" s="321"/>
      <c r="U69" s="380">
        <v>6.7</v>
      </c>
      <c r="V69" s="321"/>
      <c r="W69" s="380">
        <v>6.7</v>
      </c>
      <c r="X69" s="321"/>
      <c r="Y69" s="380">
        <v>6.6</v>
      </c>
      <c r="Z69" s="321"/>
      <c r="AA69" s="380">
        <v>6.75</v>
      </c>
      <c r="AB69" s="321"/>
      <c r="AC69" s="380">
        <v>6.75</v>
      </c>
      <c r="AD69" s="321"/>
      <c r="AE69" s="380">
        <v>7.05</v>
      </c>
      <c r="AF69" s="321"/>
      <c r="AG69" s="380">
        <v>7.05</v>
      </c>
      <c r="AH69" s="321"/>
      <c r="AI69" s="380">
        <v>7.05</v>
      </c>
      <c r="AJ69" s="321"/>
      <c r="AK69" s="380">
        <v>7.05</v>
      </c>
      <c r="AL69" s="321"/>
      <c r="AM69" s="380">
        <v>7.05</v>
      </c>
      <c r="AN69" s="321"/>
      <c r="AO69" s="380">
        <v>7.05</v>
      </c>
      <c r="AP69" s="321"/>
      <c r="AQ69" s="380">
        <v>7.05</v>
      </c>
      <c r="AR69" s="321"/>
      <c r="AS69" s="380">
        <f>AQ69</f>
        <v>7.05</v>
      </c>
      <c r="AT69" s="321"/>
      <c r="AU69" s="380">
        <v>7.35</v>
      </c>
      <c r="AV69" s="321"/>
      <c r="AW69" s="380">
        <v>7.35</v>
      </c>
      <c r="AX69" s="321"/>
      <c r="AY69" s="380">
        <v>7.35</v>
      </c>
      <c r="AZ69" s="321"/>
      <c r="BA69" s="380">
        <v>7.35</v>
      </c>
      <c r="BB69" s="321"/>
      <c r="BC69" s="380">
        <v>7.35</v>
      </c>
      <c r="BD69" s="321"/>
      <c r="BE69" s="380">
        <v>7.35</v>
      </c>
      <c r="BF69" s="321"/>
      <c r="BG69" s="380">
        <v>7.35</v>
      </c>
      <c r="BH69" s="321"/>
      <c r="BI69" s="380">
        <v>7.35</v>
      </c>
      <c r="BJ69" s="321"/>
      <c r="BK69" s="380">
        <v>7.35</v>
      </c>
      <c r="BL69" s="321"/>
      <c r="BM69" s="380">
        <v>7.35</v>
      </c>
      <c r="BN69" s="321"/>
      <c r="BO69" s="380">
        <v>7.35</v>
      </c>
      <c r="BP69" s="321"/>
      <c r="BQ69" s="380">
        <v>7.35</v>
      </c>
      <c r="BR69" s="321"/>
      <c r="BS69" s="380">
        <v>7.35</v>
      </c>
      <c r="BT69" s="321"/>
      <c r="BU69" s="380">
        <v>7.35</v>
      </c>
      <c r="BV69" s="321"/>
      <c r="BW69" s="380">
        <v>7.35</v>
      </c>
      <c r="BX69" s="321"/>
      <c r="BY69" s="380">
        <v>7.35</v>
      </c>
      <c r="BZ69" s="321"/>
      <c r="CA69" s="380">
        <v>7.35</v>
      </c>
      <c r="CB69" s="321"/>
      <c r="CC69" s="380">
        <v>7.35</v>
      </c>
      <c r="CD69" s="321"/>
      <c r="CE69" s="380">
        <v>7.35</v>
      </c>
      <c r="CF69" s="321"/>
      <c r="CG69" s="380">
        <v>7.35</v>
      </c>
      <c r="CH69" s="321"/>
      <c r="CI69" s="380">
        <v>7.35</v>
      </c>
      <c r="CJ69" s="321"/>
      <c r="CK69" s="380">
        <v>7.35</v>
      </c>
      <c r="CL69" s="321"/>
      <c r="CM69" s="380">
        <v>7.35</v>
      </c>
      <c r="CN69" s="321"/>
      <c r="CO69" s="380">
        <v>7.35</v>
      </c>
      <c r="CP69" s="321"/>
      <c r="CQ69" s="380">
        <v>7.35</v>
      </c>
      <c r="CR69" s="321"/>
      <c r="CS69" s="380">
        <v>7.35</v>
      </c>
      <c r="CT69" s="323"/>
      <c r="CU69" s="321"/>
      <c r="CV69" s="322">
        <v>9.75</v>
      </c>
      <c r="CW69" s="321"/>
      <c r="CX69" s="322">
        <v>9.75</v>
      </c>
      <c r="CY69" s="321"/>
      <c r="CZ69" s="322">
        <v>9.8000000000000007</v>
      </c>
      <c r="DA69" s="321"/>
      <c r="DB69" s="322">
        <v>9.8000000000000007</v>
      </c>
      <c r="DC69" s="321"/>
      <c r="DD69" s="322">
        <v>10.4</v>
      </c>
      <c r="DE69" s="321"/>
      <c r="DF69" s="322">
        <v>10.4</v>
      </c>
      <c r="DG69" s="321"/>
      <c r="DH69" s="322">
        <v>10.4</v>
      </c>
      <c r="DI69" s="321"/>
      <c r="DJ69" s="322">
        <v>10.4</v>
      </c>
      <c r="DK69" s="321"/>
      <c r="DL69" s="322">
        <v>10.4</v>
      </c>
      <c r="DM69" s="321"/>
      <c r="DN69" s="322">
        <v>10.4</v>
      </c>
      <c r="DO69" s="321"/>
      <c r="DP69" s="322">
        <v>10.4</v>
      </c>
      <c r="DQ69" s="321"/>
      <c r="DR69" s="322">
        <f>DP69</f>
        <v>10.4</v>
      </c>
      <c r="DS69" s="321"/>
      <c r="DT69" s="322">
        <v>10.95</v>
      </c>
      <c r="DU69" s="321"/>
      <c r="DV69" s="322">
        <v>10.95</v>
      </c>
      <c r="DW69" s="321"/>
      <c r="DX69" s="322">
        <v>10.95</v>
      </c>
      <c r="DY69" s="321"/>
      <c r="DZ69" s="322">
        <v>10.95</v>
      </c>
      <c r="EA69" s="321"/>
      <c r="EB69" s="322">
        <v>10.95</v>
      </c>
      <c r="EC69" s="321"/>
      <c r="ED69" s="322">
        <v>10.95</v>
      </c>
      <c r="EE69" s="321"/>
      <c r="EF69" s="322">
        <v>10.95</v>
      </c>
      <c r="EG69" s="321"/>
      <c r="EH69" s="322">
        <v>10.95</v>
      </c>
      <c r="EI69" s="321"/>
      <c r="EJ69" s="322">
        <v>10.95</v>
      </c>
      <c r="EK69" s="321"/>
      <c r="EL69" s="322">
        <v>10.95</v>
      </c>
      <c r="EM69" s="321"/>
      <c r="EN69" s="322">
        <v>10.95</v>
      </c>
      <c r="EO69" s="321"/>
      <c r="EP69" s="322">
        <v>10.95</v>
      </c>
      <c r="EQ69" s="321"/>
      <c r="ER69" s="322">
        <v>10.95</v>
      </c>
      <c r="ES69" s="321"/>
      <c r="ET69" s="322">
        <v>10.95</v>
      </c>
      <c r="EU69" s="321"/>
      <c r="EV69" s="322">
        <v>10.95</v>
      </c>
      <c r="EW69" s="321"/>
      <c r="EX69" s="322">
        <v>10.95</v>
      </c>
      <c r="EY69" s="321"/>
      <c r="EZ69" s="322">
        <v>10.95</v>
      </c>
      <c r="FA69" s="321"/>
      <c r="FB69" s="322">
        <v>10.95</v>
      </c>
      <c r="FC69" s="321"/>
      <c r="FD69" s="322">
        <v>10.95</v>
      </c>
      <c r="FE69" s="321"/>
      <c r="FF69" s="322">
        <v>10.95</v>
      </c>
      <c r="FG69" s="321"/>
      <c r="FH69" s="322">
        <v>10.95</v>
      </c>
      <c r="FI69" s="321"/>
      <c r="FJ69" s="322">
        <v>10.95</v>
      </c>
      <c r="FK69" s="321"/>
      <c r="FL69" s="322">
        <v>10.95</v>
      </c>
      <c r="FM69" s="321"/>
      <c r="FN69" s="322">
        <v>10.95</v>
      </c>
      <c r="FO69" s="321"/>
      <c r="FP69" s="322">
        <v>10.95</v>
      </c>
      <c r="FQ69" s="219"/>
      <c r="FR69" s="321"/>
      <c r="FS69" s="322">
        <v>6.6</v>
      </c>
      <c r="FT69" s="321"/>
      <c r="FU69" s="322">
        <v>6.6</v>
      </c>
      <c r="FV69" s="321"/>
      <c r="FW69" s="322">
        <v>6.6</v>
      </c>
      <c r="FX69" s="321"/>
      <c r="FY69" s="322">
        <v>6.6</v>
      </c>
      <c r="FZ69" s="321"/>
      <c r="GA69" s="322">
        <v>6.7</v>
      </c>
      <c r="GB69" s="321"/>
      <c r="GC69" s="322">
        <v>6.7</v>
      </c>
      <c r="GD69" s="321"/>
      <c r="GE69" s="322">
        <v>6.6</v>
      </c>
      <c r="GF69" s="321"/>
      <c r="GG69" s="322">
        <v>6.75</v>
      </c>
      <c r="GH69" s="321"/>
      <c r="GI69" s="322">
        <v>6.75</v>
      </c>
      <c r="GJ69" s="321"/>
      <c r="GK69" s="322">
        <v>7.9</v>
      </c>
      <c r="GL69" s="321"/>
      <c r="GM69" s="322">
        <v>7.9</v>
      </c>
      <c r="GN69" s="321"/>
      <c r="GO69" s="322">
        <v>7.9</v>
      </c>
      <c r="GP69" s="321"/>
      <c r="GQ69" s="322">
        <v>7.9</v>
      </c>
      <c r="GR69" s="321"/>
      <c r="GS69" s="322">
        <v>7.9</v>
      </c>
      <c r="GT69" s="321"/>
      <c r="GU69" s="322">
        <v>7.9</v>
      </c>
      <c r="GV69" s="321"/>
      <c r="GW69" s="322">
        <v>7.9</v>
      </c>
      <c r="GX69" s="321"/>
      <c r="GY69" s="322">
        <f>GW69</f>
        <v>7.9</v>
      </c>
      <c r="GZ69" s="321"/>
      <c r="HA69" s="322">
        <v>8.25</v>
      </c>
      <c r="HB69" s="321"/>
      <c r="HC69" s="322">
        <v>8.25</v>
      </c>
      <c r="HD69" s="321"/>
      <c r="HE69" s="322">
        <v>8.25</v>
      </c>
      <c r="HF69" s="321"/>
      <c r="HG69" s="322">
        <v>8.25</v>
      </c>
      <c r="HH69" s="321"/>
      <c r="HI69" s="322">
        <v>8.25</v>
      </c>
      <c r="HJ69" s="321"/>
      <c r="HK69" s="322">
        <v>8.25</v>
      </c>
      <c r="HL69" s="321"/>
      <c r="HM69" s="322">
        <v>8.25</v>
      </c>
      <c r="HN69" s="321"/>
      <c r="HO69" s="322">
        <v>8.25</v>
      </c>
      <c r="HP69" s="321"/>
      <c r="HQ69" s="322">
        <v>8.25</v>
      </c>
      <c r="HR69" s="321"/>
      <c r="HS69" s="322">
        <v>8.25</v>
      </c>
      <c r="HT69" s="321"/>
      <c r="HU69" s="322">
        <v>8.25</v>
      </c>
      <c r="HV69" s="321"/>
      <c r="HW69" s="322">
        <v>8.25</v>
      </c>
      <c r="HX69" s="321"/>
      <c r="HY69" s="322">
        <v>8.25</v>
      </c>
      <c r="HZ69" s="321"/>
      <c r="IA69" s="322">
        <v>8.25</v>
      </c>
      <c r="IB69" s="321"/>
      <c r="IC69" s="322">
        <v>8.25</v>
      </c>
      <c r="ID69" s="321"/>
      <c r="IE69" s="322">
        <v>8.25</v>
      </c>
      <c r="IF69" s="321"/>
      <c r="IG69" s="322">
        <v>8.25</v>
      </c>
      <c r="IH69" s="321"/>
      <c r="II69" s="322">
        <v>8.25</v>
      </c>
      <c r="IJ69" s="321"/>
      <c r="IK69" s="322">
        <v>8.25</v>
      </c>
      <c r="IL69" s="321"/>
      <c r="IM69" s="322">
        <v>8.25</v>
      </c>
      <c r="IN69" s="321"/>
      <c r="IO69" s="322">
        <v>8.25</v>
      </c>
      <c r="IP69" s="321"/>
      <c r="IQ69" s="322">
        <v>8.25</v>
      </c>
      <c r="IR69" s="321"/>
      <c r="IS69" s="322">
        <v>8.25</v>
      </c>
      <c r="IT69" s="321"/>
      <c r="IU69" s="322">
        <v>8.25</v>
      </c>
      <c r="IV69" s="321"/>
      <c r="IW69" s="322">
        <v>8.25</v>
      </c>
      <c r="IX69" s="321"/>
      <c r="IY69" s="322">
        <v>8.25</v>
      </c>
      <c r="IZ69" s="219"/>
      <c r="JA69" s="321"/>
      <c r="JB69" s="322">
        <v>8.25</v>
      </c>
      <c r="JC69" s="321"/>
      <c r="JD69" s="322">
        <v>8.25</v>
      </c>
      <c r="JE69" s="219"/>
      <c r="JF69" s="321"/>
      <c r="JG69" s="322">
        <v>6</v>
      </c>
      <c r="JH69" s="321"/>
      <c r="JI69" s="322">
        <v>6</v>
      </c>
      <c r="JJ69" s="321"/>
      <c r="JK69" s="322">
        <v>6</v>
      </c>
      <c r="JL69" s="321"/>
      <c r="JM69" s="322">
        <v>6</v>
      </c>
      <c r="JN69" s="321"/>
      <c r="JO69" s="322">
        <v>6.3</v>
      </c>
      <c r="JP69" s="321"/>
      <c r="JQ69" s="322">
        <v>6.3</v>
      </c>
      <c r="JR69" s="321"/>
      <c r="JS69" s="322">
        <v>6.3</v>
      </c>
      <c r="JT69" s="321"/>
      <c r="JU69" s="322">
        <v>6.3</v>
      </c>
      <c r="JV69" s="321"/>
      <c r="JW69" s="322">
        <v>6.3</v>
      </c>
      <c r="JX69" s="321"/>
      <c r="JY69" s="322">
        <v>6.3</v>
      </c>
      <c r="JZ69" s="321"/>
      <c r="KA69" s="322">
        <v>6.3</v>
      </c>
      <c r="KB69" s="321"/>
      <c r="KC69" s="322">
        <v>6.3</v>
      </c>
      <c r="KD69" s="321"/>
      <c r="KE69" s="322">
        <v>6.3</v>
      </c>
      <c r="KF69" s="321"/>
      <c r="KG69" s="322">
        <v>6.3</v>
      </c>
      <c r="KH69" s="321"/>
      <c r="KI69" s="322">
        <f>KG69</f>
        <v>6.3</v>
      </c>
      <c r="KJ69" s="321"/>
      <c r="KK69" s="322">
        <v>6.6</v>
      </c>
      <c r="KL69" s="321"/>
      <c r="KM69" s="322">
        <v>6.6</v>
      </c>
      <c r="KN69" s="321"/>
      <c r="KO69" s="322">
        <v>6.6</v>
      </c>
      <c r="KP69" s="321"/>
      <c r="KQ69" s="322">
        <v>6.6</v>
      </c>
      <c r="KR69" s="321"/>
      <c r="KS69" s="322">
        <v>6.6</v>
      </c>
      <c r="KT69" s="321"/>
      <c r="KU69" s="322">
        <v>6.6</v>
      </c>
      <c r="KV69" s="321"/>
      <c r="KW69" s="322">
        <v>6.6</v>
      </c>
      <c r="KX69" s="321"/>
      <c r="KY69" s="322">
        <v>6.6</v>
      </c>
      <c r="KZ69" s="321"/>
      <c r="LA69" s="322">
        <v>6.6</v>
      </c>
      <c r="LB69" s="321"/>
      <c r="LC69" s="322">
        <v>6.6</v>
      </c>
      <c r="LD69" s="321"/>
      <c r="LE69" s="322">
        <v>6.6</v>
      </c>
      <c r="LF69" s="321"/>
      <c r="LG69" s="322">
        <v>6.6</v>
      </c>
      <c r="LH69" s="321"/>
      <c r="LI69" s="322">
        <v>6.6</v>
      </c>
      <c r="LJ69" s="321"/>
      <c r="LK69" s="322">
        <v>6.6</v>
      </c>
      <c r="LL69" s="321"/>
      <c r="LM69" s="322">
        <v>6.6</v>
      </c>
      <c r="LN69" s="321"/>
      <c r="LO69" s="322">
        <v>6.6</v>
      </c>
      <c r="LP69" s="321"/>
      <c r="LQ69" s="322">
        <v>6.6</v>
      </c>
      <c r="LR69" s="321"/>
      <c r="LS69" s="322">
        <v>6.6</v>
      </c>
      <c r="LT69" s="321"/>
      <c r="LU69" s="322">
        <v>6.6</v>
      </c>
      <c r="LV69" s="321"/>
      <c r="LW69" s="322">
        <v>6.6</v>
      </c>
      <c r="LX69" s="321"/>
      <c r="LY69" s="322">
        <v>6.6</v>
      </c>
      <c r="LZ69" s="321"/>
      <c r="MA69" s="322">
        <v>6.6</v>
      </c>
      <c r="MB69" s="321"/>
      <c r="MC69" s="322">
        <v>6.6</v>
      </c>
      <c r="MD69" s="321"/>
      <c r="ME69" s="322">
        <v>6.6</v>
      </c>
      <c r="MF69" s="321"/>
      <c r="MG69" s="322">
        <v>6.6</v>
      </c>
      <c r="MH69" s="219"/>
      <c r="MI69" s="321"/>
      <c r="MJ69" s="322">
        <v>5.4</v>
      </c>
      <c r="MK69" s="321"/>
      <c r="ML69" s="322">
        <v>5.4</v>
      </c>
      <c r="MM69" s="321"/>
      <c r="MN69" s="322">
        <v>5.4</v>
      </c>
      <c r="MO69" s="321"/>
      <c r="MP69" s="322">
        <v>5.4</v>
      </c>
      <c r="MQ69" s="321"/>
      <c r="MR69" s="322">
        <v>5.6</v>
      </c>
      <c r="MS69" s="321"/>
      <c r="MT69" s="322">
        <v>5.5</v>
      </c>
      <c r="MU69" s="321"/>
      <c r="MV69" s="322">
        <v>5.6</v>
      </c>
      <c r="MW69" s="321"/>
      <c r="MX69" s="322">
        <v>6.3</v>
      </c>
      <c r="MY69" s="321"/>
      <c r="MZ69" s="322">
        <v>6.3</v>
      </c>
      <c r="NA69" s="321"/>
      <c r="NB69" s="322">
        <v>6.3</v>
      </c>
      <c r="NC69" s="321"/>
      <c r="ND69" s="322">
        <v>6.3</v>
      </c>
      <c r="NE69" s="321"/>
      <c r="NF69" s="322">
        <v>6.3</v>
      </c>
      <c r="NG69" s="321"/>
      <c r="NH69" s="322">
        <v>6.3</v>
      </c>
      <c r="NI69" s="321"/>
      <c r="NJ69" s="322">
        <v>6.3</v>
      </c>
      <c r="NK69" s="321"/>
      <c r="NL69" s="322">
        <f>NJ69</f>
        <v>6.3</v>
      </c>
      <c r="NM69" s="321"/>
      <c r="NN69" s="322">
        <v>6.6</v>
      </c>
      <c r="NO69" s="321"/>
      <c r="NP69" s="322">
        <v>6.6</v>
      </c>
      <c r="NQ69" s="321"/>
      <c r="NR69" s="322">
        <v>6.6</v>
      </c>
      <c r="NS69" s="321"/>
      <c r="NT69" s="322">
        <v>6.6</v>
      </c>
      <c r="NU69" s="321"/>
      <c r="NV69" s="322">
        <v>6.6</v>
      </c>
      <c r="NW69" s="321"/>
      <c r="NX69" s="322">
        <v>6.6</v>
      </c>
      <c r="NY69" s="321"/>
      <c r="NZ69" s="322">
        <v>6.6</v>
      </c>
      <c r="OA69" s="321"/>
      <c r="OB69" s="322">
        <v>6.6</v>
      </c>
      <c r="OC69" s="321"/>
      <c r="OD69" s="322">
        <v>6.6</v>
      </c>
      <c r="OE69" s="321"/>
      <c r="OF69" s="322">
        <v>6.6</v>
      </c>
      <c r="OG69" s="321"/>
      <c r="OH69" s="322">
        <v>6.6</v>
      </c>
      <c r="OI69" s="321"/>
      <c r="OJ69" s="322">
        <v>6.6</v>
      </c>
      <c r="OK69" s="321"/>
      <c r="OL69" s="322">
        <v>6.6</v>
      </c>
      <c r="OM69" s="321"/>
      <c r="ON69" s="322">
        <v>6.6</v>
      </c>
      <c r="OO69" s="321"/>
      <c r="OP69" s="322">
        <v>6.6</v>
      </c>
      <c r="OQ69" s="321"/>
      <c r="OR69" s="322">
        <v>6.6</v>
      </c>
      <c r="OS69" s="321"/>
      <c r="OT69" s="322">
        <v>6.6</v>
      </c>
      <c r="OU69" s="321"/>
      <c r="OV69" s="322">
        <v>6.6</v>
      </c>
      <c r="OW69" s="321"/>
      <c r="OX69" s="322">
        <v>6.6</v>
      </c>
      <c r="OY69" s="321"/>
      <c r="OZ69" s="322">
        <v>6.6</v>
      </c>
      <c r="PA69" s="321"/>
      <c r="PB69" s="322">
        <v>6.6</v>
      </c>
      <c r="PC69" s="321"/>
      <c r="PD69" s="322">
        <v>6.6</v>
      </c>
      <c r="PE69" s="321"/>
      <c r="PF69" s="322">
        <v>6.6</v>
      </c>
      <c r="PG69" s="321"/>
      <c r="PH69" s="322">
        <v>6.6</v>
      </c>
      <c r="PI69" s="321"/>
      <c r="PJ69" s="322">
        <v>6.6</v>
      </c>
      <c r="PK69" s="321"/>
      <c r="PL69" s="322">
        <v>6.6</v>
      </c>
      <c r="PM69" s="321"/>
      <c r="PN69" s="322">
        <v>6.6</v>
      </c>
      <c r="PO69" s="321"/>
      <c r="PP69" s="322">
        <v>6.6</v>
      </c>
      <c r="PQ69" s="145"/>
      <c r="PR69" s="321"/>
      <c r="PS69" s="322">
        <v>7.7</v>
      </c>
      <c r="PT69" s="321"/>
      <c r="PU69" s="322">
        <f>PS69</f>
        <v>7.7</v>
      </c>
      <c r="PV69" s="321"/>
      <c r="PW69" s="322">
        <v>7.7</v>
      </c>
      <c r="PX69" s="321"/>
      <c r="PY69" s="322">
        <f>PW69</f>
        <v>7.7</v>
      </c>
      <c r="PZ69" s="321"/>
      <c r="QA69" s="322">
        <v>7.7</v>
      </c>
      <c r="QB69" s="321"/>
      <c r="QC69" s="322">
        <f>QA69</f>
        <v>7.7</v>
      </c>
      <c r="QD69" s="145"/>
      <c r="QE69" s="145"/>
      <c r="QF69" s="321"/>
      <c r="QG69" s="322">
        <v>7.7</v>
      </c>
      <c r="QH69" s="321"/>
      <c r="QI69" s="322">
        <f>QG69</f>
        <v>7.7</v>
      </c>
      <c r="QJ69" s="321"/>
      <c r="QK69" s="322">
        <v>7.7</v>
      </c>
      <c r="QL69" s="321"/>
      <c r="QM69" s="322">
        <f>QK69</f>
        <v>7.7</v>
      </c>
      <c r="QN69" s="321"/>
      <c r="QO69" s="322">
        <v>6.9</v>
      </c>
      <c r="QP69" s="321"/>
      <c r="QQ69" s="322">
        <f>QO69</f>
        <v>6.9</v>
      </c>
    </row>
    <row r="70" spans="1:459" x14ac:dyDescent="0.45">
      <c r="A70" s="871"/>
      <c r="B70" s="345" t="s">
        <v>375</v>
      </c>
      <c r="C70" s="145"/>
      <c r="D70" s="346" t="s">
        <v>361</v>
      </c>
      <c r="E70" s="219"/>
      <c r="F70" s="348"/>
      <c r="G70" s="381">
        <f>G69-G57</f>
        <v>2.9999999999999996</v>
      </c>
      <c r="H70" s="348"/>
      <c r="I70" s="381">
        <f>I69-I57</f>
        <v>4.5</v>
      </c>
      <c r="J70" s="348"/>
      <c r="K70" s="381">
        <f>K69-K57</f>
        <v>5.6499999999999995</v>
      </c>
      <c r="L70" s="348"/>
      <c r="M70" s="381">
        <f>M69-M57</f>
        <v>5.6499999999999995</v>
      </c>
      <c r="N70" s="348"/>
      <c r="O70" s="381">
        <f>O69-O57</f>
        <v>6</v>
      </c>
      <c r="P70" s="348"/>
      <c r="Q70" s="381">
        <f>Q69-Q57</f>
        <v>6.3</v>
      </c>
      <c r="R70" s="348"/>
      <c r="S70" s="381">
        <f>S69-S57</f>
        <v>6.3</v>
      </c>
      <c r="T70" s="348"/>
      <c r="U70" s="381">
        <f>U69-U57</f>
        <v>6.5</v>
      </c>
      <c r="V70" s="348"/>
      <c r="W70" s="381">
        <f>W69-W57</f>
        <v>6.5</v>
      </c>
      <c r="X70" s="348"/>
      <c r="Y70" s="381">
        <f>Y69-Y57</f>
        <v>6.5</v>
      </c>
      <c r="Z70" s="348"/>
      <c r="AA70" s="381">
        <f>AA69-AA57</f>
        <v>6.45</v>
      </c>
      <c r="AB70" s="348"/>
      <c r="AC70" s="381">
        <f>AC69-AC57</f>
        <v>6.45</v>
      </c>
      <c r="AD70" s="348"/>
      <c r="AE70" s="381">
        <f>AE69-AE57</f>
        <v>6.95</v>
      </c>
      <c r="AF70" s="348"/>
      <c r="AG70" s="381">
        <f>AG69-AG57</f>
        <v>6.95</v>
      </c>
      <c r="AH70" s="348"/>
      <c r="AI70" s="381">
        <f>AI69-AI57</f>
        <v>6.95</v>
      </c>
      <c r="AJ70" s="348"/>
      <c r="AK70" s="381">
        <f>AK69-AK57</f>
        <v>6.95</v>
      </c>
      <c r="AL70" s="348"/>
      <c r="AM70" s="381">
        <f>AM69-AM57</f>
        <v>6.95</v>
      </c>
      <c r="AN70" s="348"/>
      <c r="AO70" s="381">
        <f>AO69-AO57</f>
        <v>6.95</v>
      </c>
      <c r="AP70" s="348"/>
      <c r="AQ70" s="381">
        <f>AQ69-AQ57</f>
        <v>6.95</v>
      </c>
      <c r="AR70" s="348"/>
      <c r="AS70" s="381">
        <f>AS69-AS57</f>
        <v>6.95</v>
      </c>
      <c r="AT70" s="348"/>
      <c r="AU70" s="381">
        <f>AU69-AU57</f>
        <v>7.25</v>
      </c>
      <c r="AV70" s="348"/>
      <c r="AW70" s="381">
        <f>AW69-AW57</f>
        <v>7.25</v>
      </c>
      <c r="AX70" s="348"/>
      <c r="AY70" s="381">
        <f>AY69-AY57</f>
        <v>7.25</v>
      </c>
      <c r="AZ70" s="348"/>
      <c r="BA70" s="381">
        <f>BA69-BA57</f>
        <v>7.25</v>
      </c>
      <c r="BB70" s="348"/>
      <c r="BC70" s="381">
        <f>BC69-BC57</f>
        <v>7.25</v>
      </c>
      <c r="BD70" s="348"/>
      <c r="BE70" s="381">
        <f>BE69-BE57</f>
        <v>7.25</v>
      </c>
      <c r="BF70" s="348"/>
      <c r="BG70" s="381">
        <f>BG69-BG57</f>
        <v>7.25</v>
      </c>
      <c r="BH70" s="348"/>
      <c r="BI70" s="381">
        <f>BI69-BI57</f>
        <v>7.25</v>
      </c>
      <c r="BJ70" s="348"/>
      <c r="BK70" s="381">
        <f>BK69-BK57</f>
        <v>7.25</v>
      </c>
      <c r="BL70" s="348"/>
      <c r="BM70" s="381">
        <f>BM69-BM57</f>
        <v>7.25</v>
      </c>
      <c r="BN70" s="348"/>
      <c r="BO70" s="381">
        <f>BO69-BO57</f>
        <v>7.25</v>
      </c>
      <c r="BP70" s="348"/>
      <c r="BQ70" s="381">
        <f>BQ69-BQ57</f>
        <v>7.25</v>
      </c>
      <c r="BR70" s="348"/>
      <c r="BS70" s="381">
        <f>BS69-BS57</f>
        <v>7.25</v>
      </c>
      <c r="BT70" s="348"/>
      <c r="BU70" s="381">
        <f>BU69-BU57</f>
        <v>7.25</v>
      </c>
      <c r="BV70" s="348"/>
      <c r="BW70" s="381">
        <f>BW69-BW57</f>
        <v>7.25</v>
      </c>
      <c r="BX70" s="348"/>
      <c r="BY70" s="381">
        <f>BY69-BY57</f>
        <v>7.25</v>
      </c>
      <c r="BZ70" s="348"/>
      <c r="CA70" s="381">
        <f>CA69-CA57</f>
        <v>7.25</v>
      </c>
      <c r="CB70" s="348"/>
      <c r="CC70" s="381">
        <f>CC69-CC57</f>
        <v>7.25</v>
      </c>
      <c r="CD70" s="348"/>
      <c r="CE70" s="381">
        <f>CE69-CE57</f>
        <v>7.25</v>
      </c>
      <c r="CF70" s="348"/>
      <c r="CG70" s="381">
        <f>CG69-CG57</f>
        <v>7.25</v>
      </c>
      <c r="CH70" s="348"/>
      <c r="CI70" s="381">
        <f>CI69-CI57</f>
        <v>7.25</v>
      </c>
      <c r="CJ70" s="348"/>
      <c r="CK70" s="381">
        <f>CK69-CK57</f>
        <v>7.25</v>
      </c>
      <c r="CL70" s="348"/>
      <c r="CM70" s="381">
        <f>CM69-CM57</f>
        <v>7.25</v>
      </c>
      <c r="CN70" s="348"/>
      <c r="CO70" s="381">
        <f>CO69-CO57</f>
        <v>7.25</v>
      </c>
      <c r="CP70" s="348"/>
      <c r="CQ70" s="381">
        <f>CQ69-CQ57</f>
        <v>7.25</v>
      </c>
      <c r="CR70" s="348"/>
      <c r="CS70" s="381">
        <f>CS69-CS57</f>
        <v>7.25</v>
      </c>
      <c r="CT70" s="323"/>
      <c r="CU70" s="348"/>
      <c r="CV70" s="381">
        <f>CV69-CV57</f>
        <v>8.9499999999999993</v>
      </c>
      <c r="CW70" s="348"/>
      <c r="CX70" s="381">
        <f>CX69-CX57</f>
        <v>8.9499999999999993</v>
      </c>
      <c r="CY70" s="348"/>
      <c r="CZ70" s="381">
        <f>CZ69-CZ57</f>
        <v>9</v>
      </c>
      <c r="DA70" s="348"/>
      <c r="DB70" s="381">
        <f>DB69-DB57</f>
        <v>9</v>
      </c>
      <c r="DC70" s="348"/>
      <c r="DD70" s="381">
        <f>DD69-DD57</f>
        <v>9.9500000000000011</v>
      </c>
      <c r="DE70" s="348"/>
      <c r="DF70" s="381">
        <f>DF69-DF57</f>
        <v>9.9500000000000011</v>
      </c>
      <c r="DG70" s="348"/>
      <c r="DH70" s="381">
        <f>DH69-DH57</f>
        <v>9.9500000000000011</v>
      </c>
      <c r="DI70" s="348"/>
      <c r="DJ70" s="381">
        <f>DJ69-DJ57</f>
        <v>9.9500000000000011</v>
      </c>
      <c r="DK70" s="348"/>
      <c r="DL70" s="381">
        <f>DL69-DL57</f>
        <v>9.9500000000000011</v>
      </c>
      <c r="DM70" s="348"/>
      <c r="DN70" s="381">
        <f>DN69-DN57</f>
        <v>9.9500000000000011</v>
      </c>
      <c r="DO70" s="348"/>
      <c r="DP70" s="381">
        <f>DP69-DP57</f>
        <v>9.9500000000000011</v>
      </c>
      <c r="DQ70" s="348"/>
      <c r="DR70" s="381">
        <f>DR69-DR57</f>
        <v>9.9500000000000011</v>
      </c>
      <c r="DS70" s="348"/>
      <c r="DT70" s="381">
        <f>DT69-DT57</f>
        <v>10.5</v>
      </c>
      <c r="DU70" s="348"/>
      <c r="DV70" s="381">
        <f>DV69-DV57</f>
        <v>10.5</v>
      </c>
      <c r="DW70" s="348"/>
      <c r="DX70" s="381">
        <f>DX69-DX57</f>
        <v>10.5</v>
      </c>
      <c r="DY70" s="348"/>
      <c r="DZ70" s="381">
        <f>DZ69-DZ57</f>
        <v>10.5</v>
      </c>
      <c r="EA70" s="348"/>
      <c r="EB70" s="381">
        <f>EB69-EB57</f>
        <v>10.5</v>
      </c>
      <c r="EC70" s="348"/>
      <c r="ED70" s="381">
        <f>ED69-ED57</f>
        <v>10.5</v>
      </c>
      <c r="EE70" s="348"/>
      <c r="EF70" s="381">
        <f>EF69-EF57</f>
        <v>10.5</v>
      </c>
      <c r="EG70" s="348"/>
      <c r="EH70" s="381">
        <f>EH69-EH57</f>
        <v>10.5</v>
      </c>
      <c r="EI70" s="348"/>
      <c r="EJ70" s="381">
        <f>EJ69-EJ57</f>
        <v>10.5</v>
      </c>
      <c r="EK70" s="348"/>
      <c r="EL70" s="381">
        <f>EL69-EL57</f>
        <v>10.5</v>
      </c>
      <c r="EM70" s="348"/>
      <c r="EN70" s="381">
        <f>EN69-EN57</f>
        <v>10.5</v>
      </c>
      <c r="EO70" s="348"/>
      <c r="EP70" s="381">
        <f>EP69-EP57</f>
        <v>10.5</v>
      </c>
      <c r="EQ70" s="348"/>
      <c r="ER70" s="381">
        <f>ER69-ER57</f>
        <v>10.5</v>
      </c>
      <c r="ES70" s="348"/>
      <c r="ET70" s="381">
        <f>ET69-ET57</f>
        <v>10.5</v>
      </c>
      <c r="EU70" s="348"/>
      <c r="EV70" s="381">
        <f>EV69-EV57</f>
        <v>10.5</v>
      </c>
      <c r="EW70" s="348"/>
      <c r="EX70" s="381">
        <f>EX69-EX57</f>
        <v>10.5</v>
      </c>
      <c r="EY70" s="348"/>
      <c r="EZ70" s="381">
        <f>EZ69-EZ57</f>
        <v>10.5</v>
      </c>
      <c r="FA70" s="348"/>
      <c r="FB70" s="381">
        <f>FB69-FB57</f>
        <v>10.5</v>
      </c>
      <c r="FC70" s="348"/>
      <c r="FD70" s="381">
        <f>FD69-FD57</f>
        <v>10.5</v>
      </c>
      <c r="FE70" s="348"/>
      <c r="FF70" s="381">
        <f>FF69-FF57</f>
        <v>10.5</v>
      </c>
      <c r="FG70" s="348"/>
      <c r="FH70" s="381">
        <f>FH69-FH57</f>
        <v>10.5</v>
      </c>
      <c r="FI70" s="348"/>
      <c r="FJ70" s="381">
        <f>FJ69-FJ57</f>
        <v>10.5</v>
      </c>
      <c r="FK70" s="348"/>
      <c r="FL70" s="381">
        <f>FL69-FL57</f>
        <v>10.5</v>
      </c>
      <c r="FM70" s="348"/>
      <c r="FN70" s="381">
        <f>FN69-FN57</f>
        <v>10.5</v>
      </c>
      <c r="FO70" s="348"/>
      <c r="FP70" s="381">
        <f>FP69-FP57</f>
        <v>10.5</v>
      </c>
      <c r="FQ70" s="219"/>
      <c r="FR70" s="348"/>
      <c r="FS70" s="381">
        <f>FS69-FS57</f>
        <v>5.6499999999999995</v>
      </c>
      <c r="FT70" s="348"/>
      <c r="FU70" s="381">
        <f>FU69-FU57</f>
        <v>6</v>
      </c>
      <c r="FV70" s="348"/>
      <c r="FW70" s="381">
        <f>FW69-FW57</f>
        <v>6.3</v>
      </c>
      <c r="FX70" s="348"/>
      <c r="FY70" s="381">
        <f>FY69-FY57</f>
        <v>6.3</v>
      </c>
      <c r="FZ70" s="348"/>
      <c r="GA70" s="381">
        <f>GA69-GA57</f>
        <v>6.5</v>
      </c>
      <c r="GB70" s="348"/>
      <c r="GC70" s="381">
        <f>GC69-GC57</f>
        <v>6.5</v>
      </c>
      <c r="GD70" s="348"/>
      <c r="GE70" s="381">
        <f>GE69-GE57</f>
        <v>6.5</v>
      </c>
      <c r="GF70" s="348"/>
      <c r="GG70" s="381">
        <f>GG69-GG57</f>
        <v>6.45</v>
      </c>
      <c r="GH70" s="348"/>
      <c r="GI70" s="381">
        <f>GI69-GI57</f>
        <v>6.45</v>
      </c>
      <c r="GJ70" s="348"/>
      <c r="GK70" s="381">
        <f>GK69-GK57</f>
        <v>7.6000000000000005</v>
      </c>
      <c r="GL70" s="348"/>
      <c r="GM70" s="381">
        <f>GM69-GM57</f>
        <v>7.6000000000000005</v>
      </c>
      <c r="GN70" s="348"/>
      <c r="GO70" s="381">
        <f>GO69-GO57</f>
        <v>7.6000000000000005</v>
      </c>
      <c r="GP70" s="348"/>
      <c r="GQ70" s="381">
        <f>GQ69-GQ57</f>
        <v>7.6000000000000005</v>
      </c>
      <c r="GR70" s="348"/>
      <c r="GS70" s="381">
        <f>GS69-GS57</f>
        <v>7.6000000000000005</v>
      </c>
      <c r="GT70" s="348"/>
      <c r="GU70" s="381">
        <f>GU69-GU57</f>
        <v>7.6000000000000005</v>
      </c>
      <c r="GV70" s="348"/>
      <c r="GW70" s="381">
        <f>GW69-GW57</f>
        <v>7.6000000000000005</v>
      </c>
      <c r="GX70" s="348"/>
      <c r="GY70" s="381">
        <f>GY69-GY57</f>
        <v>7.6000000000000005</v>
      </c>
      <c r="GZ70" s="348"/>
      <c r="HA70" s="381">
        <f>HA69-HA57</f>
        <v>7.95</v>
      </c>
      <c r="HB70" s="348"/>
      <c r="HC70" s="381">
        <f>HC69-HC57</f>
        <v>7.95</v>
      </c>
      <c r="HD70" s="348"/>
      <c r="HE70" s="381">
        <f>HE69-HE57</f>
        <v>7.95</v>
      </c>
      <c r="HF70" s="348"/>
      <c r="HG70" s="381">
        <f>HG69-HG57</f>
        <v>7.95</v>
      </c>
      <c r="HH70" s="348"/>
      <c r="HI70" s="381">
        <f>HI69-HI57</f>
        <v>7.95</v>
      </c>
      <c r="HJ70" s="348"/>
      <c r="HK70" s="381">
        <f>HK69-HK57</f>
        <v>7.95</v>
      </c>
      <c r="HL70" s="348"/>
      <c r="HM70" s="381">
        <f>HM69-HM57</f>
        <v>7.95</v>
      </c>
      <c r="HN70" s="348"/>
      <c r="HO70" s="381">
        <f>HO69-HO57</f>
        <v>7.95</v>
      </c>
      <c r="HP70" s="348"/>
      <c r="HQ70" s="381">
        <f>HQ69-HQ57</f>
        <v>7.95</v>
      </c>
      <c r="HR70" s="348"/>
      <c r="HS70" s="381">
        <f>HS69-HS57</f>
        <v>7.95</v>
      </c>
      <c r="HT70" s="348"/>
      <c r="HU70" s="381">
        <f>HU69-HU57</f>
        <v>7.95</v>
      </c>
      <c r="HV70" s="348"/>
      <c r="HW70" s="381">
        <f>HW69-HW57</f>
        <v>7.95</v>
      </c>
      <c r="HX70" s="348"/>
      <c r="HY70" s="381">
        <f>HY69-HY57</f>
        <v>7.95</v>
      </c>
      <c r="HZ70" s="348"/>
      <c r="IA70" s="381">
        <f>IA69-IA57</f>
        <v>7.95</v>
      </c>
      <c r="IB70" s="348"/>
      <c r="IC70" s="381">
        <f>IC69-IC57</f>
        <v>7.95</v>
      </c>
      <c r="ID70" s="348"/>
      <c r="IE70" s="381">
        <f>IE69-IE57</f>
        <v>7.95</v>
      </c>
      <c r="IF70" s="348"/>
      <c r="IG70" s="381">
        <f>IG69-IG57</f>
        <v>7.95</v>
      </c>
      <c r="IH70" s="348"/>
      <c r="II70" s="381">
        <f>II69-II57</f>
        <v>7.95</v>
      </c>
      <c r="IJ70" s="348"/>
      <c r="IK70" s="381">
        <f>IK69-IK57</f>
        <v>7.95</v>
      </c>
      <c r="IL70" s="348"/>
      <c r="IM70" s="381">
        <f>IM69-IM57</f>
        <v>7.95</v>
      </c>
      <c r="IN70" s="348"/>
      <c r="IO70" s="381">
        <f>IO69-IO57</f>
        <v>7.95</v>
      </c>
      <c r="IP70" s="348"/>
      <c r="IQ70" s="381">
        <f>IQ69-IQ57</f>
        <v>7.95</v>
      </c>
      <c r="IR70" s="348"/>
      <c r="IS70" s="381">
        <f>IS69-IS57</f>
        <v>7.95</v>
      </c>
      <c r="IT70" s="348"/>
      <c r="IU70" s="381">
        <f>IU69-IU57</f>
        <v>7.95</v>
      </c>
      <c r="IV70" s="348"/>
      <c r="IW70" s="381">
        <f>IW69-IW57</f>
        <v>7.95</v>
      </c>
      <c r="IX70" s="348"/>
      <c r="IY70" s="381">
        <f>IY69-IY57</f>
        <v>7.95</v>
      </c>
      <c r="IZ70" s="219"/>
      <c r="JA70" s="348"/>
      <c r="JB70" s="381">
        <f>JB69-JB57</f>
        <v>7.95</v>
      </c>
      <c r="JC70" s="348"/>
      <c r="JD70" s="381">
        <f>JD69-JD57</f>
        <v>7.95</v>
      </c>
      <c r="JE70" s="219"/>
      <c r="JF70" s="348"/>
      <c r="JG70" s="381">
        <f>JG69-JG57</f>
        <v>5.3</v>
      </c>
      <c r="JH70" s="348"/>
      <c r="JI70" s="381">
        <f>JI69-JI57</f>
        <v>5.65</v>
      </c>
      <c r="JJ70" s="348"/>
      <c r="JK70" s="381">
        <f>JK69-JK57</f>
        <v>5.9</v>
      </c>
      <c r="JL70" s="348"/>
      <c r="JM70" s="381">
        <f>JM69-JM57</f>
        <v>5.9</v>
      </c>
      <c r="JN70" s="348"/>
      <c r="JO70" s="381">
        <f>JO69-JO57</f>
        <v>6.2</v>
      </c>
      <c r="JP70" s="348"/>
      <c r="JQ70" s="381">
        <f>JQ69-JQ57</f>
        <v>6.2</v>
      </c>
      <c r="JR70" s="348"/>
      <c r="JS70" s="381">
        <f>JS69-JS57</f>
        <v>6.2</v>
      </c>
      <c r="JT70" s="348"/>
      <c r="JU70" s="381">
        <f>JU69-JU57</f>
        <v>6.2</v>
      </c>
      <c r="JV70" s="348"/>
      <c r="JW70" s="381">
        <f>JW69-JW57</f>
        <v>6.2</v>
      </c>
      <c r="JX70" s="348"/>
      <c r="JY70" s="381">
        <f>JY69-JY57</f>
        <v>6.2</v>
      </c>
      <c r="JZ70" s="348"/>
      <c r="KA70" s="381">
        <f>KA69-KA57</f>
        <v>6.2</v>
      </c>
      <c r="KB70" s="348"/>
      <c r="KC70" s="381">
        <f>KC69-KC57</f>
        <v>6.2</v>
      </c>
      <c r="KD70" s="348"/>
      <c r="KE70" s="381">
        <f>KE69-KE57</f>
        <v>6.2</v>
      </c>
      <c r="KF70" s="348"/>
      <c r="KG70" s="381">
        <f>KG69-KG57</f>
        <v>6.2</v>
      </c>
      <c r="KH70" s="348"/>
      <c r="KI70" s="381">
        <f>KI69-KI57</f>
        <v>6.2</v>
      </c>
      <c r="KJ70" s="348"/>
      <c r="KK70" s="381">
        <f>KK69-KK57</f>
        <v>6.5</v>
      </c>
      <c r="KL70" s="348"/>
      <c r="KM70" s="381">
        <f>KM69-KM57</f>
        <v>6.5</v>
      </c>
      <c r="KN70" s="348"/>
      <c r="KO70" s="381">
        <f>KO69-KO57</f>
        <v>6.5</v>
      </c>
      <c r="KP70" s="348"/>
      <c r="KQ70" s="381">
        <f>KQ69-KQ57</f>
        <v>6.5</v>
      </c>
      <c r="KR70" s="348"/>
      <c r="KS70" s="381">
        <f>KS69-KS57</f>
        <v>6.5</v>
      </c>
      <c r="KT70" s="348"/>
      <c r="KU70" s="381">
        <f>KU69-KU57</f>
        <v>6.5</v>
      </c>
      <c r="KV70" s="348"/>
      <c r="KW70" s="381">
        <f>KW69-KW57</f>
        <v>6.5</v>
      </c>
      <c r="KX70" s="348"/>
      <c r="KY70" s="381">
        <f>KY69-KY57</f>
        <v>6.5</v>
      </c>
      <c r="KZ70" s="348"/>
      <c r="LA70" s="381">
        <f>LA69-LA57</f>
        <v>6.5</v>
      </c>
      <c r="LB70" s="348"/>
      <c r="LC70" s="381">
        <f>LC69-LC57</f>
        <v>6.5</v>
      </c>
      <c r="LD70" s="348"/>
      <c r="LE70" s="381">
        <f>LE69-LE57</f>
        <v>6.5</v>
      </c>
      <c r="LF70" s="348"/>
      <c r="LG70" s="381">
        <f>LG69-LG57</f>
        <v>6.5</v>
      </c>
      <c r="LH70" s="348"/>
      <c r="LI70" s="381">
        <f>LI69-LI57</f>
        <v>6.5</v>
      </c>
      <c r="LJ70" s="348"/>
      <c r="LK70" s="381">
        <f>LK69-LK57</f>
        <v>6.5</v>
      </c>
      <c r="LL70" s="348"/>
      <c r="LM70" s="381">
        <f>LM69-LM57</f>
        <v>6.5</v>
      </c>
      <c r="LN70" s="348"/>
      <c r="LO70" s="381">
        <f>LO69-LO57</f>
        <v>6.5</v>
      </c>
      <c r="LP70" s="348"/>
      <c r="LQ70" s="381">
        <f>LQ69-LQ57</f>
        <v>6.5</v>
      </c>
      <c r="LR70" s="348"/>
      <c r="LS70" s="381">
        <f>LS69-LS57</f>
        <v>6.5</v>
      </c>
      <c r="LT70" s="348"/>
      <c r="LU70" s="381">
        <f>LU69-LU57</f>
        <v>6.5</v>
      </c>
      <c r="LV70" s="348"/>
      <c r="LW70" s="381">
        <f>LW69-LW57</f>
        <v>6.5</v>
      </c>
      <c r="LX70" s="348"/>
      <c r="LY70" s="381">
        <f>LY69-LY57</f>
        <v>6.5</v>
      </c>
      <c r="LZ70" s="348"/>
      <c r="MA70" s="381">
        <f>MA69-MA57</f>
        <v>6.5</v>
      </c>
      <c r="MB70" s="348"/>
      <c r="MC70" s="381">
        <f>MC69-MC57</f>
        <v>6.5</v>
      </c>
      <c r="MD70" s="348"/>
      <c r="ME70" s="381">
        <f>ME69-ME57</f>
        <v>6.5</v>
      </c>
      <c r="MF70" s="348"/>
      <c r="MG70" s="381">
        <f>MG69-MG57</f>
        <v>6.5</v>
      </c>
      <c r="MH70" s="219"/>
      <c r="MI70" s="348"/>
      <c r="MJ70" s="381">
        <f>MJ69-MJ57</f>
        <v>3.95</v>
      </c>
      <c r="MK70" s="348"/>
      <c r="ML70" s="381">
        <f>ML69-ML57</f>
        <v>4.1500000000000004</v>
      </c>
      <c r="MM70" s="348"/>
      <c r="MN70" s="381">
        <f>MN69-MN57</f>
        <v>4.4000000000000004</v>
      </c>
      <c r="MO70" s="348"/>
      <c r="MP70" s="381">
        <f>MP69-MP57</f>
        <v>4.4000000000000004</v>
      </c>
      <c r="MQ70" s="348"/>
      <c r="MR70" s="381">
        <f>MR69-MR57</f>
        <v>4.5999999999999996</v>
      </c>
      <c r="MS70" s="348"/>
      <c r="MT70" s="381">
        <f>MT69-MT57</f>
        <v>4.5</v>
      </c>
      <c r="MU70" s="348"/>
      <c r="MV70" s="381">
        <f>MV69-MV57</f>
        <v>4.5999999999999996</v>
      </c>
      <c r="MW70" s="348"/>
      <c r="MX70" s="381">
        <f>MX69-MX57</f>
        <v>5.7</v>
      </c>
      <c r="MY70" s="348"/>
      <c r="MZ70" s="381">
        <f>MZ69-MZ57</f>
        <v>5.7</v>
      </c>
      <c r="NA70" s="348"/>
      <c r="NB70" s="381">
        <f>NB69-NB57</f>
        <v>5.7</v>
      </c>
      <c r="NC70" s="348"/>
      <c r="ND70" s="381">
        <f>ND69-ND57</f>
        <v>5.7</v>
      </c>
      <c r="NE70" s="348"/>
      <c r="NF70" s="381">
        <f>NF69-NF57</f>
        <v>5.7</v>
      </c>
      <c r="NG70" s="348"/>
      <c r="NH70" s="381">
        <f>NH69-NH57</f>
        <v>5.7</v>
      </c>
      <c r="NI70" s="348"/>
      <c r="NJ70" s="381">
        <f>NJ69-NJ57</f>
        <v>5.7</v>
      </c>
      <c r="NK70" s="348"/>
      <c r="NL70" s="381">
        <f>NL69-NL57</f>
        <v>5.7</v>
      </c>
      <c r="NM70" s="348"/>
      <c r="NN70" s="381">
        <f>NN69-NN57</f>
        <v>6</v>
      </c>
      <c r="NO70" s="348"/>
      <c r="NP70" s="381">
        <f>NP69-NP57</f>
        <v>6</v>
      </c>
      <c r="NQ70" s="348"/>
      <c r="NR70" s="381">
        <f>NR69-NR57</f>
        <v>6</v>
      </c>
      <c r="NS70" s="348"/>
      <c r="NT70" s="381">
        <f>NT69-NT57</f>
        <v>6</v>
      </c>
      <c r="NU70" s="348"/>
      <c r="NV70" s="381">
        <f>NV69-NV57</f>
        <v>6</v>
      </c>
      <c r="NW70" s="348"/>
      <c r="NX70" s="381">
        <f>NX69-NX57</f>
        <v>6</v>
      </c>
      <c r="NY70" s="348"/>
      <c r="NZ70" s="381">
        <f>NZ69-NZ57</f>
        <v>6</v>
      </c>
      <c r="OA70" s="348"/>
      <c r="OB70" s="381">
        <f>OB69-OB57</f>
        <v>6</v>
      </c>
      <c r="OC70" s="348"/>
      <c r="OD70" s="381">
        <f>OD69-OD57</f>
        <v>6</v>
      </c>
      <c r="OE70" s="348"/>
      <c r="OF70" s="381">
        <f>OF69-OF57</f>
        <v>6</v>
      </c>
      <c r="OG70" s="348"/>
      <c r="OH70" s="381">
        <f>OH69-OH57</f>
        <v>6</v>
      </c>
      <c r="OI70" s="348"/>
      <c r="OJ70" s="381">
        <f>OJ69-OJ57</f>
        <v>6</v>
      </c>
      <c r="OK70" s="348"/>
      <c r="OL70" s="381">
        <f>OL69-OL57</f>
        <v>6</v>
      </c>
      <c r="OM70" s="348"/>
      <c r="ON70" s="381">
        <f>ON69-ON57</f>
        <v>6</v>
      </c>
      <c r="OO70" s="348"/>
      <c r="OP70" s="381">
        <f>OP69-OP57</f>
        <v>6</v>
      </c>
      <c r="OQ70" s="348"/>
      <c r="OR70" s="381">
        <f>OR69-OR57</f>
        <v>6</v>
      </c>
      <c r="OS70" s="348"/>
      <c r="OT70" s="381">
        <f>OT69-OT57</f>
        <v>6</v>
      </c>
      <c r="OU70" s="348"/>
      <c r="OV70" s="381">
        <f>OV69-OV57</f>
        <v>6</v>
      </c>
      <c r="OW70" s="348"/>
      <c r="OX70" s="381">
        <f>OX69-OX57</f>
        <v>6</v>
      </c>
      <c r="OY70" s="348"/>
      <c r="OZ70" s="381">
        <f>OZ69-OZ57</f>
        <v>6</v>
      </c>
      <c r="PA70" s="348"/>
      <c r="PB70" s="381">
        <f>PB69-PB57</f>
        <v>6</v>
      </c>
      <c r="PC70" s="348"/>
      <c r="PD70" s="381">
        <f>PD69-PD57</f>
        <v>6</v>
      </c>
      <c r="PE70" s="348"/>
      <c r="PF70" s="381">
        <f>PF69-PF57</f>
        <v>6</v>
      </c>
      <c r="PG70" s="348"/>
      <c r="PH70" s="381">
        <f>PH69-PH57</f>
        <v>6</v>
      </c>
      <c r="PI70" s="348"/>
      <c r="PJ70" s="381">
        <f>PJ69-PJ57</f>
        <v>6</v>
      </c>
      <c r="PK70" s="348"/>
      <c r="PL70" s="381">
        <f>PL69-PL57</f>
        <v>6</v>
      </c>
      <c r="PM70" s="348"/>
      <c r="PN70" s="381">
        <f>PN69-PN57</f>
        <v>6</v>
      </c>
      <c r="PO70" s="348"/>
      <c r="PP70" s="381">
        <f>PP69-PP57</f>
        <v>6</v>
      </c>
      <c r="PQ70" s="145"/>
      <c r="PR70" s="348"/>
      <c r="PS70" s="381">
        <f>PS69-PS57</f>
        <v>7.2</v>
      </c>
      <c r="PT70" s="348"/>
      <c r="PU70" s="381">
        <f>PU69-PU57</f>
        <v>7.2</v>
      </c>
      <c r="PV70" s="348"/>
      <c r="PW70" s="381">
        <f>PW69-PW57</f>
        <v>7.2</v>
      </c>
      <c r="PX70" s="348"/>
      <c r="PY70" s="381">
        <f>PY69-PY57</f>
        <v>7.2</v>
      </c>
      <c r="PZ70" s="348"/>
      <c r="QA70" s="381">
        <f>QA69-QA57</f>
        <v>7.2</v>
      </c>
      <c r="QB70" s="348"/>
      <c r="QC70" s="381">
        <f>QC69-QC57</f>
        <v>7.2</v>
      </c>
      <c r="QD70" s="145"/>
      <c r="QE70" s="145"/>
      <c r="QF70" s="348"/>
      <c r="QG70" s="381">
        <f>QG69-QG57</f>
        <v>7.2</v>
      </c>
      <c r="QH70" s="348"/>
      <c r="QI70" s="381">
        <f>QI69-QI57</f>
        <v>7.2</v>
      </c>
      <c r="QJ70" s="348"/>
      <c r="QK70" s="381">
        <f>QK69-QK57</f>
        <v>7.2</v>
      </c>
      <c r="QL70" s="348"/>
      <c r="QM70" s="381">
        <f>QM69-QM57</f>
        <v>7.2</v>
      </c>
      <c r="QN70" s="348"/>
      <c r="QO70" s="381">
        <f>QO69-QO57</f>
        <v>6.4</v>
      </c>
      <c r="QP70" s="348"/>
      <c r="QQ70" s="381">
        <f>QQ69-QQ57</f>
        <v>6.4</v>
      </c>
    </row>
    <row r="71" spans="1:459" x14ac:dyDescent="0.45">
      <c r="A71" s="871"/>
      <c r="B71" s="345"/>
      <c r="C71" s="145"/>
      <c r="D71" s="346" t="s">
        <v>376</v>
      </c>
      <c r="E71" s="219"/>
      <c r="F71" s="348"/>
      <c r="G71" s="381">
        <f>G70/F8</f>
        <v>7.4999999999999983E-2</v>
      </c>
      <c r="H71" s="348"/>
      <c r="I71" s="381">
        <f>I70/H8</f>
        <v>0.1125</v>
      </c>
      <c r="J71" s="348"/>
      <c r="K71" s="381">
        <f>K70/J8</f>
        <v>0.14124999999999999</v>
      </c>
      <c r="L71" s="348"/>
      <c r="M71" s="381">
        <f>M70/L8</f>
        <v>0.14124999999999999</v>
      </c>
      <c r="N71" s="348"/>
      <c r="O71" s="381">
        <f>O70/N8</f>
        <v>0.15</v>
      </c>
      <c r="P71" s="348"/>
      <c r="Q71" s="381">
        <f>Q70/P8</f>
        <v>0.1575</v>
      </c>
      <c r="R71" s="348"/>
      <c r="S71" s="381">
        <f>S70/R8</f>
        <v>0.1575</v>
      </c>
      <c r="T71" s="348"/>
      <c r="U71" s="381">
        <f>U70/T8</f>
        <v>0.16250000000000001</v>
      </c>
      <c r="V71" s="348"/>
      <c r="W71" s="381">
        <f>W70/V8</f>
        <v>0.16250000000000001</v>
      </c>
      <c r="X71" s="348"/>
      <c r="Y71" s="381">
        <f>Y70/X8</f>
        <v>0.16250000000000001</v>
      </c>
      <c r="Z71" s="348"/>
      <c r="AA71" s="381">
        <f>AA70/Z8</f>
        <v>0.16125</v>
      </c>
      <c r="AB71" s="348"/>
      <c r="AC71" s="381">
        <f>AC70/AB8</f>
        <v>0.16125</v>
      </c>
      <c r="AD71" s="348"/>
      <c r="AE71" s="381">
        <f>AE70/AD8</f>
        <v>0.17375000000000002</v>
      </c>
      <c r="AF71" s="348"/>
      <c r="AG71" s="381">
        <f>AG70/AF8</f>
        <v>0.17375000000000002</v>
      </c>
      <c r="AH71" s="348"/>
      <c r="AI71" s="381">
        <f>AI70/AH8</f>
        <v>0.17375000000000002</v>
      </c>
      <c r="AJ71" s="348"/>
      <c r="AK71" s="381">
        <f>AK70/AJ8</f>
        <v>0.17375000000000002</v>
      </c>
      <c r="AL71" s="348"/>
      <c r="AM71" s="381">
        <f>AM70/AL8</f>
        <v>0.17375000000000002</v>
      </c>
      <c r="AN71" s="348"/>
      <c r="AO71" s="381">
        <f>AO70/AN8</f>
        <v>0.17375000000000002</v>
      </c>
      <c r="AP71" s="348"/>
      <c r="AQ71" s="381">
        <f>AQ70/AP8</f>
        <v>0.17375000000000002</v>
      </c>
      <c r="AR71" s="348"/>
      <c r="AS71" s="381">
        <f>AS70/AR8</f>
        <v>0.17375000000000002</v>
      </c>
      <c r="AT71" s="348"/>
      <c r="AU71" s="381">
        <f>AU70/AT8</f>
        <v>0.18124999999999999</v>
      </c>
      <c r="AV71" s="348"/>
      <c r="AW71" s="381">
        <f>AW70/AV8</f>
        <v>0.18124999999999999</v>
      </c>
      <c r="AX71" s="348"/>
      <c r="AY71" s="381">
        <f>AY70/AX8</f>
        <v>0.18124999999999999</v>
      </c>
      <c r="AZ71" s="348"/>
      <c r="BA71" s="381">
        <f>BA70/AZ8</f>
        <v>0.18124999999999999</v>
      </c>
      <c r="BB71" s="348"/>
      <c r="BC71" s="381">
        <f>BC70/BB8</f>
        <v>0.18124999999999999</v>
      </c>
      <c r="BD71" s="348"/>
      <c r="BE71" s="381">
        <f>BE70/BD8</f>
        <v>0.18124999999999999</v>
      </c>
      <c r="BF71" s="348"/>
      <c r="BG71" s="381">
        <f>BG70/BF8</f>
        <v>0.18124999999999999</v>
      </c>
      <c r="BH71" s="348"/>
      <c r="BI71" s="381">
        <f>BI70/BH8</f>
        <v>0.18124999999999999</v>
      </c>
      <c r="BJ71" s="348"/>
      <c r="BK71" s="381">
        <f>BK70/BJ8</f>
        <v>0.18124999999999999</v>
      </c>
      <c r="BL71" s="348"/>
      <c r="BM71" s="381">
        <f>BM70/BL8</f>
        <v>0.18124999999999999</v>
      </c>
      <c r="BN71" s="348"/>
      <c r="BO71" s="381">
        <f>BO70/BN8</f>
        <v>0.18124999999999999</v>
      </c>
      <c r="BP71" s="348"/>
      <c r="BQ71" s="381">
        <f>BQ70/BP8</f>
        <v>0.18124999999999999</v>
      </c>
      <c r="BR71" s="348"/>
      <c r="BS71" s="381">
        <f>BS70/BR8</f>
        <v>0.18124999999999999</v>
      </c>
      <c r="BT71" s="348"/>
      <c r="BU71" s="381">
        <f>BU70/BT8</f>
        <v>0.18124999999999999</v>
      </c>
      <c r="BV71" s="348"/>
      <c r="BW71" s="381">
        <f>BW70/BV8</f>
        <v>0.18124999999999999</v>
      </c>
      <c r="BX71" s="348"/>
      <c r="BY71" s="381">
        <f>BY70/BX8</f>
        <v>0.18124999999999999</v>
      </c>
      <c r="BZ71" s="348"/>
      <c r="CA71" s="381">
        <f>CA70/BZ8</f>
        <v>0.18124999999999999</v>
      </c>
      <c r="CB71" s="348"/>
      <c r="CC71" s="381">
        <f>CC70/CB8</f>
        <v>0.18124999999999999</v>
      </c>
      <c r="CD71" s="348"/>
      <c r="CE71" s="381">
        <f>CE70/CD8</f>
        <v>0.18124999999999999</v>
      </c>
      <c r="CF71" s="348"/>
      <c r="CG71" s="381">
        <f>CG70/CF8</f>
        <v>0.18124999999999999</v>
      </c>
      <c r="CH71" s="348"/>
      <c r="CI71" s="381">
        <f>CI70/CH8</f>
        <v>0.18124999999999999</v>
      </c>
      <c r="CJ71" s="348"/>
      <c r="CK71" s="381">
        <f>CK70/CJ8</f>
        <v>0.18124999999999999</v>
      </c>
      <c r="CL71" s="348"/>
      <c r="CM71" s="381">
        <f>CM70/CL8</f>
        <v>0.18124999999999999</v>
      </c>
      <c r="CN71" s="348"/>
      <c r="CO71" s="381">
        <f>CO70/CN8</f>
        <v>0.18124999999999999</v>
      </c>
      <c r="CP71" s="348"/>
      <c r="CQ71" s="381">
        <f>CQ70/CP8</f>
        <v>0.18124999999999999</v>
      </c>
      <c r="CR71" s="348"/>
      <c r="CS71" s="381">
        <f>CS70/CR8</f>
        <v>0.18124999999999999</v>
      </c>
      <c r="CT71" s="323"/>
      <c r="CU71" s="348"/>
      <c r="CV71" s="381">
        <f>CV70/CU8</f>
        <v>0.14916666666666664</v>
      </c>
      <c r="CW71" s="348"/>
      <c r="CX71" s="381">
        <f>CX70/CW8</f>
        <v>0.14916666666666664</v>
      </c>
      <c r="CY71" s="348"/>
      <c r="CZ71" s="381">
        <f>CZ70/CY8</f>
        <v>0.15</v>
      </c>
      <c r="DA71" s="348"/>
      <c r="DB71" s="381">
        <f>DB70/DA8</f>
        <v>0.15</v>
      </c>
      <c r="DC71" s="348"/>
      <c r="DD71" s="381">
        <f>DD70/DC8</f>
        <v>0.16583333333333336</v>
      </c>
      <c r="DE71" s="348"/>
      <c r="DF71" s="381">
        <f>DF70/DE8</f>
        <v>0.16583333333333336</v>
      </c>
      <c r="DG71" s="348"/>
      <c r="DH71" s="381">
        <f>DH70/DG8</f>
        <v>0.16583333333333336</v>
      </c>
      <c r="DI71" s="348"/>
      <c r="DJ71" s="381">
        <f>DJ70/DI8</f>
        <v>0.16583333333333336</v>
      </c>
      <c r="DK71" s="348"/>
      <c r="DL71" s="381">
        <f>DL70/DK8</f>
        <v>0.16583333333333336</v>
      </c>
      <c r="DM71" s="348"/>
      <c r="DN71" s="381">
        <f>DN70/DM8</f>
        <v>0.16583333333333336</v>
      </c>
      <c r="DO71" s="348"/>
      <c r="DP71" s="381">
        <f>DP70/DO8</f>
        <v>0.16583333333333336</v>
      </c>
      <c r="DQ71" s="348"/>
      <c r="DR71" s="381">
        <f>DR70/DQ8</f>
        <v>0.16583333333333336</v>
      </c>
      <c r="DS71" s="348"/>
      <c r="DT71" s="381">
        <f>DT70/DS8</f>
        <v>0.17499999999999999</v>
      </c>
      <c r="DU71" s="348"/>
      <c r="DV71" s="381">
        <f>DV70/DU8</f>
        <v>0.17499999999999999</v>
      </c>
      <c r="DW71" s="348"/>
      <c r="DX71" s="381">
        <f>DX70/DW8</f>
        <v>0.17499999999999999</v>
      </c>
      <c r="DY71" s="348"/>
      <c r="DZ71" s="381">
        <f>DZ70/DY8</f>
        <v>0.17499999999999999</v>
      </c>
      <c r="EA71" s="348"/>
      <c r="EB71" s="381">
        <f>EB70/EA8</f>
        <v>0.17499999999999999</v>
      </c>
      <c r="EC71" s="348"/>
      <c r="ED71" s="381">
        <f>ED70/EC8</f>
        <v>0.17499999999999999</v>
      </c>
      <c r="EE71" s="348"/>
      <c r="EF71" s="381">
        <f>EF70/EE8</f>
        <v>0.17499999999999999</v>
      </c>
      <c r="EG71" s="348"/>
      <c r="EH71" s="381">
        <f>EH70/EG8</f>
        <v>0.17499999999999999</v>
      </c>
      <c r="EI71" s="348"/>
      <c r="EJ71" s="381">
        <f>EJ70/EI8</f>
        <v>0.17499999999999999</v>
      </c>
      <c r="EK71" s="348"/>
      <c r="EL71" s="381">
        <f>EL70/EK8</f>
        <v>0.17499999999999999</v>
      </c>
      <c r="EM71" s="348"/>
      <c r="EN71" s="381">
        <f>EN70/EM8</f>
        <v>0.17499999999999999</v>
      </c>
      <c r="EO71" s="348"/>
      <c r="EP71" s="381">
        <f>EP70/EO8</f>
        <v>0.17499999999999999</v>
      </c>
      <c r="EQ71" s="348"/>
      <c r="ER71" s="381">
        <f>ER70/EQ8</f>
        <v>0.17499999999999999</v>
      </c>
      <c r="ES71" s="348"/>
      <c r="ET71" s="381">
        <f>ET70/ES8</f>
        <v>0.17499999999999999</v>
      </c>
      <c r="EU71" s="348"/>
      <c r="EV71" s="381">
        <f>EV70/EU8</f>
        <v>0.17499999999999999</v>
      </c>
      <c r="EW71" s="348"/>
      <c r="EX71" s="381">
        <f>EX70/EW8</f>
        <v>0.17499999999999999</v>
      </c>
      <c r="EY71" s="348"/>
      <c r="EZ71" s="381">
        <f>EZ70/EY8</f>
        <v>0.17499999999999999</v>
      </c>
      <c r="FA71" s="348"/>
      <c r="FB71" s="381">
        <f>FB70/FA8</f>
        <v>0.17499999999999999</v>
      </c>
      <c r="FC71" s="348"/>
      <c r="FD71" s="381">
        <f>FD70/FC8</f>
        <v>0.17499999999999999</v>
      </c>
      <c r="FE71" s="348"/>
      <c r="FF71" s="381">
        <f>FF70/FE8</f>
        <v>0.17499999999999999</v>
      </c>
      <c r="FG71" s="348"/>
      <c r="FH71" s="381">
        <f>FH70/FG8</f>
        <v>0.17499999999999999</v>
      </c>
      <c r="FI71" s="348"/>
      <c r="FJ71" s="381">
        <f>FJ70/FI8</f>
        <v>0.17499999999999999</v>
      </c>
      <c r="FK71" s="348"/>
      <c r="FL71" s="381">
        <f>FL70/FK8</f>
        <v>0.17499999999999999</v>
      </c>
      <c r="FM71" s="348"/>
      <c r="FN71" s="381">
        <f>FN70/FM8</f>
        <v>0.17499999999999999</v>
      </c>
      <c r="FO71" s="348"/>
      <c r="FP71" s="381">
        <f>FP70/FO8</f>
        <v>0.17499999999999999</v>
      </c>
      <c r="FQ71" s="219"/>
      <c r="FR71" s="348"/>
      <c r="FS71" s="381">
        <f>FS70/FR8</f>
        <v>0.14124999999999999</v>
      </c>
      <c r="FT71" s="348"/>
      <c r="FU71" s="381">
        <f>FU70/FT8</f>
        <v>0.15</v>
      </c>
      <c r="FV71" s="348"/>
      <c r="FW71" s="381">
        <f>FW70/FV8</f>
        <v>0.1575</v>
      </c>
      <c r="FX71" s="348"/>
      <c r="FY71" s="381">
        <f>FY70/FX8</f>
        <v>0.1575</v>
      </c>
      <c r="FZ71" s="348"/>
      <c r="GA71" s="381">
        <f>GA70/FZ8</f>
        <v>0.16250000000000001</v>
      </c>
      <c r="GB71" s="348"/>
      <c r="GC71" s="381">
        <f>GC70/GB8</f>
        <v>0.16250000000000001</v>
      </c>
      <c r="GD71" s="348"/>
      <c r="GE71" s="381">
        <f>GE70/GD8</f>
        <v>0.16250000000000001</v>
      </c>
      <c r="GF71" s="348"/>
      <c r="GG71" s="381">
        <f>GG70/GF8</f>
        <v>0.16125</v>
      </c>
      <c r="GH71" s="348"/>
      <c r="GI71" s="381">
        <f>GI70/GH8</f>
        <v>0.16125</v>
      </c>
      <c r="GJ71" s="348"/>
      <c r="GK71" s="381">
        <f>GK70/GJ8</f>
        <v>0.19</v>
      </c>
      <c r="GL71" s="348"/>
      <c r="GM71" s="381">
        <f>GM70/GL8</f>
        <v>0.19</v>
      </c>
      <c r="GN71" s="348"/>
      <c r="GO71" s="381">
        <f>GO70/GN8</f>
        <v>0.19</v>
      </c>
      <c r="GP71" s="348"/>
      <c r="GQ71" s="381">
        <f>GQ70/GP8</f>
        <v>0.19</v>
      </c>
      <c r="GR71" s="348"/>
      <c r="GS71" s="381">
        <f>GS70/GR8</f>
        <v>0.19</v>
      </c>
      <c r="GT71" s="348"/>
      <c r="GU71" s="381">
        <f>GU70/GT8</f>
        <v>0.19</v>
      </c>
      <c r="GV71" s="348"/>
      <c r="GW71" s="381">
        <f>GW70/GV8</f>
        <v>0.19</v>
      </c>
      <c r="GX71" s="348"/>
      <c r="GY71" s="381">
        <f>GY70/GX8</f>
        <v>0.19</v>
      </c>
      <c r="GZ71" s="348"/>
      <c r="HA71" s="381">
        <f>HA70/GZ8</f>
        <v>0.19875000000000001</v>
      </c>
      <c r="HB71" s="348"/>
      <c r="HC71" s="381">
        <f>HC70/HB8</f>
        <v>0.19875000000000001</v>
      </c>
      <c r="HD71" s="348"/>
      <c r="HE71" s="381">
        <f>HE70/HD8</f>
        <v>0.19875000000000001</v>
      </c>
      <c r="HF71" s="348"/>
      <c r="HG71" s="381">
        <f>HG70/HF8</f>
        <v>0.19875000000000001</v>
      </c>
      <c r="HH71" s="348"/>
      <c r="HI71" s="381">
        <f>HI70/HH8</f>
        <v>0.19875000000000001</v>
      </c>
      <c r="HJ71" s="348"/>
      <c r="HK71" s="381">
        <f>HK70/HJ8</f>
        <v>0.19875000000000001</v>
      </c>
      <c r="HL71" s="348"/>
      <c r="HM71" s="381">
        <f>HM70/HL8</f>
        <v>0.19875000000000001</v>
      </c>
      <c r="HN71" s="348"/>
      <c r="HO71" s="381">
        <f>HO70/HN8</f>
        <v>0.19875000000000001</v>
      </c>
      <c r="HP71" s="348"/>
      <c r="HQ71" s="381">
        <f>HQ70/HP8</f>
        <v>0.19875000000000001</v>
      </c>
      <c r="HR71" s="348"/>
      <c r="HS71" s="381">
        <f>HS70/HR8</f>
        <v>0.19875000000000001</v>
      </c>
      <c r="HT71" s="348"/>
      <c r="HU71" s="381">
        <f>HU70/HT8</f>
        <v>0.19875000000000001</v>
      </c>
      <c r="HV71" s="348"/>
      <c r="HW71" s="381">
        <f>HW70/HV8</f>
        <v>0.19875000000000001</v>
      </c>
      <c r="HX71" s="348"/>
      <c r="HY71" s="381">
        <f>HY70/HX8</f>
        <v>0.19875000000000001</v>
      </c>
      <c r="HZ71" s="348"/>
      <c r="IA71" s="381">
        <f>IA70/HZ8</f>
        <v>0.19875000000000001</v>
      </c>
      <c r="IB71" s="348"/>
      <c r="IC71" s="381">
        <f>IC70/IB8</f>
        <v>0.19875000000000001</v>
      </c>
      <c r="ID71" s="348"/>
      <c r="IE71" s="381">
        <f>IE70/ID8</f>
        <v>0.19875000000000001</v>
      </c>
      <c r="IF71" s="348"/>
      <c r="IG71" s="381">
        <f>IG70/IF8</f>
        <v>0.19875000000000001</v>
      </c>
      <c r="IH71" s="348"/>
      <c r="II71" s="381">
        <f>II70/IH8</f>
        <v>0.19875000000000001</v>
      </c>
      <c r="IJ71" s="348"/>
      <c r="IK71" s="381">
        <f>IK70/IJ8</f>
        <v>0.19875000000000001</v>
      </c>
      <c r="IL71" s="348"/>
      <c r="IM71" s="381">
        <f>IM70/IL8</f>
        <v>0.19875000000000001</v>
      </c>
      <c r="IN71" s="348"/>
      <c r="IO71" s="381">
        <f>IO70/IN8</f>
        <v>0.19875000000000001</v>
      </c>
      <c r="IP71" s="348"/>
      <c r="IQ71" s="381">
        <f>IQ70/IP8</f>
        <v>0.19875000000000001</v>
      </c>
      <c r="IR71" s="348"/>
      <c r="IS71" s="381">
        <f>IS70/IR8</f>
        <v>0.19875000000000001</v>
      </c>
      <c r="IT71" s="348"/>
      <c r="IU71" s="381">
        <f>IU70/IT8</f>
        <v>0.19875000000000001</v>
      </c>
      <c r="IV71" s="348"/>
      <c r="IW71" s="381">
        <f>IW70/IV8</f>
        <v>0.19875000000000001</v>
      </c>
      <c r="IX71" s="348"/>
      <c r="IY71" s="381">
        <f>IY70/IX8</f>
        <v>0.19875000000000001</v>
      </c>
      <c r="IZ71" s="219"/>
      <c r="JA71" s="348"/>
      <c r="JB71" s="381">
        <f>JB70/JA8</f>
        <v>0.19875000000000001</v>
      </c>
      <c r="JC71" s="348"/>
      <c r="JD71" s="381">
        <f>JD70/JC8</f>
        <v>0.19875000000000001</v>
      </c>
      <c r="JE71" s="219"/>
      <c r="JF71" s="348"/>
      <c r="JG71" s="381">
        <f>JG70/JF8</f>
        <v>0.13250000000000001</v>
      </c>
      <c r="JH71" s="348"/>
      <c r="JI71" s="381">
        <f>JI70/JH8</f>
        <v>0.14125000000000001</v>
      </c>
      <c r="JJ71" s="348"/>
      <c r="JK71" s="381">
        <f>JK70/JJ8</f>
        <v>0.14750000000000002</v>
      </c>
      <c r="JL71" s="348"/>
      <c r="JM71" s="381">
        <f>JM70/JL8</f>
        <v>0.14750000000000002</v>
      </c>
      <c r="JN71" s="348"/>
      <c r="JO71" s="381">
        <f>JO70/JN8</f>
        <v>0.155</v>
      </c>
      <c r="JP71" s="348"/>
      <c r="JQ71" s="381">
        <f>JQ70/JP8</f>
        <v>0.155</v>
      </c>
      <c r="JR71" s="348"/>
      <c r="JS71" s="381">
        <f>JS70/JR8</f>
        <v>0.155</v>
      </c>
      <c r="JT71" s="348"/>
      <c r="JU71" s="381">
        <f>JU70/JT8</f>
        <v>0.155</v>
      </c>
      <c r="JV71" s="348"/>
      <c r="JW71" s="381">
        <f>JW70/JV8</f>
        <v>0.155</v>
      </c>
      <c r="JX71" s="348"/>
      <c r="JY71" s="381">
        <f>JY70/JX8</f>
        <v>0.155</v>
      </c>
      <c r="JZ71" s="348"/>
      <c r="KA71" s="381">
        <f>KA70/JZ8</f>
        <v>0.155</v>
      </c>
      <c r="KB71" s="348"/>
      <c r="KC71" s="381">
        <f>KC70/KB8</f>
        <v>0.155</v>
      </c>
      <c r="KD71" s="348"/>
      <c r="KE71" s="381">
        <f>KE70/KD8</f>
        <v>0.155</v>
      </c>
      <c r="KF71" s="348"/>
      <c r="KG71" s="381">
        <f>KG70/KF8</f>
        <v>0.155</v>
      </c>
      <c r="KH71" s="348"/>
      <c r="KI71" s="381">
        <f>KI70/KH8</f>
        <v>0.155</v>
      </c>
      <c r="KJ71" s="348"/>
      <c r="KK71" s="381">
        <f>KK70/KJ8</f>
        <v>0.16250000000000001</v>
      </c>
      <c r="KL71" s="348"/>
      <c r="KM71" s="381">
        <f>KM70/KL8</f>
        <v>0.16250000000000001</v>
      </c>
      <c r="KN71" s="348"/>
      <c r="KO71" s="381">
        <f>KO70/KN8</f>
        <v>0.16250000000000001</v>
      </c>
      <c r="KP71" s="348"/>
      <c r="KQ71" s="381">
        <f>KQ70/KP8</f>
        <v>0.16250000000000001</v>
      </c>
      <c r="KR71" s="348"/>
      <c r="KS71" s="381">
        <f>KS70/KR8</f>
        <v>0.16250000000000001</v>
      </c>
      <c r="KT71" s="348"/>
      <c r="KU71" s="381">
        <f>KU70/KT8</f>
        <v>0.16250000000000001</v>
      </c>
      <c r="KV71" s="348"/>
      <c r="KW71" s="381">
        <f>KW70/KV8</f>
        <v>0.16250000000000001</v>
      </c>
      <c r="KX71" s="348"/>
      <c r="KY71" s="381">
        <f>KY70/KX8</f>
        <v>0.16250000000000001</v>
      </c>
      <c r="KZ71" s="348"/>
      <c r="LA71" s="381">
        <f>LA70/KZ8</f>
        <v>0.16250000000000001</v>
      </c>
      <c r="LB71" s="348"/>
      <c r="LC71" s="381">
        <f>LC70/LB8</f>
        <v>0.16250000000000001</v>
      </c>
      <c r="LD71" s="348"/>
      <c r="LE71" s="381">
        <f>LE70/LD8</f>
        <v>0.16250000000000001</v>
      </c>
      <c r="LF71" s="348"/>
      <c r="LG71" s="381">
        <f>LG70/LF8</f>
        <v>0.16250000000000001</v>
      </c>
      <c r="LH71" s="348"/>
      <c r="LI71" s="381">
        <f>LI70/LH8</f>
        <v>0.16250000000000001</v>
      </c>
      <c r="LJ71" s="348"/>
      <c r="LK71" s="381">
        <f>LK70/LJ8</f>
        <v>0.16250000000000001</v>
      </c>
      <c r="LL71" s="348"/>
      <c r="LM71" s="381">
        <f>LM70/LL8</f>
        <v>0.16250000000000001</v>
      </c>
      <c r="LN71" s="348"/>
      <c r="LO71" s="381">
        <f>LO70/LN8</f>
        <v>0.16250000000000001</v>
      </c>
      <c r="LP71" s="348"/>
      <c r="LQ71" s="381">
        <f>LQ70/LP8</f>
        <v>0.16250000000000001</v>
      </c>
      <c r="LR71" s="348"/>
      <c r="LS71" s="381">
        <f>LS70/LR8</f>
        <v>0.16250000000000001</v>
      </c>
      <c r="LT71" s="348"/>
      <c r="LU71" s="381">
        <f>LU70/LT8</f>
        <v>0.16250000000000001</v>
      </c>
      <c r="LV71" s="348"/>
      <c r="LW71" s="381">
        <f>LW70/LV8</f>
        <v>0.16250000000000001</v>
      </c>
      <c r="LX71" s="348"/>
      <c r="LY71" s="381">
        <f>LY70/LX8</f>
        <v>0.16250000000000001</v>
      </c>
      <c r="LZ71" s="348"/>
      <c r="MA71" s="381">
        <f>MA70/LZ8</f>
        <v>0.16250000000000001</v>
      </c>
      <c r="MB71" s="348"/>
      <c r="MC71" s="381">
        <f>MC70/MB8</f>
        <v>0.16250000000000001</v>
      </c>
      <c r="MD71" s="348"/>
      <c r="ME71" s="381">
        <f>ME70/MD8</f>
        <v>0.16250000000000001</v>
      </c>
      <c r="MF71" s="348"/>
      <c r="MG71" s="381">
        <f>MG70/MF8</f>
        <v>0.16250000000000001</v>
      </c>
      <c r="MH71" s="219"/>
      <c r="MI71" s="348"/>
      <c r="MJ71" s="381">
        <f>MJ70/MI8</f>
        <v>9.8750000000000004E-2</v>
      </c>
      <c r="MK71" s="348"/>
      <c r="ML71" s="381">
        <f>ML70/MK8</f>
        <v>0.10375000000000001</v>
      </c>
      <c r="MM71" s="348"/>
      <c r="MN71" s="381">
        <f>MN70/MM8</f>
        <v>0.11000000000000001</v>
      </c>
      <c r="MO71" s="348"/>
      <c r="MP71" s="381">
        <f>MP70/MO8</f>
        <v>0.11000000000000001</v>
      </c>
      <c r="MQ71" s="348"/>
      <c r="MR71" s="381">
        <f>MR70/MQ8</f>
        <v>0.11499999999999999</v>
      </c>
      <c r="MS71" s="348"/>
      <c r="MT71" s="381">
        <f>MT70/MS8</f>
        <v>0.1125</v>
      </c>
      <c r="MU71" s="348"/>
      <c r="MV71" s="381">
        <f>MV70/MU8</f>
        <v>0.11499999999999999</v>
      </c>
      <c r="MW71" s="348"/>
      <c r="MX71" s="381">
        <f>MX70/MW8</f>
        <v>0.14250000000000002</v>
      </c>
      <c r="MY71" s="348"/>
      <c r="MZ71" s="381">
        <f>MZ70/MY8</f>
        <v>0.14250000000000002</v>
      </c>
      <c r="NA71" s="348"/>
      <c r="NB71" s="381">
        <f>NB70/NA8</f>
        <v>0.14250000000000002</v>
      </c>
      <c r="NC71" s="348"/>
      <c r="ND71" s="381">
        <f>ND70/NC8</f>
        <v>0.14250000000000002</v>
      </c>
      <c r="NE71" s="348"/>
      <c r="NF71" s="381">
        <f>NF70/NE8</f>
        <v>0.14250000000000002</v>
      </c>
      <c r="NG71" s="348"/>
      <c r="NH71" s="381">
        <f>NH70/NG8</f>
        <v>0.14250000000000002</v>
      </c>
      <c r="NI71" s="348"/>
      <c r="NJ71" s="381">
        <f>NJ70/NI8</f>
        <v>0.14250000000000002</v>
      </c>
      <c r="NK71" s="348"/>
      <c r="NL71" s="381">
        <f>NL70/NK8</f>
        <v>0.14250000000000002</v>
      </c>
      <c r="NM71" s="348"/>
      <c r="NN71" s="381">
        <f>NN70/NM8</f>
        <v>0.15</v>
      </c>
      <c r="NO71" s="348"/>
      <c r="NP71" s="381">
        <f>NP70/NO8</f>
        <v>0.15</v>
      </c>
      <c r="NQ71" s="348"/>
      <c r="NR71" s="381">
        <f>NR70/NQ8</f>
        <v>0.15</v>
      </c>
      <c r="NS71" s="348"/>
      <c r="NT71" s="381">
        <f>NT70/NS8</f>
        <v>0.15</v>
      </c>
      <c r="NU71" s="348"/>
      <c r="NV71" s="381">
        <f>NV70/NU8</f>
        <v>0.15</v>
      </c>
      <c r="NW71" s="348"/>
      <c r="NX71" s="381">
        <f>NX70/NW8</f>
        <v>0.15</v>
      </c>
      <c r="NY71" s="348"/>
      <c r="NZ71" s="381">
        <f>NZ70/NY8</f>
        <v>0.15</v>
      </c>
      <c r="OA71" s="348"/>
      <c r="OB71" s="381">
        <f>OB70/OA8</f>
        <v>0.15</v>
      </c>
      <c r="OC71" s="348"/>
      <c r="OD71" s="381">
        <f>OD70/OC8</f>
        <v>0.15</v>
      </c>
      <c r="OE71" s="348"/>
      <c r="OF71" s="381">
        <f>OF70/OE8</f>
        <v>0.15</v>
      </c>
      <c r="OG71" s="348"/>
      <c r="OH71" s="381">
        <f>OH70/OG8</f>
        <v>0.15</v>
      </c>
      <c r="OI71" s="348"/>
      <c r="OJ71" s="381">
        <f>OJ70/OI8</f>
        <v>0.15</v>
      </c>
      <c r="OK71" s="348"/>
      <c r="OL71" s="381">
        <f>OL70/OK8</f>
        <v>0.15</v>
      </c>
      <c r="OM71" s="348"/>
      <c r="ON71" s="381">
        <f>ON70/OM8</f>
        <v>0.15</v>
      </c>
      <c r="OO71" s="348"/>
      <c r="OP71" s="381">
        <f>OP70/OO8</f>
        <v>0.15</v>
      </c>
      <c r="OQ71" s="348"/>
      <c r="OR71" s="381">
        <f>OR70/OQ8</f>
        <v>0.15</v>
      </c>
      <c r="OS71" s="348"/>
      <c r="OT71" s="381">
        <f>OT70/OS8</f>
        <v>0.15</v>
      </c>
      <c r="OU71" s="348"/>
      <c r="OV71" s="381">
        <f>OV70/OU8</f>
        <v>0.15</v>
      </c>
      <c r="OW71" s="348"/>
      <c r="OX71" s="381">
        <f>OX70/OW8</f>
        <v>0.15</v>
      </c>
      <c r="OY71" s="348"/>
      <c r="OZ71" s="381">
        <f>OZ70/OY8</f>
        <v>0.15</v>
      </c>
      <c r="PA71" s="348"/>
      <c r="PB71" s="381">
        <f>PB70/PA8</f>
        <v>0.15</v>
      </c>
      <c r="PC71" s="348"/>
      <c r="PD71" s="381">
        <f>PD70/PC8</f>
        <v>0.15</v>
      </c>
      <c r="PE71" s="348"/>
      <c r="PF71" s="381">
        <f>PF70/PE8</f>
        <v>0.15</v>
      </c>
      <c r="PG71" s="348"/>
      <c r="PH71" s="381">
        <f>PH70/PG8</f>
        <v>0.15</v>
      </c>
      <c r="PI71" s="348"/>
      <c r="PJ71" s="381">
        <f>PJ70/PI8</f>
        <v>0.15</v>
      </c>
      <c r="PK71" s="348"/>
      <c r="PL71" s="381">
        <f>PL70/PK8</f>
        <v>0.15</v>
      </c>
      <c r="PM71" s="348"/>
      <c r="PN71" s="381">
        <f>PN70/PM8</f>
        <v>0.15</v>
      </c>
      <c r="PO71" s="348"/>
      <c r="PP71" s="381">
        <f>PP70/PO8</f>
        <v>0.15</v>
      </c>
      <c r="PQ71" s="145"/>
      <c r="PR71" s="348"/>
      <c r="PS71" s="381">
        <f>PS70/PR8</f>
        <v>0.36</v>
      </c>
      <c r="PT71" s="348"/>
      <c r="PU71" s="381">
        <f>PU70/PT8</f>
        <v>0.36</v>
      </c>
      <c r="PV71" s="348"/>
      <c r="PW71" s="381">
        <f>PW70/PV8</f>
        <v>0.36</v>
      </c>
      <c r="PX71" s="348"/>
      <c r="PY71" s="381">
        <f>PY70/PX8</f>
        <v>0.36</v>
      </c>
      <c r="PZ71" s="348"/>
      <c r="QA71" s="381">
        <f>QA70/PZ8</f>
        <v>0.36</v>
      </c>
      <c r="QB71" s="348"/>
      <c r="QC71" s="381">
        <f>QC70/QB8</f>
        <v>0.36</v>
      </c>
      <c r="QD71" s="145"/>
      <c r="QE71" s="145"/>
      <c r="QF71" s="348"/>
      <c r="QG71" s="381">
        <f>QG70/QF8</f>
        <v>0.36</v>
      </c>
      <c r="QH71" s="348"/>
      <c r="QI71" s="381">
        <f>QI70/QH8</f>
        <v>0.36</v>
      </c>
      <c r="QJ71" s="348"/>
      <c r="QK71" s="381">
        <f>QK70/QJ8</f>
        <v>0.36</v>
      </c>
      <c r="QL71" s="348"/>
      <c r="QM71" s="381">
        <f>QM70/QL8</f>
        <v>0.36</v>
      </c>
      <c r="QN71" s="348"/>
      <c r="QO71" s="381">
        <f>QO70/QN8</f>
        <v>0.32</v>
      </c>
      <c r="QP71" s="348"/>
      <c r="QQ71" s="381">
        <f>QQ70/QP8</f>
        <v>0.32</v>
      </c>
    </row>
    <row r="72" spans="1:459" x14ac:dyDescent="0.45">
      <c r="A72" s="871"/>
      <c r="B72" s="345"/>
      <c r="C72" s="145"/>
      <c r="D72" s="346"/>
      <c r="E72" s="219"/>
      <c r="F72" s="348"/>
      <c r="G72" s="381"/>
      <c r="H72" s="348"/>
      <c r="I72" s="381"/>
      <c r="J72" s="348"/>
      <c r="K72" s="381"/>
      <c r="L72" s="348"/>
      <c r="M72" s="381"/>
      <c r="N72" s="348"/>
      <c r="O72" s="381"/>
      <c r="P72" s="348"/>
      <c r="Q72" s="381"/>
      <c r="R72" s="348"/>
      <c r="S72" s="381"/>
      <c r="T72" s="348"/>
      <c r="U72" s="381"/>
      <c r="V72" s="348"/>
      <c r="W72" s="381"/>
      <c r="X72" s="348"/>
      <c r="Y72" s="381"/>
      <c r="Z72" s="348"/>
      <c r="AA72" s="381"/>
      <c r="AB72" s="348"/>
      <c r="AC72" s="381"/>
      <c r="AD72" s="348"/>
      <c r="AE72" s="381"/>
      <c r="AF72" s="348"/>
      <c r="AG72" s="381"/>
      <c r="AH72" s="348"/>
      <c r="AI72" s="381"/>
      <c r="AJ72" s="348"/>
      <c r="AK72" s="381"/>
      <c r="AL72" s="348"/>
      <c r="AM72" s="381"/>
      <c r="AN72" s="348"/>
      <c r="AO72" s="381"/>
      <c r="AP72" s="348"/>
      <c r="AQ72" s="381"/>
      <c r="AR72" s="348"/>
      <c r="AS72" s="381"/>
      <c r="AT72" s="348"/>
      <c r="AU72" s="381"/>
      <c r="AV72" s="348"/>
      <c r="AW72" s="381"/>
      <c r="AX72" s="348"/>
      <c r="AY72" s="381"/>
      <c r="AZ72" s="348"/>
      <c r="BA72" s="381"/>
      <c r="BB72" s="348"/>
      <c r="BC72" s="381"/>
      <c r="BD72" s="348"/>
      <c r="BE72" s="381"/>
      <c r="BF72" s="348"/>
      <c r="BG72" s="381"/>
      <c r="BH72" s="348"/>
      <c r="BI72" s="381"/>
      <c r="BJ72" s="348"/>
      <c r="BK72" s="381"/>
      <c r="BL72" s="348"/>
      <c r="BM72" s="381"/>
      <c r="BN72" s="348"/>
      <c r="BO72" s="381"/>
      <c r="BP72" s="348"/>
      <c r="BQ72" s="381"/>
      <c r="BR72" s="348"/>
      <c r="BS72" s="381"/>
      <c r="BT72" s="348"/>
      <c r="BU72" s="381"/>
      <c r="BV72" s="348"/>
      <c r="BW72" s="381"/>
      <c r="BX72" s="348"/>
      <c r="BY72" s="381"/>
      <c r="BZ72" s="348"/>
      <c r="CA72" s="381"/>
      <c r="CB72" s="348"/>
      <c r="CC72" s="381"/>
      <c r="CD72" s="348"/>
      <c r="CE72" s="381"/>
      <c r="CF72" s="348"/>
      <c r="CG72" s="381"/>
      <c r="CH72" s="348"/>
      <c r="CI72" s="381"/>
      <c r="CJ72" s="348"/>
      <c r="CK72" s="381"/>
      <c r="CL72" s="348"/>
      <c r="CM72" s="381"/>
      <c r="CN72" s="348"/>
      <c r="CO72" s="381"/>
      <c r="CP72" s="348"/>
      <c r="CQ72" s="381"/>
      <c r="CR72" s="348"/>
      <c r="CS72" s="381"/>
      <c r="CT72" s="323"/>
      <c r="CU72" s="348"/>
      <c r="CV72" s="381"/>
      <c r="CW72" s="348"/>
      <c r="CX72" s="381"/>
      <c r="CY72" s="348"/>
      <c r="CZ72" s="381"/>
      <c r="DA72" s="348"/>
      <c r="DB72" s="381"/>
      <c r="DC72" s="348"/>
      <c r="DD72" s="381"/>
      <c r="DE72" s="348"/>
      <c r="DF72" s="381"/>
      <c r="DG72" s="348"/>
      <c r="DH72" s="381"/>
      <c r="DI72" s="348"/>
      <c r="DJ72" s="381"/>
      <c r="DK72" s="348"/>
      <c r="DL72" s="381"/>
      <c r="DM72" s="348"/>
      <c r="DN72" s="381"/>
      <c r="DO72" s="348"/>
      <c r="DP72" s="381"/>
      <c r="DQ72" s="348"/>
      <c r="DR72" s="381"/>
      <c r="DS72" s="348"/>
      <c r="DT72" s="381"/>
      <c r="DU72" s="348"/>
      <c r="DV72" s="381"/>
      <c r="DW72" s="348"/>
      <c r="DX72" s="381"/>
      <c r="DY72" s="348"/>
      <c r="DZ72" s="381"/>
      <c r="EA72" s="348"/>
      <c r="EB72" s="381"/>
      <c r="EC72" s="348"/>
      <c r="ED72" s="381"/>
      <c r="EE72" s="348"/>
      <c r="EF72" s="381"/>
      <c r="EG72" s="348"/>
      <c r="EH72" s="381"/>
      <c r="EI72" s="348"/>
      <c r="EJ72" s="381"/>
      <c r="EK72" s="348"/>
      <c r="EL72" s="381"/>
      <c r="EM72" s="348"/>
      <c r="EN72" s="381"/>
      <c r="EO72" s="348"/>
      <c r="EP72" s="381"/>
      <c r="EQ72" s="348"/>
      <c r="ER72" s="381"/>
      <c r="ES72" s="348"/>
      <c r="ET72" s="381"/>
      <c r="EU72" s="348"/>
      <c r="EV72" s="381"/>
      <c r="EW72" s="348"/>
      <c r="EX72" s="381"/>
      <c r="EY72" s="348"/>
      <c r="EZ72" s="381"/>
      <c r="FA72" s="348"/>
      <c r="FB72" s="381"/>
      <c r="FC72" s="348"/>
      <c r="FD72" s="381"/>
      <c r="FE72" s="348"/>
      <c r="FF72" s="381"/>
      <c r="FG72" s="348"/>
      <c r="FH72" s="381"/>
      <c r="FI72" s="348"/>
      <c r="FJ72" s="381"/>
      <c r="FK72" s="348"/>
      <c r="FL72" s="381"/>
      <c r="FM72" s="348"/>
      <c r="FN72" s="381"/>
      <c r="FO72" s="348"/>
      <c r="FP72" s="381"/>
      <c r="FQ72" s="219"/>
      <c r="FR72" s="348"/>
      <c r="FS72" s="381"/>
      <c r="FT72" s="348"/>
      <c r="FU72" s="381"/>
      <c r="FV72" s="348"/>
      <c r="FW72" s="381"/>
      <c r="FX72" s="348"/>
      <c r="FY72" s="381"/>
      <c r="FZ72" s="348"/>
      <c r="GA72" s="381"/>
      <c r="GB72" s="348"/>
      <c r="GC72" s="381"/>
      <c r="GD72" s="348"/>
      <c r="GE72" s="381"/>
      <c r="GF72" s="348"/>
      <c r="GG72" s="381"/>
      <c r="GH72" s="348"/>
      <c r="GI72" s="381"/>
      <c r="GJ72" s="348"/>
      <c r="GK72" s="381"/>
      <c r="GL72" s="348"/>
      <c r="GM72" s="381"/>
      <c r="GN72" s="348"/>
      <c r="GO72" s="381"/>
      <c r="GP72" s="348"/>
      <c r="GQ72" s="381"/>
      <c r="GR72" s="348"/>
      <c r="GS72" s="381"/>
      <c r="GT72" s="348"/>
      <c r="GU72" s="381"/>
      <c r="GV72" s="348"/>
      <c r="GW72" s="381"/>
      <c r="GX72" s="348"/>
      <c r="GY72" s="381"/>
      <c r="GZ72" s="348"/>
      <c r="HA72" s="381"/>
      <c r="HB72" s="348"/>
      <c r="HC72" s="381"/>
      <c r="HD72" s="348"/>
      <c r="HE72" s="381"/>
      <c r="HF72" s="348"/>
      <c r="HG72" s="381"/>
      <c r="HH72" s="348"/>
      <c r="HI72" s="381"/>
      <c r="HJ72" s="348"/>
      <c r="HK72" s="381"/>
      <c r="HL72" s="348"/>
      <c r="HM72" s="381"/>
      <c r="HN72" s="348"/>
      <c r="HO72" s="381"/>
      <c r="HP72" s="348"/>
      <c r="HQ72" s="381"/>
      <c r="HR72" s="348"/>
      <c r="HS72" s="381"/>
      <c r="HT72" s="348"/>
      <c r="HU72" s="381"/>
      <c r="HV72" s="348"/>
      <c r="HW72" s="381"/>
      <c r="HX72" s="348"/>
      <c r="HY72" s="381"/>
      <c r="HZ72" s="348"/>
      <c r="IA72" s="381"/>
      <c r="IB72" s="348"/>
      <c r="IC72" s="381"/>
      <c r="ID72" s="348"/>
      <c r="IE72" s="381"/>
      <c r="IF72" s="348"/>
      <c r="IG72" s="381"/>
      <c r="IH72" s="348"/>
      <c r="II72" s="381"/>
      <c r="IJ72" s="348"/>
      <c r="IK72" s="381"/>
      <c r="IL72" s="348"/>
      <c r="IM72" s="381"/>
      <c r="IN72" s="348"/>
      <c r="IO72" s="381"/>
      <c r="IP72" s="348"/>
      <c r="IQ72" s="381"/>
      <c r="IR72" s="348"/>
      <c r="IS72" s="381"/>
      <c r="IT72" s="348"/>
      <c r="IU72" s="381"/>
      <c r="IV72" s="348"/>
      <c r="IW72" s="381"/>
      <c r="IX72" s="348"/>
      <c r="IY72" s="381"/>
      <c r="IZ72" s="219"/>
      <c r="JA72" s="348"/>
      <c r="JB72" s="381"/>
      <c r="JC72" s="348"/>
      <c r="JD72" s="381"/>
      <c r="JE72" s="219"/>
      <c r="JF72" s="348"/>
      <c r="JG72" s="381"/>
      <c r="JH72" s="348"/>
      <c r="JI72" s="381"/>
      <c r="JJ72" s="348"/>
      <c r="JK72" s="381"/>
      <c r="JL72" s="348"/>
      <c r="JM72" s="381"/>
      <c r="JN72" s="348"/>
      <c r="JO72" s="381"/>
      <c r="JP72" s="348"/>
      <c r="JQ72" s="381"/>
      <c r="JR72" s="348"/>
      <c r="JS72" s="381"/>
      <c r="JT72" s="348"/>
      <c r="JU72" s="381"/>
      <c r="JV72" s="348"/>
      <c r="JW72" s="381"/>
      <c r="JX72" s="348"/>
      <c r="JY72" s="381"/>
      <c r="JZ72" s="348"/>
      <c r="KA72" s="381"/>
      <c r="KB72" s="348"/>
      <c r="KC72" s="381"/>
      <c r="KD72" s="348"/>
      <c r="KE72" s="381"/>
      <c r="KF72" s="348"/>
      <c r="KG72" s="381"/>
      <c r="KH72" s="348"/>
      <c r="KI72" s="381"/>
      <c r="KJ72" s="348"/>
      <c r="KK72" s="381"/>
      <c r="KL72" s="348"/>
      <c r="KM72" s="381"/>
      <c r="KN72" s="348"/>
      <c r="KO72" s="381"/>
      <c r="KP72" s="348"/>
      <c r="KQ72" s="381"/>
      <c r="KR72" s="348"/>
      <c r="KS72" s="381"/>
      <c r="KT72" s="348"/>
      <c r="KU72" s="381"/>
      <c r="KV72" s="348"/>
      <c r="KW72" s="381"/>
      <c r="KX72" s="348"/>
      <c r="KY72" s="381"/>
      <c r="KZ72" s="348"/>
      <c r="LA72" s="381"/>
      <c r="LB72" s="348"/>
      <c r="LC72" s="381"/>
      <c r="LD72" s="348"/>
      <c r="LE72" s="381"/>
      <c r="LF72" s="348"/>
      <c r="LG72" s="381"/>
      <c r="LH72" s="348"/>
      <c r="LI72" s="381"/>
      <c r="LJ72" s="348"/>
      <c r="LK72" s="381"/>
      <c r="LL72" s="348"/>
      <c r="LM72" s="381"/>
      <c r="LN72" s="348"/>
      <c r="LO72" s="381"/>
      <c r="LP72" s="348"/>
      <c r="LQ72" s="381"/>
      <c r="LR72" s="348"/>
      <c r="LS72" s="381"/>
      <c r="LT72" s="348"/>
      <c r="LU72" s="381"/>
      <c r="LV72" s="348"/>
      <c r="LW72" s="381"/>
      <c r="LX72" s="348"/>
      <c r="LY72" s="381"/>
      <c r="LZ72" s="348"/>
      <c r="MA72" s="381"/>
      <c r="MB72" s="348"/>
      <c r="MC72" s="381"/>
      <c r="MD72" s="348"/>
      <c r="ME72" s="381"/>
      <c r="MF72" s="348"/>
      <c r="MG72" s="381"/>
      <c r="MH72" s="219"/>
      <c r="MI72" s="348"/>
      <c r="MJ72" s="381"/>
      <c r="MK72" s="348"/>
      <c r="ML72" s="381"/>
      <c r="MM72" s="348"/>
      <c r="MN72" s="381"/>
      <c r="MO72" s="348"/>
      <c r="MP72" s="381"/>
      <c r="MQ72" s="348"/>
      <c r="MR72" s="381"/>
      <c r="MS72" s="348"/>
      <c r="MT72" s="381"/>
      <c r="MU72" s="348"/>
      <c r="MV72" s="381"/>
      <c r="MW72" s="348"/>
      <c r="MX72" s="381"/>
      <c r="MY72" s="348"/>
      <c r="MZ72" s="381"/>
      <c r="NA72" s="348"/>
      <c r="NB72" s="381"/>
      <c r="NC72" s="348"/>
      <c r="ND72" s="381"/>
      <c r="NE72" s="348"/>
      <c r="NF72" s="381"/>
      <c r="NG72" s="348"/>
      <c r="NH72" s="381"/>
      <c r="NI72" s="348"/>
      <c r="NJ72" s="381"/>
      <c r="NK72" s="348"/>
      <c r="NL72" s="381"/>
      <c r="NM72" s="348"/>
      <c r="NN72" s="381"/>
      <c r="NO72" s="348"/>
      <c r="NP72" s="381"/>
      <c r="NQ72" s="348"/>
      <c r="NR72" s="381"/>
      <c r="NS72" s="348"/>
      <c r="NT72" s="381"/>
      <c r="NU72" s="348"/>
      <c r="NV72" s="381"/>
      <c r="NW72" s="348"/>
      <c r="NX72" s="381"/>
      <c r="NY72" s="348"/>
      <c r="NZ72" s="381"/>
      <c r="OA72" s="348"/>
      <c r="OB72" s="381"/>
      <c r="OC72" s="348"/>
      <c r="OD72" s="381"/>
      <c r="OE72" s="348"/>
      <c r="OF72" s="381"/>
      <c r="OG72" s="348"/>
      <c r="OH72" s="381"/>
      <c r="OI72" s="348"/>
      <c r="OJ72" s="381"/>
      <c r="OK72" s="348"/>
      <c r="OL72" s="381"/>
      <c r="OM72" s="348"/>
      <c r="ON72" s="381"/>
      <c r="OO72" s="348"/>
      <c r="OP72" s="381"/>
      <c r="OQ72" s="348"/>
      <c r="OR72" s="381"/>
      <c r="OS72" s="348"/>
      <c r="OT72" s="381"/>
      <c r="OU72" s="348"/>
      <c r="OV72" s="381"/>
      <c r="OW72" s="348"/>
      <c r="OX72" s="381"/>
      <c r="OY72" s="348"/>
      <c r="OZ72" s="381"/>
      <c r="PA72" s="348"/>
      <c r="PB72" s="381"/>
      <c r="PC72" s="348"/>
      <c r="PD72" s="381"/>
      <c r="PE72" s="348"/>
      <c r="PF72" s="381"/>
      <c r="PG72" s="348"/>
      <c r="PH72" s="381"/>
      <c r="PI72" s="348"/>
      <c r="PJ72" s="381"/>
      <c r="PK72" s="348"/>
      <c r="PL72" s="381"/>
      <c r="PM72" s="348"/>
      <c r="PN72" s="381"/>
      <c r="PO72" s="348"/>
      <c r="PP72" s="381"/>
      <c r="PQ72" s="145"/>
      <c r="PR72" s="348"/>
      <c r="PS72" s="381"/>
      <c r="PT72" s="348"/>
      <c r="PU72" s="381"/>
      <c r="PV72" s="348"/>
      <c r="PW72" s="381"/>
      <c r="PX72" s="348"/>
      <c r="PY72" s="381"/>
      <c r="PZ72" s="348"/>
      <c r="QA72" s="381"/>
      <c r="QB72" s="348"/>
      <c r="QC72" s="381"/>
      <c r="QD72" s="145"/>
      <c r="QE72" s="145"/>
      <c r="QF72" s="348"/>
      <c r="QG72" s="381"/>
      <c r="QH72" s="348"/>
      <c r="QI72" s="381"/>
      <c r="QJ72" s="348"/>
      <c r="QK72" s="381"/>
      <c r="QL72" s="348"/>
      <c r="QM72" s="381"/>
      <c r="QN72" s="348"/>
      <c r="QO72" s="381"/>
      <c r="QP72" s="348"/>
      <c r="QQ72" s="381"/>
    </row>
    <row r="73" spans="1:459" x14ac:dyDescent="0.45">
      <c r="A73" s="871"/>
      <c r="B73" s="345"/>
      <c r="C73" s="145"/>
      <c r="D73" s="346"/>
      <c r="E73" s="219"/>
      <c r="F73" s="348"/>
      <c r="G73" s="381"/>
      <c r="H73" s="348"/>
      <c r="I73" s="381"/>
      <c r="J73" s="348"/>
      <c r="K73" s="381"/>
      <c r="L73" s="348"/>
      <c r="M73" s="381"/>
      <c r="N73" s="348"/>
      <c r="O73" s="381"/>
      <c r="P73" s="348"/>
      <c r="Q73" s="219"/>
      <c r="R73" s="348"/>
      <c r="S73" s="381"/>
      <c r="T73" s="348"/>
      <c r="U73" s="381"/>
      <c r="V73" s="348"/>
      <c r="W73" s="381"/>
      <c r="X73" s="348"/>
      <c r="Y73" s="381"/>
      <c r="Z73" s="348"/>
      <c r="AA73" s="381"/>
      <c r="AB73" s="348"/>
      <c r="AC73" s="219"/>
      <c r="AD73" s="348"/>
      <c r="AE73" s="381"/>
      <c r="AF73" s="348"/>
      <c r="AG73" s="381"/>
      <c r="AH73" s="348"/>
      <c r="AI73" s="381"/>
      <c r="AJ73" s="348"/>
      <c r="AK73" s="381"/>
      <c r="AL73" s="348"/>
      <c r="AM73" s="381"/>
      <c r="AN73" s="348"/>
      <c r="AO73" s="381"/>
      <c r="AP73" s="348"/>
      <c r="AQ73" s="381"/>
      <c r="AR73" s="348"/>
      <c r="AS73" s="381"/>
      <c r="AT73" s="348"/>
      <c r="AU73" s="381"/>
      <c r="AV73" s="348"/>
      <c r="AW73" s="381"/>
      <c r="AX73" s="348"/>
      <c r="AY73" s="381"/>
      <c r="AZ73" s="348"/>
      <c r="BA73" s="381"/>
      <c r="BB73" s="348"/>
      <c r="BC73" s="381"/>
      <c r="BD73" s="348"/>
      <c r="BE73" s="381"/>
      <c r="BF73" s="348"/>
      <c r="BG73" s="381"/>
      <c r="BH73" s="348"/>
      <c r="BI73" s="381"/>
      <c r="BJ73" s="348"/>
      <c r="BK73" s="381"/>
      <c r="BL73" s="348"/>
      <c r="BM73" s="381"/>
      <c r="BN73" s="348"/>
      <c r="BO73" s="381"/>
      <c r="BP73" s="348"/>
      <c r="BQ73" s="381"/>
      <c r="BR73" s="348"/>
      <c r="BS73" s="381"/>
      <c r="BT73" s="348"/>
      <c r="BU73" s="381"/>
      <c r="BV73" s="348"/>
      <c r="BW73" s="381"/>
      <c r="BX73" s="348"/>
      <c r="BY73" s="381"/>
      <c r="BZ73" s="348"/>
      <c r="CA73" s="381"/>
      <c r="CB73" s="348"/>
      <c r="CC73" s="381"/>
      <c r="CD73" s="348"/>
      <c r="CE73" s="381"/>
      <c r="CF73" s="348"/>
      <c r="CG73" s="381"/>
      <c r="CH73" s="348"/>
      <c r="CI73" s="381"/>
      <c r="CJ73" s="348"/>
      <c r="CK73" s="381"/>
      <c r="CL73" s="348"/>
      <c r="CM73" s="381"/>
      <c r="CN73" s="348"/>
      <c r="CO73" s="381"/>
      <c r="CP73" s="348"/>
      <c r="CQ73" s="381"/>
      <c r="CR73" s="348"/>
      <c r="CS73" s="381"/>
      <c r="CT73" s="323"/>
      <c r="CU73" s="348"/>
      <c r="CV73" s="219"/>
      <c r="CW73" s="348"/>
      <c r="CX73" s="381"/>
      <c r="CY73" s="348"/>
      <c r="CZ73" s="381"/>
      <c r="DA73" s="348"/>
      <c r="DB73" s="219"/>
      <c r="DC73" s="348"/>
      <c r="DD73" s="381"/>
      <c r="DE73" s="348"/>
      <c r="DF73" s="381"/>
      <c r="DG73" s="348"/>
      <c r="DH73" s="381"/>
      <c r="DI73" s="348"/>
      <c r="DJ73" s="381"/>
      <c r="DK73" s="348"/>
      <c r="DL73" s="381"/>
      <c r="DM73" s="348"/>
      <c r="DN73" s="381"/>
      <c r="DO73" s="348"/>
      <c r="DP73" s="381"/>
      <c r="DQ73" s="348"/>
      <c r="DR73" s="381"/>
      <c r="DS73" s="348"/>
      <c r="DT73" s="381"/>
      <c r="DU73" s="348"/>
      <c r="DV73" s="381"/>
      <c r="DW73" s="348"/>
      <c r="DX73" s="381"/>
      <c r="DY73" s="348"/>
      <c r="DZ73" s="381"/>
      <c r="EA73" s="348"/>
      <c r="EB73" s="381"/>
      <c r="EC73" s="348"/>
      <c r="ED73" s="381"/>
      <c r="EE73" s="348"/>
      <c r="EF73" s="381"/>
      <c r="EG73" s="348"/>
      <c r="EH73" s="381"/>
      <c r="EI73" s="348"/>
      <c r="EJ73" s="381"/>
      <c r="EK73" s="348"/>
      <c r="EL73" s="381"/>
      <c r="EM73" s="348"/>
      <c r="EN73" s="381"/>
      <c r="EO73" s="348"/>
      <c r="EP73" s="381"/>
      <c r="EQ73" s="348"/>
      <c r="ER73" s="381"/>
      <c r="ES73" s="348"/>
      <c r="ET73" s="381"/>
      <c r="EU73" s="348"/>
      <c r="EV73" s="381"/>
      <c r="EW73" s="348"/>
      <c r="EX73" s="381"/>
      <c r="EY73" s="348"/>
      <c r="EZ73" s="381"/>
      <c r="FA73" s="348"/>
      <c r="FB73" s="381"/>
      <c r="FC73" s="348"/>
      <c r="FD73" s="381"/>
      <c r="FE73" s="348"/>
      <c r="FF73" s="381"/>
      <c r="FG73" s="348"/>
      <c r="FH73" s="381"/>
      <c r="FI73" s="348"/>
      <c r="FJ73" s="381"/>
      <c r="FK73" s="348"/>
      <c r="FL73" s="381"/>
      <c r="FM73" s="348"/>
      <c r="FN73" s="381"/>
      <c r="FO73" s="348"/>
      <c r="FP73" s="381"/>
      <c r="FQ73" s="219"/>
      <c r="FR73" s="348"/>
      <c r="FS73" s="381"/>
      <c r="FT73" s="348"/>
      <c r="FU73" s="381"/>
      <c r="FV73" s="348"/>
      <c r="FW73" s="219"/>
      <c r="FX73" s="348"/>
      <c r="FY73" s="381"/>
      <c r="FZ73" s="348"/>
      <c r="GA73" s="381"/>
      <c r="GB73" s="348"/>
      <c r="GC73" s="381"/>
      <c r="GD73" s="348"/>
      <c r="GE73" s="381"/>
      <c r="GF73" s="348"/>
      <c r="GG73" s="381"/>
      <c r="GH73" s="348"/>
      <c r="GI73" s="219"/>
      <c r="GJ73" s="348"/>
      <c r="GK73" s="381"/>
      <c r="GL73" s="348"/>
      <c r="GM73" s="381"/>
      <c r="GN73" s="348"/>
      <c r="GO73" s="381"/>
      <c r="GP73" s="348"/>
      <c r="GQ73" s="381"/>
      <c r="GR73" s="348"/>
      <c r="GS73" s="381"/>
      <c r="GT73" s="348"/>
      <c r="GU73" s="381"/>
      <c r="GV73" s="348"/>
      <c r="GW73" s="381"/>
      <c r="GX73" s="348"/>
      <c r="GY73" s="381"/>
      <c r="GZ73" s="348"/>
      <c r="HA73" s="381"/>
      <c r="HB73" s="348"/>
      <c r="HC73" s="381"/>
      <c r="HD73" s="348"/>
      <c r="HE73" s="381"/>
      <c r="HF73" s="348"/>
      <c r="HG73" s="381"/>
      <c r="HH73" s="348"/>
      <c r="HI73" s="381"/>
      <c r="HJ73" s="348"/>
      <c r="HK73" s="381"/>
      <c r="HL73" s="348"/>
      <c r="HM73" s="381"/>
      <c r="HN73" s="348"/>
      <c r="HO73" s="381"/>
      <c r="HP73" s="348"/>
      <c r="HQ73" s="381"/>
      <c r="HR73" s="348"/>
      <c r="HS73" s="381"/>
      <c r="HT73" s="348"/>
      <c r="HU73" s="381"/>
      <c r="HV73" s="348"/>
      <c r="HW73" s="381"/>
      <c r="HX73" s="348"/>
      <c r="HY73" s="381"/>
      <c r="HZ73" s="348"/>
      <c r="IA73" s="381"/>
      <c r="IB73" s="348"/>
      <c r="IC73" s="381"/>
      <c r="ID73" s="348"/>
      <c r="IE73" s="381"/>
      <c r="IF73" s="348"/>
      <c r="IG73" s="381"/>
      <c r="IH73" s="348"/>
      <c r="II73" s="381"/>
      <c r="IJ73" s="348"/>
      <c r="IK73" s="381"/>
      <c r="IL73" s="348"/>
      <c r="IM73" s="381"/>
      <c r="IN73" s="348"/>
      <c r="IO73" s="381"/>
      <c r="IP73" s="348"/>
      <c r="IQ73" s="381"/>
      <c r="IR73" s="348"/>
      <c r="IS73" s="381"/>
      <c r="IT73" s="348"/>
      <c r="IU73" s="381"/>
      <c r="IV73" s="348"/>
      <c r="IW73" s="381"/>
      <c r="IX73" s="348"/>
      <c r="IY73" s="381"/>
      <c r="IZ73" s="219"/>
      <c r="JA73" s="348"/>
      <c r="JB73" s="381"/>
      <c r="JC73" s="348"/>
      <c r="JD73" s="381"/>
      <c r="JE73" s="219"/>
      <c r="JF73" s="348"/>
      <c r="JG73" s="381"/>
      <c r="JH73" s="348"/>
      <c r="JI73" s="381"/>
      <c r="JJ73" s="348"/>
      <c r="JK73" s="219"/>
      <c r="JL73" s="348"/>
      <c r="JM73" s="381"/>
      <c r="JN73" s="348"/>
      <c r="JO73" s="381"/>
      <c r="JP73" s="348"/>
      <c r="JQ73" s="381"/>
      <c r="JR73" s="348"/>
      <c r="JS73" s="219"/>
      <c r="JT73" s="348"/>
      <c r="JU73" s="381"/>
      <c r="JV73" s="348"/>
      <c r="JW73" s="381"/>
      <c r="JX73" s="348"/>
      <c r="JY73" s="381"/>
      <c r="JZ73" s="348"/>
      <c r="KA73" s="381"/>
      <c r="KB73" s="348"/>
      <c r="KC73" s="381"/>
      <c r="KD73" s="348"/>
      <c r="KE73" s="381"/>
      <c r="KF73" s="348"/>
      <c r="KG73" s="381"/>
      <c r="KH73" s="348"/>
      <c r="KI73" s="381"/>
      <c r="KJ73" s="348"/>
      <c r="KK73" s="381"/>
      <c r="KL73" s="348"/>
      <c r="KM73" s="381"/>
      <c r="KN73" s="348"/>
      <c r="KO73" s="381"/>
      <c r="KP73" s="348"/>
      <c r="KQ73" s="381"/>
      <c r="KR73" s="348"/>
      <c r="KS73" s="381"/>
      <c r="KT73" s="348"/>
      <c r="KU73" s="381"/>
      <c r="KV73" s="348"/>
      <c r="KW73" s="381"/>
      <c r="KX73" s="348"/>
      <c r="KY73" s="381"/>
      <c r="KZ73" s="348"/>
      <c r="LA73" s="381"/>
      <c r="LB73" s="348"/>
      <c r="LC73" s="381"/>
      <c r="LD73" s="348"/>
      <c r="LE73" s="381"/>
      <c r="LF73" s="348"/>
      <c r="LG73" s="381"/>
      <c r="LH73" s="348"/>
      <c r="LI73" s="381"/>
      <c r="LJ73" s="348"/>
      <c r="LK73" s="381"/>
      <c r="LL73" s="348"/>
      <c r="LM73" s="381"/>
      <c r="LN73" s="348"/>
      <c r="LO73" s="381"/>
      <c r="LP73" s="348"/>
      <c r="LQ73" s="381"/>
      <c r="LR73" s="348"/>
      <c r="LS73" s="381"/>
      <c r="LT73" s="348"/>
      <c r="LU73" s="381"/>
      <c r="LV73" s="348"/>
      <c r="LW73" s="381"/>
      <c r="LX73" s="348"/>
      <c r="LY73" s="381"/>
      <c r="LZ73" s="348"/>
      <c r="MA73" s="381"/>
      <c r="MB73" s="348"/>
      <c r="MC73" s="381"/>
      <c r="MD73" s="348"/>
      <c r="ME73" s="381"/>
      <c r="MF73" s="348"/>
      <c r="MG73" s="381"/>
      <c r="MH73" s="219"/>
      <c r="MI73" s="348"/>
      <c r="MJ73" s="381"/>
      <c r="MK73" s="348"/>
      <c r="ML73" s="381"/>
      <c r="MM73" s="348"/>
      <c r="MN73" s="219"/>
      <c r="MO73" s="348"/>
      <c r="MP73" s="381"/>
      <c r="MQ73" s="348"/>
      <c r="MR73" s="381"/>
      <c r="MS73" s="348"/>
      <c r="MT73" s="381"/>
      <c r="MU73" s="348"/>
      <c r="MV73" s="219"/>
      <c r="MW73" s="348"/>
      <c r="MX73" s="381"/>
      <c r="MY73" s="348"/>
      <c r="MZ73" s="381"/>
      <c r="NA73" s="348"/>
      <c r="NB73" s="381"/>
      <c r="NC73" s="348"/>
      <c r="ND73" s="381"/>
      <c r="NE73" s="348"/>
      <c r="NF73" s="381"/>
      <c r="NG73" s="348"/>
      <c r="NH73" s="381"/>
      <c r="NI73" s="348"/>
      <c r="NJ73" s="381"/>
      <c r="NK73" s="348"/>
      <c r="NL73" s="381"/>
      <c r="NM73" s="348"/>
      <c r="NN73" s="381"/>
      <c r="NO73" s="348"/>
      <c r="NP73" s="381"/>
      <c r="NQ73" s="348"/>
      <c r="NR73" s="381"/>
      <c r="NS73" s="348"/>
      <c r="NT73" s="381"/>
      <c r="NU73" s="348"/>
      <c r="NV73" s="381"/>
      <c r="NW73" s="348"/>
      <c r="NX73" s="381"/>
      <c r="NY73" s="348"/>
      <c r="NZ73" s="381"/>
      <c r="OA73" s="348"/>
      <c r="OB73" s="381"/>
      <c r="OC73" s="348"/>
      <c r="OD73" s="381"/>
      <c r="OE73" s="348"/>
      <c r="OF73" s="381"/>
      <c r="OG73" s="348"/>
      <c r="OH73" s="381"/>
      <c r="OI73" s="348"/>
      <c r="OJ73" s="381"/>
      <c r="OK73" s="348"/>
      <c r="OL73" s="381"/>
      <c r="OM73" s="348"/>
      <c r="ON73" s="381"/>
      <c r="OO73" s="348"/>
      <c r="OP73" s="381"/>
      <c r="OQ73" s="348"/>
      <c r="OR73" s="381"/>
      <c r="OS73" s="348"/>
      <c r="OT73" s="381"/>
      <c r="OU73" s="348"/>
      <c r="OV73" s="381"/>
      <c r="OW73" s="348"/>
      <c r="OX73" s="381"/>
      <c r="OY73" s="348"/>
      <c r="OZ73" s="381"/>
      <c r="PA73" s="348"/>
      <c r="PB73" s="381"/>
      <c r="PC73" s="348"/>
      <c r="PD73" s="381"/>
      <c r="PE73" s="348"/>
      <c r="PF73" s="381"/>
      <c r="PG73" s="348"/>
      <c r="PH73" s="381"/>
      <c r="PI73" s="348"/>
      <c r="PJ73" s="381"/>
      <c r="PK73" s="348"/>
      <c r="PL73" s="381"/>
      <c r="PM73" s="348"/>
      <c r="PN73" s="381"/>
      <c r="PO73" s="348"/>
      <c r="PP73" s="381"/>
      <c r="PQ73" s="145"/>
      <c r="PR73" s="348"/>
      <c r="PS73" s="381"/>
      <c r="PT73" s="348"/>
      <c r="PU73" s="381"/>
      <c r="PV73" s="348"/>
      <c r="PW73" s="382">
        <f>PW74/PW69</f>
        <v>0.1038961038961039</v>
      </c>
      <c r="PX73" s="348"/>
      <c r="PY73" s="381"/>
      <c r="PZ73" s="348"/>
      <c r="QA73" s="381"/>
      <c r="QB73" s="348"/>
      <c r="QC73" s="381"/>
      <c r="QD73" s="145"/>
      <c r="QE73" s="145"/>
      <c r="QF73" s="348"/>
      <c r="QG73" s="381"/>
      <c r="QH73" s="348"/>
      <c r="QI73" s="381"/>
      <c r="QJ73" s="348"/>
      <c r="QK73" s="381"/>
      <c r="QL73" s="348"/>
      <c r="QM73" s="381"/>
      <c r="QN73" s="348"/>
      <c r="QO73" s="381"/>
      <c r="QP73" s="348"/>
      <c r="QQ73" s="381"/>
    </row>
    <row r="74" spans="1:459" x14ac:dyDescent="0.45">
      <c r="A74" s="871"/>
      <c r="B74" s="383" t="s">
        <v>377</v>
      </c>
      <c r="C74" s="384"/>
      <c r="D74" s="385"/>
      <c r="E74" s="386"/>
      <c r="F74" s="387"/>
      <c r="G74" s="388"/>
      <c r="H74" s="387"/>
      <c r="I74" s="388"/>
      <c r="J74" s="387"/>
      <c r="K74" s="388"/>
      <c r="L74" s="387"/>
      <c r="M74" s="388"/>
      <c r="N74" s="387"/>
      <c r="O74" s="388"/>
      <c r="P74" s="387"/>
      <c r="Q74" s="386"/>
      <c r="R74" s="387"/>
      <c r="S74" s="388"/>
      <c r="T74" s="387"/>
      <c r="U74" s="388"/>
      <c r="V74" s="387"/>
      <c r="W74" s="388"/>
      <c r="X74" s="387"/>
      <c r="Y74" s="388"/>
      <c r="Z74" s="387"/>
      <c r="AA74" s="388"/>
      <c r="AB74" s="387"/>
      <c r="AC74" s="386"/>
      <c r="AD74" s="387"/>
      <c r="AE74" s="388"/>
      <c r="AF74" s="387"/>
      <c r="AG74" s="388"/>
      <c r="AH74" s="387"/>
      <c r="AI74" s="388"/>
      <c r="AJ74" s="387"/>
      <c r="AK74" s="388"/>
      <c r="AL74" s="387"/>
      <c r="AM74" s="388"/>
      <c r="AN74" s="387"/>
      <c r="AO74" s="388"/>
      <c r="AP74" s="387"/>
      <c r="AQ74" s="388"/>
      <c r="AR74" s="387"/>
      <c r="AS74" s="388"/>
      <c r="AT74" s="387"/>
      <c r="AU74" s="388"/>
      <c r="AV74" s="387"/>
      <c r="AW74" s="388"/>
      <c r="AX74" s="387"/>
      <c r="AY74" s="388"/>
      <c r="AZ74" s="387"/>
      <c r="BA74" s="388"/>
      <c r="BB74" s="387"/>
      <c r="BC74" s="388"/>
      <c r="BD74" s="387"/>
      <c r="BE74" s="388"/>
      <c r="BF74" s="387"/>
      <c r="BG74" s="388"/>
      <c r="BH74" s="387"/>
      <c r="BI74" s="388"/>
      <c r="BJ74" s="387"/>
      <c r="BK74" s="388"/>
      <c r="BL74" s="387"/>
      <c r="BM74" s="388"/>
      <c r="BN74" s="387"/>
      <c r="BO74" s="388"/>
      <c r="BP74" s="387"/>
      <c r="BQ74" s="388"/>
      <c r="BR74" s="387"/>
      <c r="BS74" s="388"/>
      <c r="BT74" s="387"/>
      <c r="BU74" s="388"/>
      <c r="BV74" s="387"/>
      <c r="BW74" s="388"/>
      <c r="BX74" s="387"/>
      <c r="BY74" s="388"/>
      <c r="BZ74" s="387"/>
      <c r="CA74" s="388"/>
      <c r="CB74" s="387"/>
      <c r="CC74" s="388"/>
      <c r="CD74" s="387"/>
      <c r="CE74" s="388"/>
      <c r="CF74" s="387"/>
      <c r="CG74" s="388"/>
      <c r="CH74" s="387"/>
      <c r="CI74" s="388"/>
      <c r="CJ74" s="387"/>
      <c r="CK74" s="388"/>
      <c r="CL74" s="387"/>
      <c r="CM74" s="388"/>
      <c r="CN74" s="387"/>
      <c r="CO74" s="388"/>
      <c r="CP74" s="387"/>
      <c r="CQ74" s="388"/>
      <c r="CR74" s="387"/>
      <c r="CS74" s="388"/>
      <c r="CT74" s="389"/>
      <c r="CU74" s="387"/>
      <c r="CV74" s="386"/>
      <c r="CW74" s="387"/>
      <c r="CX74" s="388"/>
      <c r="CY74" s="387"/>
      <c r="CZ74" s="388"/>
      <c r="DA74" s="387"/>
      <c r="DB74" s="386"/>
      <c r="DC74" s="387"/>
      <c r="DD74" s="388"/>
      <c r="DE74" s="387"/>
      <c r="DF74" s="388"/>
      <c r="DG74" s="387"/>
      <c r="DH74" s="388"/>
      <c r="DI74" s="387"/>
      <c r="DJ74" s="388"/>
      <c r="DK74" s="387"/>
      <c r="DL74" s="388"/>
      <c r="DM74" s="387"/>
      <c r="DN74" s="388"/>
      <c r="DO74" s="387"/>
      <c r="DP74" s="388"/>
      <c r="DQ74" s="387"/>
      <c r="DR74" s="388"/>
      <c r="DS74" s="387"/>
      <c r="DT74" s="388"/>
      <c r="DU74" s="387"/>
      <c r="DV74" s="388"/>
      <c r="DW74" s="387"/>
      <c r="DX74" s="388"/>
      <c r="DY74" s="387"/>
      <c r="DZ74" s="388"/>
      <c r="EA74" s="387"/>
      <c r="EB74" s="388"/>
      <c r="EC74" s="387"/>
      <c r="ED74" s="388"/>
      <c r="EE74" s="387"/>
      <c r="EF74" s="388"/>
      <c r="EG74" s="387"/>
      <c r="EH74" s="388"/>
      <c r="EI74" s="387"/>
      <c r="EJ74" s="388"/>
      <c r="EK74" s="387"/>
      <c r="EL74" s="388"/>
      <c r="EM74" s="387"/>
      <c r="EN74" s="388"/>
      <c r="EO74" s="387"/>
      <c r="EP74" s="388"/>
      <c r="EQ74" s="387"/>
      <c r="ER74" s="388"/>
      <c r="ES74" s="387"/>
      <c r="ET74" s="388"/>
      <c r="EU74" s="387"/>
      <c r="EV74" s="388"/>
      <c r="EW74" s="387"/>
      <c r="EX74" s="388"/>
      <c r="EY74" s="387"/>
      <c r="EZ74" s="388"/>
      <c r="FA74" s="387"/>
      <c r="FB74" s="388"/>
      <c r="FC74" s="387"/>
      <c r="FD74" s="388"/>
      <c r="FE74" s="387"/>
      <c r="FF74" s="388"/>
      <c r="FG74" s="387"/>
      <c r="FH74" s="388"/>
      <c r="FI74" s="387"/>
      <c r="FJ74" s="388"/>
      <c r="FK74" s="387"/>
      <c r="FL74" s="388"/>
      <c r="FM74" s="387"/>
      <c r="FN74" s="388"/>
      <c r="FO74" s="387"/>
      <c r="FP74" s="388"/>
      <c r="FQ74" s="386"/>
      <c r="FR74" s="387"/>
      <c r="FS74" s="388"/>
      <c r="FT74" s="387"/>
      <c r="FU74" s="388"/>
      <c r="FV74" s="387"/>
      <c r="FW74" s="386"/>
      <c r="FX74" s="387"/>
      <c r="FY74" s="388"/>
      <c r="FZ74" s="387"/>
      <c r="GA74" s="388"/>
      <c r="GB74" s="387"/>
      <c r="GC74" s="388"/>
      <c r="GD74" s="387"/>
      <c r="GE74" s="388"/>
      <c r="GF74" s="387"/>
      <c r="GG74" s="388"/>
      <c r="GH74" s="387"/>
      <c r="GI74" s="386"/>
      <c r="GJ74" s="387"/>
      <c r="GK74" s="388"/>
      <c r="GL74" s="387"/>
      <c r="GM74" s="388"/>
      <c r="GN74" s="387"/>
      <c r="GO74" s="388"/>
      <c r="GP74" s="387"/>
      <c r="GQ74" s="388"/>
      <c r="GR74" s="387"/>
      <c r="GS74" s="388"/>
      <c r="GT74" s="387"/>
      <c r="GU74" s="388"/>
      <c r="GV74" s="387"/>
      <c r="GW74" s="388"/>
      <c r="GX74" s="387"/>
      <c r="GY74" s="388"/>
      <c r="GZ74" s="387"/>
      <c r="HA74" s="388"/>
      <c r="HB74" s="387"/>
      <c r="HC74" s="388"/>
      <c r="HD74" s="387"/>
      <c r="HE74" s="388"/>
      <c r="HF74" s="387"/>
      <c r="HG74" s="388"/>
      <c r="HH74" s="387"/>
      <c r="HI74" s="388"/>
      <c r="HJ74" s="387"/>
      <c r="HK74" s="388"/>
      <c r="HL74" s="387"/>
      <c r="HM74" s="388"/>
      <c r="HN74" s="387"/>
      <c r="HO74" s="388"/>
      <c r="HP74" s="387"/>
      <c r="HQ74" s="388"/>
      <c r="HR74" s="387"/>
      <c r="HS74" s="388"/>
      <c r="HT74" s="387"/>
      <c r="HU74" s="388"/>
      <c r="HV74" s="387"/>
      <c r="HW74" s="388"/>
      <c r="HX74" s="387"/>
      <c r="HY74" s="388"/>
      <c r="HZ74" s="387"/>
      <c r="IA74" s="388"/>
      <c r="IB74" s="387"/>
      <c r="IC74" s="388"/>
      <c r="ID74" s="387"/>
      <c r="IE74" s="388"/>
      <c r="IF74" s="387"/>
      <c r="IG74" s="388"/>
      <c r="IH74" s="387"/>
      <c r="II74" s="388"/>
      <c r="IJ74" s="387"/>
      <c r="IK74" s="388"/>
      <c r="IL74" s="387"/>
      <c r="IM74" s="388"/>
      <c r="IN74" s="387"/>
      <c r="IO74" s="388"/>
      <c r="IP74" s="387"/>
      <c r="IQ74" s="388"/>
      <c r="IR74" s="387"/>
      <c r="IS74" s="388"/>
      <c r="IT74" s="387"/>
      <c r="IU74" s="388"/>
      <c r="IV74" s="387"/>
      <c r="IW74" s="388"/>
      <c r="IX74" s="387"/>
      <c r="IY74" s="388"/>
      <c r="IZ74" s="386"/>
      <c r="JA74" s="387"/>
      <c r="JB74" s="388"/>
      <c r="JC74" s="387"/>
      <c r="JD74" s="388"/>
      <c r="JE74" s="386"/>
      <c r="JF74" s="387"/>
      <c r="JG74" s="388"/>
      <c r="JH74" s="387"/>
      <c r="JI74" s="388"/>
      <c r="JJ74" s="387"/>
      <c r="JK74" s="386"/>
      <c r="JL74" s="387"/>
      <c r="JM74" s="388"/>
      <c r="JN74" s="387"/>
      <c r="JO74" s="388"/>
      <c r="JP74" s="387"/>
      <c r="JQ74" s="388"/>
      <c r="JR74" s="387"/>
      <c r="JS74" s="386"/>
      <c r="JT74" s="387"/>
      <c r="JU74" s="388"/>
      <c r="JV74" s="387"/>
      <c r="JW74" s="388"/>
      <c r="JX74" s="387"/>
      <c r="JY74" s="388"/>
      <c r="JZ74" s="387"/>
      <c r="KA74" s="388"/>
      <c r="KB74" s="387"/>
      <c r="KC74" s="388"/>
      <c r="KD74" s="387"/>
      <c r="KE74" s="388"/>
      <c r="KF74" s="387"/>
      <c r="KG74" s="388"/>
      <c r="KH74" s="387"/>
      <c r="KI74" s="388"/>
      <c r="KJ74" s="387"/>
      <c r="KK74" s="388"/>
      <c r="KL74" s="387"/>
      <c r="KM74" s="388"/>
      <c r="KN74" s="387"/>
      <c r="KO74" s="388"/>
      <c r="KP74" s="387"/>
      <c r="KQ74" s="388"/>
      <c r="KR74" s="387"/>
      <c r="KS74" s="388"/>
      <c r="KT74" s="387"/>
      <c r="KU74" s="388"/>
      <c r="KV74" s="387"/>
      <c r="KW74" s="388"/>
      <c r="KX74" s="387"/>
      <c r="KY74" s="388"/>
      <c r="KZ74" s="387"/>
      <c r="LA74" s="388"/>
      <c r="LB74" s="387"/>
      <c r="LC74" s="388"/>
      <c r="LD74" s="387"/>
      <c r="LE74" s="388"/>
      <c r="LF74" s="387"/>
      <c r="LG74" s="388"/>
      <c r="LH74" s="387"/>
      <c r="LI74" s="388"/>
      <c r="LJ74" s="387"/>
      <c r="LK74" s="388"/>
      <c r="LL74" s="387"/>
      <c r="LM74" s="388"/>
      <c r="LN74" s="387"/>
      <c r="LO74" s="388"/>
      <c r="LP74" s="387"/>
      <c r="LQ74" s="388"/>
      <c r="LR74" s="387"/>
      <c r="LS74" s="388"/>
      <c r="LT74" s="387"/>
      <c r="LU74" s="388"/>
      <c r="LV74" s="387"/>
      <c r="LW74" s="388"/>
      <c r="LX74" s="387"/>
      <c r="LY74" s="388"/>
      <c r="LZ74" s="387"/>
      <c r="MA74" s="388"/>
      <c r="MB74" s="387"/>
      <c r="MC74" s="388"/>
      <c r="MD74" s="387"/>
      <c r="ME74" s="388"/>
      <c r="MF74" s="387"/>
      <c r="MG74" s="388"/>
      <c r="MH74" s="386"/>
      <c r="MI74" s="387"/>
      <c r="MJ74" s="388"/>
      <c r="MK74" s="387"/>
      <c r="ML74" s="388"/>
      <c r="MM74" s="387"/>
      <c r="MN74" s="386"/>
      <c r="MO74" s="387"/>
      <c r="MP74" s="388"/>
      <c r="MQ74" s="387"/>
      <c r="MR74" s="388"/>
      <c r="MS74" s="387"/>
      <c r="MT74" s="388"/>
      <c r="MU74" s="387"/>
      <c r="MV74" s="386"/>
      <c r="MW74" s="387"/>
      <c r="MX74" s="388"/>
      <c r="MY74" s="387"/>
      <c r="MZ74" s="388"/>
      <c r="NA74" s="387"/>
      <c r="NB74" s="388"/>
      <c r="NC74" s="387"/>
      <c r="ND74" s="388"/>
      <c r="NE74" s="387"/>
      <c r="NF74" s="388"/>
      <c r="NG74" s="387"/>
      <c r="NH74" s="388"/>
      <c r="NI74" s="387"/>
      <c r="NJ74" s="388"/>
      <c r="NK74" s="387"/>
      <c r="NL74" s="388"/>
      <c r="NM74" s="387"/>
      <c r="NN74" s="388"/>
      <c r="NO74" s="387"/>
      <c r="NP74" s="388"/>
      <c r="NQ74" s="387"/>
      <c r="NR74" s="388"/>
      <c r="NS74" s="387"/>
      <c r="NT74" s="388"/>
      <c r="NU74" s="387"/>
      <c r="NV74" s="388"/>
      <c r="NW74" s="387"/>
      <c r="NX74" s="388"/>
      <c r="NY74" s="387"/>
      <c r="NZ74" s="388"/>
      <c r="OA74" s="387"/>
      <c r="OB74" s="388"/>
      <c r="OC74" s="387"/>
      <c r="OD74" s="388"/>
      <c r="OE74" s="387"/>
      <c r="OF74" s="388"/>
      <c r="OG74" s="387"/>
      <c r="OH74" s="388"/>
      <c r="OI74" s="387"/>
      <c r="OJ74" s="388"/>
      <c r="OK74" s="387"/>
      <c r="OL74" s="388"/>
      <c r="OM74" s="387"/>
      <c r="ON74" s="388"/>
      <c r="OO74" s="387"/>
      <c r="OP74" s="388"/>
      <c r="OQ74" s="387"/>
      <c r="OR74" s="388"/>
      <c r="OS74" s="387"/>
      <c r="OT74" s="388"/>
      <c r="OU74" s="387"/>
      <c r="OV74" s="388"/>
      <c r="OW74" s="387"/>
      <c r="OX74" s="388"/>
      <c r="OY74" s="387"/>
      <c r="OZ74" s="388"/>
      <c r="PA74" s="387"/>
      <c r="PB74" s="388"/>
      <c r="PC74" s="387"/>
      <c r="PD74" s="388"/>
      <c r="PE74" s="387"/>
      <c r="PF74" s="388"/>
      <c r="PG74" s="387"/>
      <c r="PH74" s="388"/>
      <c r="PI74" s="387"/>
      <c r="PJ74" s="388"/>
      <c r="PK74" s="387"/>
      <c r="PL74" s="388"/>
      <c r="PM74" s="387"/>
      <c r="PN74" s="388"/>
      <c r="PO74" s="387"/>
      <c r="PP74" s="388"/>
      <c r="PQ74" s="390"/>
      <c r="PR74" s="391"/>
      <c r="PS74" s="392">
        <v>0.8</v>
      </c>
      <c r="PT74" s="391"/>
      <c r="PU74" s="392">
        <v>0.8</v>
      </c>
      <c r="PV74" s="391"/>
      <c r="PW74" s="392">
        <v>0.8</v>
      </c>
      <c r="PX74" s="391"/>
      <c r="PY74" s="392">
        <v>0.8</v>
      </c>
      <c r="PZ74" s="391"/>
      <c r="QA74" s="392">
        <v>0.8</v>
      </c>
      <c r="QB74" s="391"/>
      <c r="QC74" s="392">
        <v>0.8</v>
      </c>
      <c r="QD74" s="390"/>
      <c r="QE74" s="390"/>
      <c r="QF74" s="391"/>
      <c r="QG74" s="392"/>
      <c r="QH74" s="391"/>
      <c r="QI74" s="392"/>
      <c r="QJ74" s="391"/>
      <c r="QK74" s="392"/>
      <c r="QL74" s="391"/>
      <c r="QM74" s="392"/>
      <c r="QN74" s="391"/>
      <c r="QO74" s="392"/>
      <c r="QP74" s="391"/>
      <c r="QQ74" s="392"/>
    </row>
    <row r="75" spans="1:459" x14ac:dyDescent="0.45">
      <c r="A75" s="871"/>
      <c r="B75" s="383" t="s">
        <v>378</v>
      </c>
      <c r="C75" s="384"/>
      <c r="D75" s="385"/>
      <c r="E75" s="386"/>
      <c r="F75" s="387"/>
      <c r="G75" s="388"/>
      <c r="H75" s="387"/>
      <c r="I75" s="388"/>
      <c r="J75" s="387"/>
      <c r="K75" s="388"/>
      <c r="L75" s="387"/>
      <c r="M75" s="388"/>
      <c r="N75" s="387"/>
      <c r="O75" s="388"/>
      <c r="P75" s="387"/>
      <c r="Q75" s="386"/>
      <c r="R75" s="387"/>
      <c r="S75" s="388"/>
      <c r="T75" s="387"/>
      <c r="U75" s="388"/>
      <c r="V75" s="387"/>
      <c r="W75" s="388"/>
      <c r="X75" s="387"/>
      <c r="Y75" s="388"/>
      <c r="Z75" s="387"/>
      <c r="AA75" s="388"/>
      <c r="AB75" s="387"/>
      <c r="AC75" s="386"/>
      <c r="AD75" s="387"/>
      <c r="AE75" s="388"/>
      <c r="AF75" s="387"/>
      <c r="AG75" s="388"/>
      <c r="AH75" s="387"/>
      <c r="AI75" s="388"/>
      <c r="AJ75" s="387"/>
      <c r="AK75" s="388"/>
      <c r="AL75" s="387"/>
      <c r="AM75" s="388"/>
      <c r="AN75" s="387"/>
      <c r="AO75" s="388"/>
      <c r="AP75" s="387"/>
      <c r="AQ75" s="388"/>
      <c r="AR75" s="387"/>
      <c r="AS75" s="388"/>
      <c r="AT75" s="387"/>
      <c r="AU75" s="388"/>
      <c r="AV75" s="387"/>
      <c r="AW75" s="388"/>
      <c r="AX75" s="387"/>
      <c r="AY75" s="388"/>
      <c r="AZ75" s="387"/>
      <c r="BA75" s="388"/>
      <c r="BB75" s="387"/>
      <c r="BC75" s="388"/>
      <c r="BD75" s="387"/>
      <c r="BE75" s="388"/>
      <c r="BF75" s="387"/>
      <c r="BG75" s="388"/>
      <c r="BH75" s="387"/>
      <c r="BI75" s="388"/>
      <c r="BJ75" s="387"/>
      <c r="BK75" s="388"/>
      <c r="BL75" s="387"/>
      <c r="BM75" s="388"/>
      <c r="BN75" s="387"/>
      <c r="BO75" s="388"/>
      <c r="BP75" s="387"/>
      <c r="BQ75" s="388"/>
      <c r="BR75" s="387"/>
      <c r="BS75" s="388"/>
      <c r="BT75" s="387"/>
      <c r="BU75" s="388"/>
      <c r="BV75" s="387"/>
      <c r="BW75" s="388"/>
      <c r="BX75" s="387"/>
      <c r="BY75" s="388"/>
      <c r="BZ75" s="387"/>
      <c r="CA75" s="388"/>
      <c r="CB75" s="387"/>
      <c r="CC75" s="388"/>
      <c r="CD75" s="387"/>
      <c r="CE75" s="388"/>
      <c r="CF75" s="387"/>
      <c r="CG75" s="388"/>
      <c r="CH75" s="387"/>
      <c r="CI75" s="388"/>
      <c r="CJ75" s="387"/>
      <c r="CK75" s="388"/>
      <c r="CL75" s="387"/>
      <c r="CM75" s="388"/>
      <c r="CN75" s="387"/>
      <c r="CO75" s="388"/>
      <c r="CP75" s="387"/>
      <c r="CQ75" s="388"/>
      <c r="CR75" s="387"/>
      <c r="CS75" s="388"/>
      <c r="CT75" s="389"/>
      <c r="CU75" s="387"/>
      <c r="CV75" s="386"/>
      <c r="CW75" s="387"/>
      <c r="CX75" s="388"/>
      <c r="CY75" s="387"/>
      <c r="CZ75" s="388"/>
      <c r="DA75" s="387"/>
      <c r="DB75" s="386"/>
      <c r="DC75" s="387"/>
      <c r="DD75" s="388"/>
      <c r="DE75" s="387"/>
      <c r="DF75" s="388"/>
      <c r="DG75" s="387"/>
      <c r="DH75" s="388"/>
      <c r="DI75" s="387"/>
      <c r="DJ75" s="388"/>
      <c r="DK75" s="387"/>
      <c r="DL75" s="388"/>
      <c r="DM75" s="387"/>
      <c r="DN75" s="388"/>
      <c r="DO75" s="387"/>
      <c r="DP75" s="388"/>
      <c r="DQ75" s="387"/>
      <c r="DR75" s="388"/>
      <c r="DS75" s="387"/>
      <c r="DT75" s="388"/>
      <c r="DU75" s="387"/>
      <c r="DV75" s="388"/>
      <c r="DW75" s="387"/>
      <c r="DX75" s="388"/>
      <c r="DY75" s="387"/>
      <c r="DZ75" s="388"/>
      <c r="EA75" s="387"/>
      <c r="EB75" s="388"/>
      <c r="EC75" s="387"/>
      <c r="ED75" s="388"/>
      <c r="EE75" s="387"/>
      <c r="EF75" s="388"/>
      <c r="EG75" s="387"/>
      <c r="EH75" s="388"/>
      <c r="EI75" s="387"/>
      <c r="EJ75" s="388"/>
      <c r="EK75" s="387"/>
      <c r="EL75" s="388"/>
      <c r="EM75" s="387"/>
      <c r="EN75" s="388"/>
      <c r="EO75" s="387"/>
      <c r="EP75" s="388"/>
      <c r="EQ75" s="387"/>
      <c r="ER75" s="388"/>
      <c r="ES75" s="387"/>
      <c r="ET75" s="388"/>
      <c r="EU75" s="387"/>
      <c r="EV75" s="388"/>
      <c r="EW75" s="387"/>
      <c r="EX75" s="388"/>
      <c r="EY75" s="387"/>
      <c r="EZ75" s="388"/>
      <c r="FA75" s="387"/>
      <c r="FB75" s="388"/>
      <c r="FC75" s="387"/>
      <c r="FD75" s="388"/>
      <c r="FE75" s="387"/>
      <c r="FF75" s="388"/>
      <c r="FG75" s="387"/>
      <c r="FH75" s="388"/>
      <c r="FI75" s="387"/>
      <c r="FJ75" s="388"/>
      <c r="FK75" s="387"/>
      <c r="FL75" s="388"/>
      <c r="FM75" s="387"/>
      <c r="FN75" s="388"/>
      <c r="FO75" s="387"/>
      <c r="FP75" s="388"/>
      <c r="FQ75" s="386"/>
      <c r="FR75" s="387"/>
      <c r="FS75" s="388"/>
      <c r="FT75" s="387"/>
      <c r="FU75" s="388"/>
      <c r="FV75" s="387"/>
      <c r="FW75" s="386"/>
      <c r="FX75" s="387"/>
      <c r="FY75" s="388"/>
      <c r="FZ75" s="387"/>
      <c r="GA75" s="388"/>
      <c r="GB75" s="387"/>
      <c r="GC75" s="388"/>
      <c r="GD75" s="387"/>
      <c r="GE75" s="388"/>
      <c r="GF75" s="387"/>
      <c r="GG75" s="388"/>
      <c r="GH75" s="387"/>
      <c r="GI75" s="386"/>
      <c r="GJ75" s="387"/>
      <c r="GK75" s="388"/>
      <c r="GL75" s="387"/>
      <c r="GM75" s="388"/>
      <c r="GN75" s="387"/>
      <c r="GO75" s="388"/>
      <c r="GP75" s="387"/>
      <c r="GQ75" s="388"/>
      <c r="GR75" s="387"/>
      <c r="GS75" s="388"/>
      <c r="GT75" s="387"/>
      <c r="GU75" s="388"/>
      <c r="GV75" s="387"/>
      <c r="GW75" s="388"/>
      <c r="GX75" s="387"/>
      <c r="GY75" s="388"/>
      <c r="GZ75" s="387"/>
      <c r="HA75" s="388"/>
      <c r="HB75" s="387"/>
      <c r="HC75" s="388"/>
      <c r="HD75" s="387"/>
      <c r="HE75" s="388"/>
      <c r="HF75" s="387"/>
      <c r="HG75" s="388"/>
      <c r="HH75" s="387"/>
      <c r="HI75" s="388"/>
      <c r="HJ75" s="387"/>
      <c r="HK75" s="388"/>
      <c r="HL75" s="387"/>
      <c r="HM75" s="388"/>
      <c r="HN75" s="387"/>
      <c r="HO75" s="388"/>
      <c r="HP75" s="387"/>
      <c r="HQ75" s="388"/>
      <c r="HR75" s="387"/>
      <c r="HS75" s="388"/>
      <c r="HT75" s="387"/>
      <c r="HU75" s="388"/>
      <c r="HV75" s="387"/>
      <c r="HW75" s="388"/>
      <c r="HX75" s="387"/>
      <c r="HY75" s="388"/>
      <c r="HZ75" s="387"/>
      <c r="IA75" s="388"/>
      <c r="IB75" s="387"/>
      <c r="IC75" s="388"/>
      <c r="ID75" s="387"/>
      <c r="IE75" s="388"/>
      <c r="IF75" s="387"/>
      <c r="IG75" s="388"/>
      <c r="IH75" s="387"/>
      <c r="II75" s="388"/>
      <c r="IJ75" s="387"/>
      <c r="IK75" s="388"/>
      <c r="IL75" s="387"/>
      <c r="IM75" s="388"/>
      <c r="IN75" s="387"/>
      <c r="IO75" s="388"/>
      <c r="IP75" s="387"/>
      <c r="IQ75" s="388"/>
      <c r="IR75" s="387"/>
      <c r="IS75" s="388"/>
      <c r="IT75" s="387"/>
      <c r="IU75" s="388"/>
      <c r="IV75" s="387"/>
      <c r="IW75" s="388"/>
      <c r="IX75" s="387"/>
      <c r="IY75" s="388"/>
      <c r="IZ75" s="386"/>
      <c r="JA75" s="387"/>
      <c r="JB75" s="388"/>
      <c r="JC75" s="387"/>
      <c r="JD75" s="388"/>
      <c r="JE75" s="386"/>
      <c r="JF75" s="387"/>
      <c r="JG75" s="388"/>
      <c r="JH75" s="387"/>
      <c r="JI75" s="388"/>
      <c r="JJ75" s="387"/>
      <c r="JK75" s="386"/>
      <c r="JL75" s="387"/>
      <c r="JM75" s="388"/>
      <c r="JN75" s="387"/>
      <c r="JO75" s="388"/>
      <c r="JP75" s="387"/>
      <c r="JQ75" s="388"/>
      <c r="JR75" s="387"/>
      <c r="JS75" s="386"/>
      <c r="JT75" s="387"/>
      <c r="JU75" s="388"/>
      <c r="JV75" s="387"/>
      <c r="JW75" s="388"/>
      <c r="JX75" s="387"/>
      <c r="JY75" s="388"/>
      <c r="JZ75" s="387"/>
      <c r="KA75" s="388"/>
      <c r="KB75" s="387"/>
      <c r="KC75" s="388"/>
      <c r="KD75" s="387"/>
      <c r="KE75" s="388"/>
      <c r="KF75" s="387"/>
      <c r="KG75" s="388"/>
      <c r="KH75" s="387"/>
      <c r="KI75" s="388"/>
      <c r="KJ75" s="387"/>
      <c r="KK75" s="388"/>
      <c r="KL75" s="387"/>
      <c r="KM75" s="388"/>
      <c r="KN75" s="387"/>
      <c r="KO75" s="388"/>
      <c r="KP75" s="387"/>
      <c r="KQ75" s="388"/>
      <c r="KR75" s="387"/>
      <c r="KS75" s="388"/>
      <c r="KT75" s="387"/>
      <c r="KU75" s="388"/>
      <c r="KV75" s="387"/>
      <c r="KW75" s="388"/>
      <c r="KX75" s="387"/>
      <c r="KY75" s="388"/>
      <c r="KZ75" s="387"/>
      <c r="LA75" s="388"/>
      <c r="LB75" s="387"/>
      <c r="LC75" s="388"/>
      <c r="LD75" s="387"/>
      <c r="LE75" s="388"/>
      <c r="LF75" s="387"/>
      <c r="LG75" s="388"/>
      <c r="LH75" s="387"/>
      <c r="LI75" s="388"/>
      <c r="LJ75" s="387"/>
      <c r="LK75" s="388"/>
      <c r="LL75" s="387"/>
      <c r="LM75" s="388"/>
      <c r="LN75" s="387"/>
      <c r="LO75" s="388"/>
      <c r="LP75" s="387"/>
      <c r="LQ75" s="388"/>
      <c r="LR75" s="387"/>
      <c r="LS75" s="388"/>
      <c r="LT75" s="387"/>
      <c r="LU75" s="388"/>
      <c r="LV75" s="387"/>
      <c r="LW75" s="388"/>
      <c r="LX75" s="387"/>
      <c r="LY75" s="388"/>
      <c r="LZ75" s="387"/>
      <c r="MA75" s="388"/>
      <c r="MB75" s="387"/>
      <c r="MC75" s="388"/>
      <c r="MD75" s="387"/>
      <c r="ME75" s="388"/>
      <c r="MF75" s="387"/>
      <c r="MG75" s="388"/>
      <c r="MH75" s="386"/>
      <c r="MI75" s="387"/>
      <c r="MJ75" s="388"/>
      <c r="MK75" s="387"/>
      <c r="ML75" s="388"/>
      <c r="MM75" s="387"/>
      <c r="MN75" s="386"/>
      <c r="MO75" s="387"/>
      <c r="MP75" s="388"/>
      <c r="MQ75" s="387"/>
      <c r="MR75" s="388"/>
      <c r="MS75" s="387"/>
      <c r="MT75" s="388"/>
      <c r="MU75" s="387"/>
      <c r="MV75" s="386"/>
      <c r="MW75" s="387"/>
      <c r="MX75" s="388"/>
      <c r="MY75" s="387"/>
      <c r="MZ75" s="388"/>
      <c r="NA75" s="387"/>
      <c r="NB75" s="388"/>
      <c r="NC75" s="387"/>
      <c r="ND75" s="388"/>
      <c r="NE75" s="387"/>
      <c r="NF75" s="388"/>
      <c r="NG75" s="387"/>
      <c r="NH75" s="388"/>
      <c r="NI75" s="387"/>
      <c r="NJ75" s="388"/>
      <c r="NK75" s="387"/>
      <c r="NL75" s="388"/>
      <c r="NM75" s="387"/>
      <c r="NN75" s="388"/>
      <c r="NO75" s="387"/>
      <c r="NP75" s="388"/>
      <c r="NQ75" s="387"/>
      <c r="NR75" s="388"/>
      <c r="NS75" s="387"/>
      <c r="NT75" s="388"/>
      <c r="NU75" s="387"/>
      <c r="NV75" s="388"/>
      <c r="NW75" s="387"/>
      <c r="NX75" s="388"/>
      <c r="NY75" s="387"/>
      <c r="NZ75" s="388"/>
      <c r="OA75" s="387"/>
      <c r="OB75" s="388"/>
      <c r="OC75" s="387"/>
      <c r="OD75" s="388"/>
      <c r="OE75" s="387"/>
      <c r="OF75" s="388"/>
      <c r="OG75" s="387"/>
      <c r="OH75" s="388"/>
      <c r="OI75" s="387"/>
      <c r="OJ75" s="388"/>
      <c r="OK75" s="387"/>
      <c r="OL75" s="388"/>
      <c r="OM75" s="387"/>
      <c r="ON75" s="388"/>
      <c r="OO75" s="387"/>
      <c r="OP75" s="388"/>
      <c r="OQ75" s="387"/>
      <c r="OR75" s="388"/>
      <c r="OS75" s="387"/>
      <c r="OT75" s="388"/>
      <c r="OU75" s="387"/>
      <c r="OV75" s="388"/>
      <c r="OW75" s="387"/>
      <c r="OX75" s="388"/>
      <c r="OY75" s="387"/>
      <c r="OZ75" s="388"/>
      <c r="PA75" s="387"/>
      <c r="PB75" s="388"/>
      <c r="PC75" s="387"/>
      <c r="PD75" s="388"/>
      <c r="PE75" s="387"/>
      <c r="PF75" s="388"/>
      <c r="PG75" s="387"/>
      <c r="PH75" s="388"/>
      <c r="PI75" s="387"/>
      <c r="PJ75" s="388"/>
      <c r="PK75" s="387"/>
      <c r="PL75" s="388"/>
      <c r="PM75" s="387"/>
      <c r="PN75" s="388"/>
      <c r="PO75" s="387"/>
      <c r="PP75" s="388"/>
      <c r="PQ75" s="390"/>
      <c r="PR75" s="391"/>
      <c r="PS75" s="392"/>
      <c r="PT75" s="391"/>
      <c r="PU75" s="392"/>
      <c r="PV75" s="391"/>
      <c r="PW75" s="392"/>
      <c r="PX75" s="391"/>
      <c r="PY75" s="392"/>
      <c r="PZ75" s="391"/>
      <c r="QA75" s="392"/>
      <c r="QB75" s="391"/>
      <c r="QC75" s="392"/>
      <c r="QD75" s="390"/>
      <c r="QE75" s="390"/>
      <c r="QF75" s="391"/>
      <c r="QG75" s="392"/>
      <c r="QH75" s="391"/>
      <c r="QI75" s="392"/>
      <c r="QJ75" s="391"/>
      <c r="QK75" s="392"/>
      <c r="QL75" s="391"/>
      <c r="QM75" s="392"/>
      <c r="QN75" s="391"/>
      <c r="QO75" s="392"/>
      <c r="QP75" s="391"/>
      <c r="QQ75" s="392"/>
    </row>
    <row r="76" spans="1:459" x14ac:dyDescent="0.45">
      <c r="A76" s="871"/>
      <c r="B76" s="383" t="s">
        <v>379</v>
      </c>
      <c r="C76" s="384"/>
      <c r="D76" s="385"/>
      <c r="E76" s="386"/>
      <c r="F76" s="387"/>
      <c r="G76" s="388"/>
      <c r="H76" s="387"/>
      <c r="I76" s="388"/>
      <c r="J76" s="387"/>
      <c r="K76" s="388"/>
      <c r="L76" s="387"/>
      <c r="M76" s="388"/>
      <c r="N76" s="387"/>
      <c r="O76" s="388"/>
      <c r="P76" s="387"/>
      <c r="Q76" s="386"/>
      <c r="R76" s="387"/>
      <c r="S76" s="388"/>
      <c r="T76" s="387"/>
      <c r="U76" s="388"/>
      <c r="V76" s="387"/>
      <c r="W76" s="388"/>
      <c r="X76" s="387"/>
      <c r="Y76" s="388"/>
      <c r="Z76" s="387"/>
      <c r="AA76" s="388"/>
      <c r="AB76" s="387"/>
      <c r="AC76" s="386"/>
      <c r="AD76" s="387"/>
      <c r="AE76" s="388"/>
      <c r="AF76" s="387"/>
      <c r="AG76" s="388"/>
      <c r="AH76" s="387"/>
      <c r="AI76" s="388"/>
      <c r="AJ76" s="387"/>
      <c r="AK76" s="388">
        <v>0.5</v>
      </c>
      <c r="AL76" s="387"/>
      <c r="AM76" s="388">
        <v>0.5</v>
      </c>
      <c r="AN76" s="387"/>
      <c r="AO76" s="388">
        <v>0.5</v>
      </c>
      <c r="AP76" s="387"/>
      <c r="AQ76" s="388">
        <v>0.5</v>
      </c>
      <c r="AR76" s="387"/>
      <c r="AS76" s="388">
        <v>0.5</v>
      </c>
      <c r="AT76" s="387"/>
      <c r="AU76" s="388">
        <v>0.5</v>
      </c>
      <c r="AV76" s="387"/>
      <c r="AW76" s="388">
        <v>0.5</v>
      </c>
      <c r="AX76" s="387"/>
      <c r="AY76" s="388">
        <v>0.5</v>
      </c>
      <c r="AZ76" s="387"/>
      <c r="BA76" s="388">
        <v>0.5</v>
      </c>
      <c r="BB76" s="387"/>
      <c r="BC76" s="388">
        <v>0.5</v>
      </c>
      <c r="BD76" s="387"/>
      <c r="BE76" s="388">
        <v>0.5</v>
      </c>
      <c r="BF76" s="387"/>
      <c r="BG76" s="388">
        <v>0.5</v>
      </c>
      <c r="BH76" s="387"/>
      <c r="BI76" s="388">
        <v>0.5</v>
      </c>
      <c r="BJ76" s="387"/>
      <c r="BK76" s="388">
        <v>0.5</v>
      </c>
      <c r="BL76" s="387"/>
      <c r="BM76" s="388">
        <v>0.5</v>
      </c>
      <c r="BN76" s="387"/>
      <c r="BO76" s="388">
        <v>0.5</v>
      </c>
      <c r="BP76" s="387"/>
      <c r="BQ76" s="388">
        <v>0.5</v>
      </c>
      <c r="BR76" s="387"/>
      <c r="BS76" s="388">
        <v>0.5</v>
      </c>
      <c r="BT76" s="387"/>
      <c r="BU76" s="388">
        <v>0.5</v>
      </c>
      <c r="BV76" s="387"/>
      <c r="BW76" s="388">
        <v>0.5</v>
      </c>
      <c r="BX76" s="387"/>
      <c r="BY76" s="388">
        <v>0.5</v>
      </c>
      <c r="BZ76" s="387"/>
      <c r="CA76" s="388">
        <v>0.5</v>
      </c>
      <c r="CB76" s="387"/>
      <c r="CC76" s="388">
        <v>0.5</v>
      </c>
      <c r="CD76" s="387"/>
      <c r="CE76" s="388">
        <v>0.5</v>
      </c>
      <c r="CF76" s="387"/>
      <c r="CG76" s="388">
        <v>0.5</v>
      </c>
      <c r="CH76" s="387"/>
      <c r="CI76" s="388">
        <v>0.5</v>
      </c>
      <c r="CJ76" s="387"/>
      <c r="CK76" s="388">
        <v>0.5</v>
      </c>
      <c r="CL76" s="387"/>
      <c r="CM76" s="388">
        <v>0.5</v>
      </c>
      <c r="CN76" s="387"/>
      <c r="CO76" s="388">
        <v>0.5</v>
      </c>
      <c r="CP76" s="387"/>
      <c r="CQ76" s="388">
        <v>0.5</v>
      </c>
      <c r="CR76" s="387"/>
      <c r="CS76" s="388">
        <v>0.5</v>
      </c>
      <c r="CT76" s="389"/>
      <c r="CU76" s="387"/>
      <c r="CV76" s="386"/>
      <c r="CW76" s="387"/>
      <c r="CX76" s="388"/>
      <c r="CY76" s="387"/>
      <c r="CZ76" s="388"/>
      <c r="DA76" s="387"/>
      <c r="DB76" s="386"/>
      <c r="DC76" s="387"/>
      <c r="DD76" s="388"/>
      <c r="DE76" s="387"/>
      <c r="DF76" s="388"/>
      <c r="DG76" s="387"/>
      <c r="DH76" s="388"/>
      <c r="DI76" s="387"/>
      <c r="DJ76" s="388"/>
      <c r="DK76" s="387"/>
      <c r="DL76" s="388"/>
      <c r="DM76" s="387"/>
      <c r="DN76" s="388"/>
      <c r="DO76" s="387"/>
      <c r="DP76" s="388"/>
      <c r="DQ76" s="387"/>
      <c r="DR76" s="388"/>
      <c r="DS76" s="387"/>
      <c r="DT76" s="388"/>
      <c r="DU76" s="387"/>
      <c r="DV76" s="388"/>
      <c r="DW76" s="387"/>
      <c r="DX76" s="388"/>
      <c r="DY76" s="387"/>
      <c r="DZ76" s="388"/>
      <c r="EA76" s="387"/>
      <c r="EB76" s="388"/>
      <c r="EC76" s="387"/>
      <c r="ED76" s="388"/>
      <c r="EE76" s="387"/>
      <c r="EF76" s="388"/>
      <c r="EG76" s="387"/>
      <c r="EH76" s="388"/>
      <c r="EI76" s="387"/>
      <c r="EJ76" s="388"/>
      <c r="EK76" s="387"/>
      <c r="EL76" s="388">
        <v>0.5</v>
      </c>
      <c r="EM76" s="387"/>
      <c r="EN76" s="388">
        <v>0.5</v>
      </c>
      <c r="EO76" s="387"/>
      <c r="EP76" s="388">
        <v>0.5</v>
      </c>
      <c r="EQ76" s="387"/>
      <c r="ER76" s="388">
        <v>0.5</v>
      </c>
      <c r="ES76" s="387"/>
      <c r="ET76" s="388">
        <v>0.5</v>
      </c>
      <c r="EU76" s="387"/>
      <c r="EV76" s="388">
        <v>0.5</v>
      </c>
      <c r="EW76" s="387"/>
      <c r="EX76" s="388">
        <v>0.5</v>
      </c>
      <c r="EY76" s="387"/>
      <c r="EZ76" s="388">
        <v>0.5</v>
      </c>
      <c r="FA76" s="387"/>
      <c r="FB76" s="388">
        <v>0.5</v>
      </c>
      <c r="FC76" s="387"/>
      <c r="FD76" s="388">
        <v>0.5</v>
      </c>
      <c r="FE76" s="387"/>
      <c r="FF76" s="388">
        <v>0.5</v>
      </c>
      <c r="FG76" s="387"/>
      <c r="FH76" s="388">
        <v>0.5</v>
      </c>
      <c r="FI76" s="387"/>
      <c r="FJ76" s="388">
        <v>0.5</v>
      </c>
      <c r="FK76" s="387"/>
      <c r="FL76" s="388">
        <v>0.5</v>
      </c>
      <c r="FM76" s="387"/>
      <c r="FN76" s="388">
        <v>0.5</v>
      </c>
      <c r="FO76" s="387"/>
      <c r="FP76" s="388">
        <v>0.5</v>
      </c>
      <c r="FQ76" s="386"/>
      <c r="FR76" s="387"/>
      <c r="FS76" s="388"/>
      <c r="FT76" s="387"/>
      <c r="FU76" s="388"/>
      <c r="FV76" s="387"/>
      <c r="FW76" s="386"/>
      <c r="FX76" s="387"/>
      <c r="FY76" s="388"/>
      <c r="FZ76" s="387"/>
      <c r="GA76" s="388"/>
      <c r="GB76" s="387"/>
      <c r="GC76" s="388"/>
      <c r="GD76" s="387"/>
      <c r="GE76" s="388"/>
      <c r="GF76" s="387"/>
      <c r="GG76" s="388"/>
      <c r="GH76" s="387"/>
      <c r="GI76" s="386"/>
      <c r="GJ76" s="387"/>
      <c r="GK76" s="388"/>
      <c r="GL76" s="387"/>
      <c r="GM76" s="388"/>
      <c r="GN76" s="387"/>
      <c r="GO76" s="388"/>
      <c r="GP76" s="387"/>
      <c r="GQ76" s="388"/>
      <c r="GR76" s="387"/>
      <c r="GS76" s="388"/>
      <c r="GT76" s="387"/>
      <c r="GU76" s="388"/>
      <c r="GV76" s="387"/>
      <c r="GW76" s="388"/>
      <c r="GX76" s="387"/>
      <c r="GY76" s="388"/>
      <c r="GZ76" s="387"/>
      <c r="HA76" s="388"/>
      <c r="HB76" s="387"/>
      <c r="HC76" s="388"/>
      <c r="HD76" s="387"/>
      <c r="HE76" s="388"/>
      <c r="HF76" s="387"/>
      <c r="HG76" s="388"/>
      <c r="HH76" s="387"/>
      <c r="HI76" s="388"/>
      <c r="HJ76" s="387"/>
      <c r="HK76" s="388"/>
      <c r="HL76" s="387"/>
      <c r="HM76" s="388"/>
      <c r="HN76" s="387"/>
      <c r="HO76" s="388"/>
      <c r="HP76" s="387"/>
      <c r="HQ76" s="388"/>
      <c r="HR76" s="387"/>
      <c r="HS76" s="388">
        <v>0.5</v>
      </c>
      <c r="HT76" s="387"/>
      <c r="HU76" s="388">
        <v>0.5</v>
      </c>
      <c r="HV76" s="387"/>
      <c r="HW76" s="388">
        <v>0.5</v>
      </c>
      <c r="HX76" s="387"/>
      <c r="HY76" s="388">
        <v>0.5</v>
      </c>
      <c r="HZ76" s="387"/>
      <c r="IA76" s="388">
        <v>0.5</v>
      </c>
      <c r="IB76" s="387"/>
      <c r="IC76" s="388">
        <v>0.5</v>
      </c>
      <c r="ID76" s="387"/>
      <c r="IE76" s="388">
        <v>0.5</v>
      </c>
      <c r="IF76" s="387"/>
      <c r="IG76" s="388">
        <v>0.5</v>
      </c>
      <c r="IH76" s="387"/>
      <c r="II76" s="388">
        <v>0.5</v>
      </c>
      <c r="IJ76" s="387"/>
      <c r="IK76" s="388">
        <v>0.5</v>
      </c>
      <c r="IL76" s="387"/>
      <c r="IM76" s="388">
        <v>0.5</v>
      </c>
      <c r="IN76" s="387"/>
      <c r="IO76" s="388">
        <v>0.5</v>
      </c>
      <c r="IP76" s="387"/>
      <c r="IQ76" s="388">
        <v>0.5</v>
      </c>
      <c r="IR76" s="387"/>
      <c r="IS76" s="388">
        <v>0.5</v>
      </c>
      <c r="IT76" s="387"/>
      <c r="IU76" s="388">
        <v>0.5</v>
      </c>
      <c r="IV76" s="387"/>
      <c r="IW76" s="388">
        <v>0.5</v>
      </c>
      <c r="IX76" s="387"/>
      <c r="IY76" s="388">
        <v>0.5</v>
      </c>
      <c r="IZ76" s="386"/>
      <c r="JA76" s="387"/>
      <c r="JB76" s="388"/>
      <c r="JC76" s="387"/>
      <c r="JD76" s="388"/>
      <c r="JE76" s="386"/>
      <c r="JF76" s="387"/>
      <c r="JG76" s="388"/>
      <c r="JH76" s="387"/>
      <c r="JI76" s="388"/>
      <c r="JJ76" s="387"/>
      <c r="JK76" s="386"/>
      <c r="JL76" s="387"/>
      <c r="JM76" s="388"/>
      <c r="JN76" s="387"/>
      <c r="JO76" s="388"/>
      <c r="JP76" s="387"/>
      <c r="JQ76" s="388"/>
      <c r="JR76" s="387"/>
      <c r="JS76" s="386"/>
      <c r="JT76" s="387"/>
      <c r="JU76" s="388"/>
      <c r="JV76" s="387"/>
      <c r="JW76" s="388"/>
      <c r="JX76" s="387"/>
      <c r="JY76" s="388"/>
      <c r="JZ76" s="387"/>
      <c r="KA76" s="388"/>
      <c r="KB76" s="387"/>
      <c r="KC76" s="388"/>
      <c r="KD76" s="387"/>
      <c r="KE76" s="388"/>
      <c r="KF76" s="387"/>
      <c r="KG76" s="388"/>
      <c r="KH76" s="387"/>
      <c r="KI76" s="388"/>
      <c r="KJ76" s="387"/>
      <c r="KK76" s="388"/>
      <c r="KL76" s="387"/>
      <c r="KM76" s="388"/>
      <c r="KN76" s="387"/>
      <c r="KO76" s="388"/>
      <c r="KP76" s="387"/>
      <c r="KQ76" s="388"/>
      <c r="KR76" s="387"/>
      <c r="KS76" s="388"/>
      <c r="KT76" s="387"/>
      <c r="KU76" s="388"/>
      <c r="KV76" s="387"/>
      <c r="KW76" s="388"/>
      <c r="KX76" s="387"/>
      <c r="KY76" s="388"/>
      <c r="KZ76" s="387"/>
      <c r="LA76" s="388"/>
      <c r="LB76" s="387"/>
      <c r="LC76" s="388">
        <v>0.5</v>
      </c>
      <c r="LD76" s="387"/>
      <c r="LE76" s="388">
        <v>0.5</v>
      </c>
      <c r="LF76" s="387"/>
      <c r="LG76" s="388">
        <v>0.5</v>
      </c>
      <c r="LH76" s="387"/>
      <c r="LI76" s="388">
        <v>0.5</v>
      </c>
      <c r="LJ76" s="387"/>
      <c r="LK76" s="388">
        <v>0.5</v>
      </c>
      <c r="LL76" s="387"/>
      <c r="LM76" s="388">
        <v>0.5</v>
      </c>
      <c r="LN76" s="387"/>
      <c r="LO76" s="388">
        <v>0.5</v>
      </c>
      <c r="LP76" s="387"/>
      <c r="LQ76" s="388">
        <v>0.5</v>
      </c>
      <c r="LR76" s="387"/>
      <c r="LS76" s="388">
        <v>0.5</v>
      </c>
      <c r="LT76" s="387"/>
      <c r="LU76" s="388">
        <v>0.5</v>
      </c>
      <c r="LV76" s="387"/>
      <c r="LW76" s="388">
        <v>0.5</v>
      </c>
      <c r="LX76" s="387"/>
      <c r="LY76" s="388">
        <v>0.5</v>
      </c>
      <c r="LZ76" s="387"/>
      <c r="MA76" s="388">
        <v>0.5</v>
      </c>
      <c r="MB76" s="387"/>
      <c r="MC76" s="388">
        <v>0.5</v>
      </c>
      <c r="MD76" s="387"/>
      <c r="ME76" s="388">
        <v>0.5</v>
      </c>
      <c r="MF76" s="387"/>
      <c r="MG76" s="388">
        <v>0.5</v>
      </c>
      <c r="MH76" s="386"/>
      <c r="MI76" s="387"/>
      <c r="MJ76" s="388"/>
      <c r="MK76" s="387"/>
      <c r="ML76" s="388"/>
      <c r="MM76" s="387"/>
      <c r="MN76" s="386"/>
      <c r="MO76" s="387"/>
      <c r="MP76" s="388"/>
      <c r="MQ76" s="387"/>
      <c r="MR76" s="388"/>
      <c r="MS76" s="387"/>
      <c r="MT76" s="388"/>
      <c r="MU76" s="387"/>
      <c r="MV76" s="386"/>
      <c r="MW76" s="387"/>
      <c r="MX76" s="388"/>
      <c r="MY76" s="387"/>
      <c r="MZ76" s="388"/>
      <c r="NA76" s="387"/>
      <c r="NB76" s="388"/>
      <c r="NC76" s="387"/>
      <c r="ND76" s="388"/>
      <c r="NE76" s="387"/>
      <c r="NF76" s="388"/>
      <c r="NG76" s="387"/>
      <c r="NH76" s="388"/>
      <c r="NI76" s="387"/>
      <c r="NJ76" s="388"/>
      <c r="NK76" s="387"/>
      <c r="NL76" s="388"/>
      <c r="NM76" s="387"/>
      <c r="NN76" s="388"/>
      <c r="NO76" s="387"/>
      <c r="NP76" s="388"/>
      <c r="NQ76" s="387"/>
      <c r="NR76" s="388"/>
      <c r="NS76" s="387"/>
      <c r="NT76" s="388"/>
      <c r="NU76" s="387"/>
      <c r="NV76" s="388"/>
      <c r="NW76" s="387"/>
      <c r="NX76" s="388"/>
      <c r="NY76" s="387"/>
      <c r="NZ76" s="388"/>
      <c r="OA76" s="387"/>
      <c r="OB76" s="388"/>
      <c r="OC76" s="387"/>
      <c r="OD76" s="388"/>
      <c r="OE76" s="387"/>
      <c r="OF76" s="388">
        <v>0.5</v>
      </c>
      <c r="OG76" s="387"/>
      <c r="OH76" s="388">
        <v>0.5</v>
      </c>
      <c r="OI76" s="387"/>
      <c r="OJ76" s="388">
        <v>0.5</v>
      </c>
      <c r="OK76" s="387"/>
      <c r="OL76" s="388">
        <v>0.5</v>
      </c>
      <c r="OM76" s="387"/>
      <c r="ON76" s="388">
        <v>0.5</v>
      </c>
      <c r="OO76" s="387"/>
      <c r="OP76" s="388">
        <v>0.5</v>
      </c>
      <c r="OQ76" s="387"/>
      <c r="OR76" s="388">
        <v>0.5</v>
      </c>
      <c r="OS76" s="387"/>
      <c r="OT76" s="388">
        <v>0.5</v>
      </c>
      <c r="OU76" s="387"/>
      <c r="OV76" s="388">
        <v>0.5</v>
      </c>
      <c r="OW76" s="387"/>
      <c r="OX76" s="388">
        <v>0.5</v>
      </c>
      <c r="OY76" s="387"/>
      <c r="OZ76" s="388">
        <v>0.5</v>
      </c>
      <c r="PA76" s="387"/>
      <c r="PB76" s="388">
        <v>0.5</v>
      </c>
      <c r="PC76" s="387"/>
      <c r="PD76" s="388">
        <v>0.5</v>
      </c>
      <c r="PE76" s="387"/>
      <c r="PF76" s="388">
        <v>0.5</v>
      </c>
      <c r="PG76" s="387"/>
      <c r="PH76" s="388">
        <v>0.5</v>
      </c>
      <c r="PI76" s="387"/>
      <c r="PJ76" s="388">
        <v>0.5</v>
      </c>
      <c r="PK76" s="387"/>
      <c r="PL76" s="388">
        <v>0.5</v>
      </c>
      <c r="PM76" s="387"/>
      <c r="PN76" s="388">
        <v>0.5</v>
      </c>
      <c r="PO76" s="387"/>
      <c r="PP76" s="388">
        <v>0.5</v>
      </c>
      <c r="PQ76" s="390"/>
      <c r="PR76" s="391"/>
      <c r="PS76" s="392">
        <v>0.5</v>
      </c>
      <c r="PT76" s="391"/>
      <c r="PU76" s="392">
        <v>0.5</v>
      </c>
      <c r="PV76" s="391"/>
      <c r="PW76" s="392">
        <v>0.5</v>
      </c>
      <c r="PX76" s="391"/>
      <c r="PY76" s="392">
        <v>0.5</v>
      </c>
      <c r="PZ76" s="391"/>
      <c r="QA76" s="392">
        <v>0.5</v>
      </c>
      <c r="QB76" s="391"/>
      <c r="QC76" s="392">
        <v>0.5</v>
      </c>
      <c r="QD76" s="390"/>
      <c r="QE76" s="390"/>
      <c r="QF76" s="391"/>
      <c r="QG76" s="392">
        <v>0.5</v>
      </c>
      <c r="QH76" s="391"/>
      <c r="QI76" s="392">
        <v>0.5</v>
      </c>
      <c r="QJ76" s="391"/>
      <c r="QK76" s="392">
        <v>0.5</v>
      </c>
      <c r="QL76" s="391"/>
      <c r="QM76" s="392">
        <v>0.5</v>
      </c>
      <c r="QN76" s="391"/>
      <c r="QO76" s="392">
        <v>0.5</v>
      </c>
      <c r="QP76" s="391"/>
      <c r="QQ76" s="392">
        <v>0.5</v>
      </c>
    </row>
    <row r="77" spans="1:459" x14ac:dyDescent="0.45">
      <c r="A77" s="871"/>
      <c r="B77" s="383" t="s">
        <v>380</v>
      </c>
      <c r="C77" s="384"/>
      <c r="D77" s="385"/>
      <c r="E77" s="386"/>
      <c r="F77" s="387"/>
      <c r="G77" s="388"/>
      <c r="H77" s="387"/>
      <c r="I77" s="388"/>
      <c r="J77" s="387"/>
      <c r="K77" s="388"/>
      <c r="L77" s="387"/>
      <c r="M77" s="388"/>
      <c r="N77" s="387"/>
      <c r="O77" s="388"/>
      <c r="P77" s="387"/>
      <c r="Q77" s="386"/>
      <c r="R77" s="387"/>
      <c r="S77" s="388"/>
      <c r="T77" s="387"/>
      <c r="U77" s="388"/>
      <c r="V77" s="387"/>
      <c r="W77" s="388"/>
      <c r="X77" s="387"/>
      <c r="Y77" s="388"/>
      <c r="Z77" s="387"/>
      <c r="AA77" s="388"/>
      <c r="AB77" s="387"/>
      <c r="AC77" s="386"/>
      <c r="AD77" s="387"/>
      <c r="AE77" s="388"/>
      <c r="AF77" s="387"/>
      <c r="AG77" s="388"/>
      <c r="AH77" s="387"/>
      <c r="AI77" s="388"/>
      <c r="AJ77" s="387">
        <f t="shared" ref="AJ77:CK77" si="459">AJ30</f>
        <v>0.24156862745098096</v>
      </c>
      <c r="AK77" s="388">
        <f t="shared" si="459"/>
        <v>0.18300653594771282</v>
      </c>
      <c r="AL77" s="387">
        <f t="shared" si="459"/>
        <v>0.24156862745098096</v>
      </c>
      <c r="AM77" s="388">
        <f t="shared" si="459"/>
        <v>0.18300653594771282</v>
      </c>
      <c r="AN77" s="387">
        <f t="shared" si="459"/>
        <v>0.24156862745098096</v>
      </c>
      <c r="AO77" s="388">
        <f t="shared" si="459"/>
        <v>0.18300653594771282</v>
      </c>
      <c r="AP77" s="387">
        <f t="shared" si="459"/>
        <v>0.24156862745098096</v>
      </c>
      <c r="AQ77" s="388">
        <f t="shared" si="459"/>
        <v>0.18300653594771282</v>
      </c>
      <c r="AR77" s="387">
        <f t="shared" si="459"/>
        <v>0.24156862745098096</v>
      </c>
      <c r="AS77" s="388">
        <f t="shared" si="459"/>
        <v>0.18300653594771282</v>
      </c>
      <c r="AT77" s="387">
        <f t="shared" si="459"/>
        <v>0.24156862745098096</v>
      </c>
      <c r="AU77" s="388">
        <f t="shared" si="459"/>
        <v>0.18300653594771282</v>
      </c>
      <c r="AV77" s="387">
        <f t="shared" si="459"/>
        <v>0.24156862745098096</v>
      </c>
      <c r="AW77" s="388">
        <f t="shared" si="459"/>
        <v>0.18300653594771282</v>
      </c>
      <c r="AX77" s="387">
        <f t="shared" si="459"/>
        <v>0.24156862745098096</v>
      </c>
      <c r="AY77" s="388">
        <f t="shared" si="459"/>
        <v>0.18300653594771282</v>
      </c>
      <c r="AZ77" s="387">
        <f t="shared" si="459"/>
        <v>0.24156862745098096</v>
      </c>
      <c r="BA77" s="388">
        <f t="shared" si="459"/>
        <v>0.18300653594771282</v>
      </c>
      <c r="BB77" s="387">
        <f t="shared" si="459"/>
        <v>0.24156862745098096</v>
      </c>
      <c r="BC77" s="388">
        <f t="shared" si="459"/>
        <v>0.18300653594771282</v>
      </c>
      <c r="BD77" s="387">
        <f t="shared" si="459"/>
        <v>0.24156862745098096</v>
      </c>
      <c r="BE77" s="388">
        <f t="shared" si="459"/>
        <v>0.18300653594771282</v>
      </c>
      <c r="BF77" s="387">
        <f t="shared" si="459"/>
        <v>0.24156862745098096</v>
      </c>
      <c r="BG77" s="388">
        <f t="shared" si="459"/>
        <v>0.18300653594771282</v>
      </c>
      <c r="BH77" s="387">
        <f t="shared" si="459"/>
        <v>0.24156862745098096</v>
      </c>
      <c r="BI77" s="388">
        <f t="shared" si="459"/>
        <v>0.18300653594771282</v>
      </c>
      <c r="BJ77" s="387">
        <f t="shared" si="459"/>
        <v>0.24156862745098096</v>
      </c>
      <c r="BK77" s="388">
        <f t="shared" si="459"/>
        <v>0.18300653594771282</v>
      </c>
      <c r="BL77" s="387">
        <f t="shared" si="459"/>
        <v>0.24156862745098096</v>
      </c>
      <c r="BM77" s="388">
        <f t="shared" si="459"/>
        <v>0.18300653594771282</v>
      </c>
      <c r="BN77" s="387">
        <f t="shared" si="459"/>
        <v>0.24156862745098096</v>
      </c>
      <c r="BO77" s="388">
        <f t="shared" si="459"/>
        <v>0.18300653594771282</v>
      </c>
      <c r="BP77" s="387">
        <f t="shared" si="459"/>
        <v>0.24156862745098096</v>
      </c>
      <c r="BQ77" s="388">
        <f t="shared" si="459"/>
        <v>0.18300653594771282</v>
      </c>
      <c r="BR77" s="387">
        <f t="shared" si="459"/>
        <v>0.24156862745098096</v>
      </c>
      <c r="BS77" s="388">
        <f t="shared" si="459"/>
        <v>0.18300653594771282</v>
      </c>
      <c r="BT77" s="387">
        <f t="shared" si="459"/>
        <v>0.24156862745098096</v>
      </c>
      <c r="BU77" s="388">
        <f t="shared" si="459"/>
        <v>0.18300653594771282</v>
      </c>
      <c r="BV77" s="387">
        <f t="shared" si="459"/>
        <v>0.24156862745098096</v>
      </c>
      <c r="BW77" s="388">
        <f t="shared" si="459"/>
        <v>0.18300653594771282</v>
      </c>
      <c r="BX77" s="387">
        <f t="shared" si="459"/>
        <v>0.24156862745098096</v>
      </c>
      <c r="BY77" s="388">
        <f t="shared" si="459"/>
        <v>0.18300653594771282</v>
      </c>
      <c r="BZ77" s="387">
        <f t="shared" si="459"/>
        <v>0.24156862745098096</v>
      </c>
      <c r="CA77" s="388">
        <f t="shared" si="459"/>
        <v>0.18300653594771282</v>
      </c>
      <c r="CB77" s="387">
        <f t="shared" si="459"/>
        <v>0.24156862745098096</v>
      </c>
      <c r="CC77" s="388">
        <f t="shared" si="459"/>
        <v>0.18300653594771282</v>
      </c>
      <c r="CD77" s="387">
        <f t="shared" si="459"/>
        <v>0.24156862745098096</v>
      </c>
      <c r="CE77" s="388">
        <f t="shared" si="459"/>
        <v>0.18300653594771282</v>
      </c>
      <c r="CF77" s="387">
        <f t="shared" si="459"/>
        <v>0.24156862745098096</v>
      </c>
      <c r="CG77" s="388">
        <f t="shared" si="459"/>
        <v>0.18300653594771282</v>
      </c>
      <c r="CH77" s="387">
        <f t="shared" si="459"/>
        <v>0.24156862745098096</v>
      </c>
      <c r="CI77" s="388">
        <f t="shared" si="459"/>
        <v>0.18300653594771282</v>
      </c>
      <c r="CJ77" s="387">
        <f t="shared" si="459"/>
        <v>0.24156862745098096</v>
      </c>
      <c r="CK77" s="388">
        <f t="shared" si="459"/>
        <v>0.18300653594771282</v>
      </c>
      <c r="CL77" s="387">
        <f>CL30</f>
        <v>0.24156862745098096</v>
      </c>
      <c r="CM77" s="388">
        <f>CM30</f>
        <v>0.18300653594771282</v>
      </c>
      <c r="CN77" s="387">
        <f>CN30</f>
        <v>1.4784000000000006</v>
      </c>
      <c r="CO77" s="388">
        <f>CO30</f>
        <v>1.1200000000000003</v>
      </c>
      <c r="CP77" s="387">
        <f>CP30*0.5</f>
        <v>0.7392000000000003</v>
      </c>
      <c r="CQ77" s="388">
        <f>CQ30*0.5</f>
        <v>0.56000000000000016</v>
      </c>
      <c r="CR77" s="387">
        <f>CR30*0.5</f>
        <v>0.38499999999999979</v>
      </c>
      <c r="CS77" s="388">
        <f>CS30*0.5</f>
        <v>0.29166666666666652</v>
      </c>
      <c r="CT77" s="389"/>
      <c r="CU77" s="387"/>
      <c r="CV77" s="386"/>
      <c r="CW77" s="387"/>
      <c r="CX77" s="388"/>
      <c r="CY77" s="387"/>
      <c r="CZ77" s="388"/>
      <c r="DA77" s="387"/>
      <c r="DB77" s="386"/>
      <c r="DC77" s="387"/>
      <c r="DD77" s="388"/>
      <c r="DE77" s="387"/>
      <c r="DF77" s="388"/>
      <c r="DG77" s="387"/>
      <c r="DH77" s="388"/>
      <c r="DI77" s="387"/>
      <c r="DJ77" s="388"/>
      <c r="DK77" s="387"/>
      <c r="DL77" s="388"/>
      <c r="DM77" s="387"/>
      <c r="DN77" s="388"/>
      <c r="DO77" s="387"/>
      <c r="DP77" s="388"/>
      <c r="DQ77" s="387"/>
      <c r="DR77" s="388"/>
      <c r="DS77" s="387"/>
      <c r="DT77" s="388"/>
      <c r="DU77" s="387"/>
      <c r="DV77" s="388"/>
      <c r="DW77" s="387"/>
      <c r="DX77" s="388"/>
      <c r="DY77" s="387"/>
      <c r="DZ77" s="388"/>
      <c r="EA77" s="387"/>
      <c r="EB77" s="388"/>
      <c r="EC77" s="387"/>
      <c r="ED77" s="388"/>
      <c r="EE77" s="387"/>
      <c r="EF77" s="388"/>
      <c r="EG77" s="387"/>
      <c r="EH77" s="388"/>
      <c r="EI77" s="387"/>
      <c r="EJ77" s="388"/>
      <c r="EK77" s="387"/>
      <c r="EL77" s="388"/>
      <c r="EM77" s="387"/>
      <c r="EN77" s="388"/>
      <c r="EO77" s="387"/>
      <c r="EP77" s="388"/>
      <c r="EQ77" s="387"/>
      <c r="ER77" s="388"/>
      <c r="ES77" s="387"/>
      <c r="ET77" s="388"/>
      <c r="EU77" s="387"/>
      <c r="EV77" s="388"/>
      <c r="EW77" s="387"/>
      <c r="EX77" s="388"/>
      <c r="EY77" s="387"/>
      <c r="EZ77" s="388"/>
      <c r="FA77" s="387"/>
      <c r="FB77" s="388"/>
      <c r="FC77" s="387"/>
      <c r="FD77" s="388"/>
      <c r="FE77" s="387"/>
      <c r="FF77" s="388"/>
      <c r="FG77" s="387"/>
      <c r="FH77" s="388"/>
      <c r="FI77" s="387"/>
      <c r="FJ77" s="388"/>
      <c r="FK77" s="387"/>
      <c r="FL77" s="388"/>
      <c r="FM77" s="387"/>
      <c r="FN77" s="388"/>
      <c r="FO77" s="387"/>
      <c r="FP77" s="388">
        <f>FP30*0.5</f>
        <v>0.39432789432789428</v>
      </c>
      <c r="FQ77" s="386"/>
      <c r="FR77" s="387"/>
      <c r="FS77" s="388"/>
      <c r="FT77" s="387"/>
      <c r="FU77" s="388"/>
      <c r="FV77" s="387"/>
      <c r="FW77" s="386"/>
      <c r="FX77" s="387"/>
      <c r="FY77" s="388"/>
      <c r="FZ77" s="387"/>
      <c r="GA77" s="388"/>
      <c r="GB77" s="387"/>
      <c r="GC77" s="388"/>
      <c r="GD77" s="387"/>
      <c r="GE77" s="388"/>
      <c r="GF77" s="387"/>
      <c r="GG77" s="388"/>
      <c r="GH77" s="387"/>
      <c r="GI77" s="386"/>
      <c r="GJ77" s="387"/>
      <c r="GK77" s="388"/>
      <c r="GL77" s="387"/>
      <c r="GM77" s="388"/>
      <c r="GN77" s="387"/>
      <c r="GO77" s="388"/>
      <c r="GP77" s="387"/>
      <c r="GQ77" s="388"/>
      <c r="GR77" s="387"/>
      <c r="GS77" s="388"/>
      <c r="GT77" s="387"/>
      <c r="GU77" s="388"/>
      <c r="GV77" s="387"/>
      <c r="GW77" s="388"/>
      <c r="GX77" s="387"/>
      <c r="GY77" s="388"/>
      <c r="GZ77" s="387"/>
      <c r="HA77" s="388"/>
      <c r="HB77" s="387"/>
      <c r="HC77" s="388"/>
      <c r="HD77" s="387"/>
      <c r="HE77" s="388"/>
      <c r="HF77" s="387"/>
      <c r="HG77" s="388"/>
      <c r="HH77" s="387"/>
      <c r="HI77" s="388"/>
      <c r="HJ77" s="387"/>
      <c r="HK77" s="388"/>
      <c r="HL77" s="387"/>
      <c r="HM77" s="388"/>
      <c r="HN77" s="387"/>
      <c r="HO77" s="388"/>
      <c r="HP77" s="387"/>
      <c r="HQ77" s="388"/>
      <c r="HR77" s="328">
        <f t="shared" ref="HR77" si="460">HS77*HN10</f>
        <v>0</v>
      </c>
      <c r="HS77" s="329">
        <f t="shared" ref="HS77:IU77" si="461">HS30</f>
        <v>0</v>
      </c>
      <c r="HT77" s="328">
        <f t="shared" ref="HT77" si="462">HU77*HP10</f>
        <v>0</v>
      </c>
      <c r="HU77" s="329">
        <f t="shared" si="461"/>
        <v>0</v>
      </c>
      <c r="HV77" s="328">
        <f t="shared" ref="HV77" si="463">HW77*HR10</f>
        <v>0</v>
      </c>
      <c r="HW77" s="329">
        <f t="shared" si="461"/>
        <v>0</v>
      </c>
      <c r="HX77" s="328">
        <f t="shared" ref="HX77" si="464">HY77*HT10</f>
        <v>0</v>
      </c>
      <c r="HY77" s="329">
        <f t="shared" si="461"/>
        <v>0</v>
      </c>
      <c r="HZ77" s="328">
        <f t="shared" ref="HZ77" si="465">IA77*HV10</f>
        <v>0</v>
      </c>
      <c r="IA77" s="329">
        <f t="shared" si="461"/>
        <v>0</v>
      </c>
      <c r="IB77" s="328">
        <f t="shared" ref="IB77" si="466">IC77*HX10</f>
        <v>0</v>
      </c>
      <c r="IC77" s="329">
        <f t="shared" si="461"/>
        <v>0</v>
      </c>
      <c r="ID77" s="328">
        <f t="shared" ref="ID77" si="467">IE77*HZ10</f>
        <v>0</v>
      </c>
      <c r="IE77" s="329">
        <f t="shared" si="461"/>
        <v>0</v>
      </c>
      <c r="IF77" s="328">
        <f t="shared" ref="IF77" si="468">IG77*IB10</f>
        <v>0</v>
      </c>
      <c r="IG77" s="329">
        <f t="shared" si="461"/>
        <v>0</v>
      </c>
      <c r="IH77" s="328">
        <f t="shared" ref="IH77" si="469">II77*ID10</f>
        <v>0</v>
      </c>
      <c r="II77" s="329">
        <f t="shared" si="461"/>
        <v>0</v>
      </c>
      <c r="IJ77" s="328">
        <f t="shared" ref="IJ77" si="470">IK77*IF10</f>
        <v>0</v>
      </c>
      <c r="IK77" s="329">
        <f t="shared" si="461"/>
        <v>0</v>
      </c>
      <c r="IL77" s="328">
        <f t="shared" ref="IL77" si="471">IM77*IH10</f>
        <v>0</v>
      </c>
      <c r="IM77" s="329">
        <f t="shared" si="461"/>
        <v>0</v>
      </c>
      <c r="IN77" s="328">
        <f t="shared" ref="IN77" si="472">IO77*IJ10</f>
        <v>0</v>
      </c>
      <c r="IO77" s="329">
        <f t="shared" si="461"/>
        <v>0</v>
      </c>
      <c r="IP77" s="328">
        <f t="shared" ref="IP77" si="473">IQ77*IL10</f>
        <v>0</v>
      </c>
      <c r="IQ77" s="329">
        <f t="shared" si="461"/>
        <v>0</v>
      </c>
      <c r="IR77" s="328">
        <f t="shared" ref="IR77" si="474">IS77*IN10</f>
        <v>0</v>
      </c>
      <c r="IS77" s="329">
        <f t="shared" si="461"/>
        <v>0</v>
      </c>
      <c r="IT77" s="328">
        <f t="shared" ref="IT77" si="475">IU77*IP10</f>
        <v>0</v>
      </c>
      <c r="IU77" s="329">
        <f t="shared" si="461"/>
        <v>0</v>
      </c>
      <c r="IV77" s="328">
        <f t="shared" ref="IV77" si="476">IW77*IR10</f>
        <v>1.2181818181818187</v>
      </c>
      <c r="IW77" s="329">
        <f t="shared" ref="IW77" si="477">IW30</f>
        <v>0.92286501377410501</v>
      </c>
      <c r="IX77" s="387"/>
      <c r="IY77" s="388">
        <f>IY30</f>
        <v>0.92286501377410501</v>
      </c>
      <c r="IZ77" s="386"/>
      <c r="JA77" s="387"/>
      <c r="JB77" s="388"/>
      <c r="JC77" s="387"/>
      <c r="JD77" s="388"/>
      <c r="JE77" s="386"/>
      <c r="JF77" s="387"/>
      <c r="JG77" s="388"/>
      <c r="JH77" s="387"/>
      <c r="JI77" s="388"/>
      <c r="JJ77" s="387"/>
      <c r="JK77" s="386"/>
      <c r="JL77" s="387"/>
      <c r="JM77" s="388"/>
      <c r="JN77" s="387"/>
      <c r="JO77" s="388"/>
      <c r="JP77" s="387"/>
      <c r="JQ77" s="388"/>
      <c r="JR77" s="387"/>
      <c r="JS77" s="386"/>
      <c r="JT77" s="387"/>
      <c r="JU77" s="388"/>
      <c r="JV77" s="387"/>
      <c r="JW77" s="388"/>
      <c r="JX77" s="387"/>
      <c r="JY77" s="388"/>
      <c r="JZ77" s="387"/>
      <c r="KA77" s="388"/>
      <c r="KB77" s="387"/>
      <c r="KC77" s="388"/>
      <c r="KD77" s="387"/>
      <c r="KE77" s="388"/>
      <c r="KF77" s="387"/>
      <c r="KG77" s="388"/>
      <c r="KH77" s="387"/>
      <c r="KI77" s="388"/>
      <c r="KJ77" s="387"/>
      <c r="KK77" s="388"/>
      <c r="KL77" s="387"/>
      <c r="KM77" s="388"/>
      <c r="KN77" s="387"/>
      <c r="KO77" s="388"/>
      <c r="KP77" s="387"/>
      <c r="KQ77" s="388"/>
      <c r="KR77" s="387"/>
      <c r="KS77" s="388"/>
      <c r="KT77" s="387"/>
      <c r="KU77" s="388"/>
      <c r="KV77" s="387"/>
      <c r="KW77" s="388"/>
      <c r="KX77" s="387"/>
      <c r="KY77" s="388"/>
      <c r="KZ77" s="387"/>
      <c r="LA77" s="388"/>
      <c r="LB77" s="328">
        <f t="shared" ref="LB77" si="478">LC77*KX10</f>
        <v>0.41923076923077041</v>
      </c>
      <c r="LC77" s="329">
        <f t="shared" ref="LC77" si="479">LC30</f>
        <v>0.31759906759906847</v>
      </c>
      <c r="LD77" s="328">
        <f t="shared" ref="LD77" si="480">LE77*KZ10</f>
        <v>0.41923076923077041</v>
      </c>
      <c r="LE77" s="329">
        <f t="shared" ref="LE77" si="481">LE30</f>
        <v>0.31759906759906847</v>
      </c>
      <c r="LF77" s="328">
        <f t="shared" ref="LF77" si="482">LG77*LB10</f>
        <v>0.41923076923077041</v>
      </c>
      <c r="LG77" s="329">
        <f t="shared" ref="LG77" si="483">LG30</f>
        <v>0.31759906759906847</v>
      </c>
      <c r="LH77" s="328">
        <f t="shared" ref="LH77" si="484">LI77*LD10</f>
        <v>0.41923076923077041</v>
      </c>
      <c r="LI77" s="329">
        <f t="shared" ref="LI77" si="485">LI30</f>
        <v>0.31759906759906847</v>
      </c>
      <c r="LJ77" s="328">
        <f t="shared" ref="LJ77" si="486">LK77*LF10</f>
        <v>0.41923076923077041</v>
      </c>
      <c r="LK77" s="329">
        <f t="shared" ref="LK77" si="487">LK30</f>
        <v>0.31759906759906847</v>
      </c>
      <c r="LL77" s="328">
        <f t="shared" ref="LL77" si="488">LM77*LH10</f>
        <v>0.41923076923077041</v>
      </c>
      <c r="LM77" s="329">
        <f t="shared" ref="LM77" si="489">LM30</f>
        <v>0.31759906759906847</v>
      </c>
      <c r="LN77" s="328">
        <f t="shared" ref="LN77" si="490">LO77*LJ10</f>
        <v>0.41923076923077041</v>
      </c>
      <c r="LO77" s="329">
        <f t="shared" ref="LO77" si="491">LO30</f>
        <v>0.31759906759906847</v>
      </c>
      <c r="LP77" s="328">
        <f t="shared" ref="LP77" si="492">LQ77*LL10</f>
        <v>0.41923076923077041</v>
      </c>
      <c r="LQ77" s="329">
        <f t="shared" ref="LQ77" si="493">LQ30</f>
        <v>0.31759906759906847</v>
      </c>
      <c r="LR77" s="328">
        <f t="shared" ref="LR77" si="494">LS77*LN10</f>
        <v>0.41923076923077041</v>
      </c>
      <c r="LS77" s="329">
        <f t="shared" ref="LS77" si="495">LS30</f>
        <v>0.31759906759906847</v>
      </c>
      <c r="LT77" s="328">
        <f t="shared" ref="LT77" si="496">LU77*LP10</f>
        <v>0.41923076923077041</v>
      </c>
      <c r="LU77" s="329">
        <f t="shared" ref="LU77" si="497">LU30</f>
        <v>0.31759906759906847</v>
      </c>
      <c r="LV77" s="328">
        <f t="shared" ref="LV77" si="498">LW77*LR10</f>
        <v>0.41923076923077041</v>
      </c>
      <c r="LW77" s="329">
        <f t="shared" ref="LW77" si="499">LW30</f>
        <v>0.31759906759906847</v>
      </c>
      <c r="LX77" s="328">
        <f t="shared" ref="LX77" si="500">LY77*LT10</f>
        <v>0.41923076923077041</v>
      </c>
      <c r="LY77" s="329">
        <f t="shared" ref="LY77" si="501">LY30</f>
        <v>0.31759906759906847</v>
      </c>
      <c r="LZ77" s="328">
        <f t="shared" ref="LZ77" si="502">MA77*LV10</f>
        <v>0.41923076923077041</v>
      </c>
      <c r="MA77" s="329">
        <f t="shared" ref="MA77" si="503">MA30</f>
        <v>0.31759906759906847</v>
      </c>
      <c r="MB77" s="328">
        <f t="shared" ref="MB77" si="504">MC77*LX10</f>
        <v>0.41923076923077041</v>
      </c>
      <c r="MC77" s="329">
        <f t="shared" ref="MC77" si="505">MC30</f>
        <v>0.31759906759906847</v>
      </c>
      <c r="MD77" s="328">
        <f>ME77*LZ10</f>
        <v>0.41923076923077041</v>
      </c>
      <c r="ME77" s="329">
        <f>ME30</f>
        <v>0.31759906759906847</v>
      </c>
      <c r="MF77" s="328">
        <f>MG77*MB10</f>
        <v>1.32</v>
      </c>
      <c r="MG77" s="329">
        <v>1</v>
      </c>
      <c r="MH77" s="386"/>
      <c r="MI77" s="387"/>
      <c r="MJ77" s="388"/>
      <c r="MK77" s="387"/>
      <c r="ML77" s="388"/>
      <c r="MM77" s="387"/>
      <c r="MN77" s="386"/>
      <c r="MO77" s="387"/>
      <c r="MP77" s="388"/>
      <c r="MQ77" s="387"/>
      <c r="MR77" s="388"/>
      <c r="MS77" s="387"/>
      <c r="MT77" s="388"/>
      <c r="MU77" s="387"/>
      <c r="MV77" s="386"/>
      <c r="MW77" s="387"/>
      <c r="MX77" s="388"/>
      <c r="MY77" s="387"/>
      <c r="MZ77" s="388"/>
      <c r="NA77" s="387"/>
      <c r="NB77" s="388"/>
      <c r="NC77" s="387"/>
      <c r="ND77" s="388"/>
      <c r="NE77" s="387"/>
      <c r="NF77" s="388"/>
      <c r="NG77" s="387"/>
      <c r="NH77" s="388"/>
      <c r="NI77" s="387"/>
      <c r="NJ77" s="388"/>
      <c r="NK77" s="387"/>
      <c r="NL77" s="388"/>
      <c r="NM77" s="387"/>
      <c r="NN77" s="388"/>
      <c r="NO77" s="387"/>
      <c r="NP77" s="388"/>
      <c r="NQ77" s="387"/>
      <c r="NR77" s="388"/>
      <c r="NS77" s="387"/>
      <c r="NT77" s="388"/>
      <c r="NU77" s="387"/>
      <c r="NV77" s="388"/>
      <c r="NW77" s="387"/>
      <c r="NX77" s="388"/>
      <c r="NY77" s="387"/>
      <c r="NZ77" s="388"/>
      <c r="OA77" s="387"/>
      <c r="OB77" s="388"/>
      <c r="OC77" s="387"/>
      <c r="OD77" s="388"/>
      <c r="OE77" s="387">
        <f t="shared" ref="OE77:PG77" si="506">OE30</f>
        <v>0.16935483870967794</v>
      </c>
      <c r="OF77" s="388">
        <f t="shared" si="506"/>
        <v>0.12829912023460449</v>
      </c>
      <c r="OG77" s="387">
        <f t="shared" si="506"/>
        <v>0.16935483870967794</v>
      </c>
      <c r="OH77" s="388">
        <f t="shared" si="506"/>
        <v>0.12829912023460449</v>
      </c>
      <c r="OI77" s="387">
        <f t="shared" si="506"/>
        <v>0.16935483870967794</v>
      </c>
      <c r="OJ77" s="388">
        <f t="shared" si="506"/>
        <v>0.12829912023460449</v>
      </c>
      <c r="OK77" s="387">
        <f t="shared" si="506"/>
        <v>0.16935483870967794</v>
      </c>
      <c r="OL77" s="388">
        <f t="shared" si="506"/>
        <v>0.12829912023460449</v>
      </c>
      <c r="OM77" s="387">
        <f t="shared" si="506"/>
        <v>0.16935483870967794</v>
      </c>
      <c r="ON77" s="388">
        <f t="shared" si="506"/>
        <v>0.12829912023460449</v>
      </c>
      <c r="OO77" s="387">
        <f t="shared" si="506"/>
        <v>0.16935483870967794</v>
      </c>
      <c r="OP77" s="388">
        <f t="shared" si="506"/>
        <v>0.12829912023460449</v>
      </c>
      <c r="OQ77" s="387">
        <f t="shared" si="506"/>
        <v>0.16935483870967794</v>
      </c>
      <c r="OR77" s="388">
        <f t="shared" si="506"/>
        <v>0.12829912023460449</v>
      </c>
      <c r="OS77" s="387">
        <f t="shared" si="506"/>
        <v>0.16935483870967794</v>
      </c>
      <c r="OT77" s="388">
        <f t="shared" si="506"/>
        <v>0.12829912023460449</v>
      </c>
      <c r="OU77" s="387">
        <f t="shared" si="506"/>
        <v>0.16935483870967794</v>
      </c>
      <c r="OV77" s="388">
        <f t="shared" si="506"/>
        <v>0.12829912023460449</v>
      </c>
      <c r="OW77" s="387">
        <f t="shared" si="506"/>
        <v>0.16935483870967794</v>
      </c>
      <c r="OX77" s="388">
        <f t="shared" si="506"/>
        <v>0.12829912023460449</v>
      </c>
      <c r="OY77" s="387">
        <f t="shared" si="506"/>
        <v>0.16935483870967794</v>
      </c>
      <c r="OZ77" s="388">
        <f t="shared" si="506"/>
        <v>0.12829912023460449</v>
      </c>
      <c r="PA77" s="387">
        <f t="shared" si="506"/>
        <v>0.16935483870967794</v>
      </c>
      <c r="PB77" s="388">
        <f t="shared" si="506"/>
        <v>0.12829912023460449</v>
      </c>
      <c r="PC77" s="387">
        <f t="shared" si="506"/>
        <v>0.16935483870967794</v>
      </c>
      <c r="PD77" s="388">
        <f t="shared" si="506"/>
        <v>0.12829912023460449</v>
      </c>
      <c r="PE77" s="387">
        <f t="shared" si="506"/>
        <v>0.16935483870967794</v>
      </c>
      <c r="PF77" s="388">
        <f t="shared" si="506"/>
        <v>0.12829912023460449</v>
      </c>
      <c r="PG77" s="387">
        <f t="shared" si="506"/>
        <v>0.16935483870967794</v>
      </c>
      <c r="PH77" s="388">
        <f>PH30</f>
        <v>0.12829912023460449</v>
      </c>
      <c r="PI77" s="387"/>
      <c r="PJ77" s="388">
        <f t="shared" ref="PJ77" si="507">PJ30*0.5</f>
        <v>0</v>
      </c>
      <c r="PK77" s="387"/>
      <c r="PL77" s="388">
        <f t="shared" ref="PL77" si="508">PL30*0.5</f>
        <v>0</v>
      </c>
      <c r="PM77" s="387">
        <f>PN77*PM10</f>
        <v>0.92399999999999993</v>
      </c>
      <c r="PN77" s="388">
        <v>0.7</v>
      </c>
      <c r="PO77" s="387">
        <f>PP77*PO10</f>
        <v>2.31</v>
      </c>
      <c r="PP77" s="388">
        <v>1.75</v>
      </c>
      <c r="PQ77" s="390"/>
      <c r="PR77" s="391"/>
      <c r="PS77" s="392"/>
      <c r="PT77" s="391"/>
      <c r="PU77" s="392"/>
      <c r="PV77" s="391"/>
      <c r="PW77" s="392">
        <f>PW56</f>
        <v>0.8</v>
      </c>
      <c r="PX77" s="391"/>
      <c r="PY77" s="392">
        <f>PY56</f>
        <v>0.8</v>
      </c>
      <c r="PZ77" s="391"/>
      <c r="QA77" s="392">
        <f>QA56</f>
        <v>2.2999999999999998</v>
      </c>
      <c r="QB77" s="391"/>
      <c r="QC77" s="392">
        <f>QC56</f>
        <v>2.2999999999999998</v>
      </c>
      <c r="QD77" s="390"/>
      <c r="QE77" s="390"/>
      <c r="QF77" s="391"/>
      <c r="QG77" s="392"/>
      <c r="QH77" s="391"/>
      <c r="QI77" s="392"/>
      <c r="QJ77" s="391"/>
      <c r="QK77" s="393">
        <f>QK56</f>
        <v>0.8</v>
      </c>
      <c r="QL77" s="391"/>
      <c r="QM77" s="393">
        <f>QM56</f>
        <v>0.8</v>
      </c>
      <c r="QN77" s="391"/>
      <c r="QO77" s="393">
        <f>QO56</f>
        <v>0</v>
      </c>
      <c r="QP77" s="391"/>
      <c r="QQ77" s="393">
        <f>QQ56</f>
        <v>0</v>
      </c>
    </row>
    <row r="78" spans="1:459" x14ac:dyDescent="0.45">
      <c r="A78" s="871"/>
      <c r="B78" s="394" t="s">
        <v>381</v>
      </c>
      <c r="C78" s="395"/>
      <c r="D78" s="396" t="s">
        <v>382</v>
      </c>
      <c r="E78" s="219"/>
      <c r="F78" s="348"/>
      <c r="G78" s="381"/>
      <c r="H78" s="348"/>
      <c r="I78" s="381"/>
      <c r="J78" s="348"/>
      <c r="K78" s="381"/>
      <c r="L78" s="348"/>
      <c r="M78" s="381"/>
      <c r="N78" s="348"/>
      <c r="O78" s="381"/>
      <c r="P78" s="348"/>
      <c r="Q78" s="397">
        <f>Q79*Q69</f>
        <v>0.57457083474955728</v>
      </c>
      <c r="R78" s="348"/>
      <c r="S78" s="381"/>
      <c r="T78" s="348"/>
      <c r="U78" s="381"/>
      <c r="V78" s="348"/>
      <c r="W78" s="381"/>
      <c r="X78" s="348"/>
      <c r="Y78" s="381"/>
      <c r="Z78" s="348"/>
      <c r="AA78" s="381"/>
      <c r="AB78" s="348"/>
      <c r="AC78" s="397">
        <f>AC79*AC69</f>
        <v>0.72065671243935892</v>
      </c>
      <c r="AD78" s="348"/>
      <c r="AE78" s="381">
        <f>AE79*AE69</f>
        <v>0.70500000000000007</v>
      </c>
      <c r="AF78" s="348"/>
      <c r="AG78" s="381">
        <f>AG79*AG69</f>
        <v>0.70500000000000007</v>
      </c>
      <c r="AH78" s="348"/>
      <c r="AI78" s="381">
        <f>AI79*AI69</f>
        <v>0.70500000000000007</v>
      </c>
      <c r="AJ78" s="348"/>
      <c r="AK78" s="398">
        <f t="shared" ref="AK78:BK78" si="509">SUM(AK74:AK77)</f>
        <v>0.68300653594771288</v>
      </c>
      <c r="AL78" s="348"/>
      <c r="AM78" s="398">
        <f t="shared" si="509"/>
        <v>0.68300653594771288</v>
      </c>
      <c r="AN78" s="348"/>
      <c r="AO78" s="398">
        <f t="shared" si="509"/>
        <v>0.68300653594771288</v>
      </c>
      <c r="AP78" s="348"/>
      <c r="AQ78" s="398">
        <f t="shared" si="509"/>
        <v>0.68300653594771288</v>
      </c>
      <c r="AR78" s="348"/>
      <c r="AS78" s="398">
        <f t="shared" si="509"/>
        <v>0.68300653594771288</v>
      </c>
      <c r="AT78" s="348"/>
      <c r="AU78" s="398">
        <f t="shared" si="509"/>
        <v>0.68300653594771288</v>
      </c>
      <c r="AV78" s="348"/>
      <c r="AW78" s="398">
        <f t="shared" si="509"/>
        <v>0.68300653594771288</v>
      </c>
      <c r="AX78" s="348"/>
      <c r="AY78" s="398">
        <f t="shared" si="509"/>
        <v>0.68300653594771288</v>
      </c>
      <c r="AZ78" s="348"/>
      <c r="BA78" s="398">
        <f t="shared" si="509"/>
        <v>0.68300653594771288</v>
      </c>
      <c r="BB78" s="348"/>
      <c r="BC78" s="398">
        <f t="shared" si="509"/>
        <v>0.68300653594771288</v>
      </c>
      <c r="BD78" s="348"/>
      <c r="BE78" s="398">
        <f t="shared" si="509"/>
        <v>0.68300653594771288</v>
      </c>
      <c r="BF78" s="348"/>
      <c r="BG78" s="398">
        <f t="shared" si="509"/>
        <v>0.68300653594771288</v>
      </c>
      <c r="BH78" s="348"/>
      <c r="BI78" s="398">
        <f t="shared" si="509"/>
        <v>0.68300653594771288</v>
      </c>
      <c r="BJ78" s="348"/>
      <c r="BK78" s="398">
        <f t="shared" si="509"/>
        <v>0.68300653594771288</v>
      </c>
      <c r="BL78" s="348"/>
      <c r="BM78" s="398">
        <f t="shared" ref="BM78" si="510">SUM(BM74:BM77)</f>
        <v>0.68300653594771288</v>
      </c>
      <c r="BN78" s="348"/>
      <c r="BO78" s="398">
        <f t="shared" ref="BO78" si="511">SUM(BO74:BO77)</f>
        <v>0.68300653594771288</v>
      </c>
      <c r="BP78" s="348"/>
      <c r="BQ78" s="398">
        <f t="shared" ref="BQ78" si="512">SUM(BQ74:BQ77)</f>
        <v>0.68300653594771288</v>
      </c>
      <c r="BR78" s="348"/>
      <c r="BS78" s="398">
        <f t="shared" ref="BS78" si="513">SUM(BS74:BS77)</f>
        <v>0.68300653594771288</v>
      </c>
      <c r="BT78" s="348"/>
      <c r="BU78" s="398">
        <f t="shared" ref="BU78" si="514">SUM(BU74:BU77)</f>
        <v>0.68300653594771288</v>
      </c>
      <c r="BV78" s="348"/>
      <c r="BW78" s="398">
        <f t="shared" ref="BW78" si="515">SUM(BW74:BW77)</f>
        <v>0.68300653594771288</v>
      </c>
      <c r="BX78" s="348"/>
      <c r="BY78" s="398">
        <f t="shared" ref="BY78" si="516">SUM(BY74:BY77)</f>
        <v>0.68300653594771288</v>
      </c>
      <c r="BZ78" s="348"/>
      <c r="CA78" s="398">
        <f t="shared" ref="CA78" si="517">SUM(CA74:CA77)</f>
        <v>0.68300653594771288</v>
      </c>
      <c r="CB78" s="348"/>
      <c r="CC78" s="398">
        <f t="shared" ref="CC78" si="518">SUM(CC74:CC77)</f>
        <v>0.68300653594771288</v>
      </c>
      <c r="CD78" s="348"/>
      <c r="CE78" s="398">
        <f t="shared" ref="CE78" si="519">SUM(CE74:CE77)</f>
        <v>0.68300653594771288</v>
      </c>
      <c r="CF78" s="348"/>
      <c r="CG78" s="398">
        <f t="shared" ref="CG78" si="520">SUM(CG74:CG77)</f>
        <v>0.68300653594771288</v>
      </c>
      <c r="CH78" s="348"/>
      <c r="CI78" s="398">
        <f t="shared" ref="CI78" si="521">SUM(CI74:CI77)</f>
        <v>0.68300653594771288</v>
      </c>
      <c r="CJ78" s="348"/>
      <c r="CK78" s="398">
        <f t="shared" ref="CK78" si="522">SUM(CK74:CK77)</f>
        <v>0.68300653594771288</v>
      </c>
      <c r="CL78" s="348"/>
      <c r="CM78" s="398">
        <f t="shared" ref="CM78" si="523">SUM(CM74:CM77)</f>
        <v>0.68300653594771288</v>
      </c>
      <c r="CN78" s="348"/>
      <c r="CO78" s="398">
        <f t="shared" ref="CO78" si="524">SUM(CO74:CO77)</f>
        <v>1.6200000000000003</v>
      </c>
      <c r="CP78" s="348"/>
      <c r="CQ78" s="398">
        <f>SUM(CQ74:CQ77)</f>
        <v>1.06</v>
      </c>
      <c r="CR78" s="348"/>
      <c r="CS78" s="398">
        <f>SUM(CS74:CS77)</f>
        <v>0.79166666666666652</v>
      </c>
      <c r="CT78" s="323"/>
      <c r="CU78" s="348"/>
      <c r="CV78" s="397">
        <f>CV79*CV69</f>
        <v>0.84879782406184601</v>
      </c>
      <c r="CW78" s="348"/>
      <c r="CX78" s="381"/>
      <c r="CY78" s="348"/>
      <c r="CZ78" s="381"/>
      <c r="DA78" s="348"/>
      <c r="DB78" s="397">
        <f>DB79*DB69</f>
        <v>1.046286782504551</v>
      </c>
      <c r="DC78" s="348"/>
      <c r="DD78" s="381">
        <f>DD79*DD69</f>
        <v>1.04</v>
      </c>
      <c r="DE78" s="348"/>
      <c r="DF78" s="381">
        <f>DF79*DF69</f>
        <v>1.04</v>
      </c>
      <c r="DG78" s="348"/>
      <c r="DH78" s="381">
        <f>DH79*DH69</f>
        <v>1.04</v>
      </c>
      <c r="DI78" s="348"/>
      <c r="DJ78" s="381">
        <f>DJ79*DJ69</f>
        <v>1.04</v>
      </c>
      <c r="DK78" s="348"/>
      <c r="DL78" s="381">
        <f>DL79*DL69</f>
        <v>1.04</v>
      </c>
      <c r="DM78" s="348"/>
      <c r="DN78" s="381">
        <f>DN79*DN69</f>
        <v>1.04</v>
      </c>
      <c r="DO78" s="348"/>
      <c r="DP78" s="381">
        <f>DP79*DP69</f>
        <v>1.04</v>
      </c>
      <c r="DQ78" s="348"/>
      <c r="DR78" s="398">
        <f>DR79*DR69</f>
        <v>1.04</v>
      </c>
      <c r="DS78" s="348"/>
      <c r="DT78" s="398">
        <f>DP78</f>
        <v>1.04</v>
      </c>
      <c r="DU78" s="348"/>
      <c r="DV78" s="398">
        <f>DR78</f>
        <v>1.04</v>
      </c>
      <c r="DW78" s="348"/>
      <c r="DX78" s="398">
        <f>DV78</f>
        <v>1.04</v>
      </c>
      <c r="DY78" s="348"/>
      <c r="DZ78" s="398">
        <f>DX78</f>
        <v>1.04</v>
      </c>
      <c r="EA78" s="348"/>
      <c r="EB78" s="398">
        <f>DX78</f>
        <v>1.04</v>
      </c>
      <c r="EC78" s="348"/>
      <c r="ED78" s="398">
        <f>DZ78</f>
        <v>1.04</v>
      </c>
      <c r="EE78" s="348"/>
      <c r="EF78" s="398">
        <f>EB78</f>
        <v>1.04</v>
      </c>
      <c r="EG78" s="348"/>
      <c r="EH78" s="398">
        <f>ED78</f>
        <v>1.04</v>
      </c>
      <c r="EI78" s="348"/>
      <c r="EJ78" s="398">
        <f>EF78</f>
        <v>1.04</v>
      </c>
      <c r="EK78" s="348"/>
      <c r="EL78" s="398">
        <f t="shared" ref="EL78" si="525">SUM(EL74:EL77)</f>
        <v>0.5</v>
      </c>
      <c r="EM78" s="348"/>
      <c r="EN78" s="398">
        <f t="shared" ref="EN78" si="526">SUM(EN74:EN77)</f>
        <v>0.5</v>
      </c>
      <c r="EO78" s="348"/>
      <c r="EP78" s="398">
        <f t="shared" ref="EP78" si="527">SUM(EP74:EP77)</f>
        <v>0.5</v>
      </c>
      <c r="EQ78" s="348"/>
      <c r="ER78" s="398">
        <f t="shared" ref="ER78" si="528">SUM(ER74:ER77)</f>
        <v>0.5</v>
      </c>
      <c r="ES78" s="348"/>
      <c r="ET78" s="398">
        <f t="shared" ref="ET78" si="529">SUM(ET74:ET77)</f>
        <v>0.5</v>
      </c>
      <c r="EU78" s="348"/>
      <c r="EV78" s="398">
        <f t="shared" ref="EV78" si="530">SUM(EV74:EV77)</f>
        <v>0.5</v>
      </c>
      <c r="EW78" s="348"/>
      <c r="EX78" s="398">
        <f t="shared" ref="EX78" si="531">SUM(EX74:EX77)</f>
        <v>0.5</v>
      </c>
      <c r="EY78" s="348"/>
      <c r="EZ78" s="398">
        <f t="shared" ref="EZ78" si="532">SUM(EZ74:EZ77)</f>
        <v>0.5</v>
      </c>
      <c r="FA78" s="348"/>
      <c r="FB78" s="398">
        <f t="shared" ref="FB78" si="533">SUM(FB74:FB77)</f>
        <v>0.5</v>
      </c>
      <c r="FC78" s="348"/>
      <c r="FD78" s="398">
        <f t="shared" ref="FD78" si="534">SUM(FD74:FD77)</f>
        <v>0.5</v>
      </c>
      <c r="FE78" s="348"/>
      <c r="FF78" s="398">
        <f t="shared" ref="FF78" si="535">SUM(FF74:FF77)</f>
        <v>0.5</v>
      </c>
      <c r="FG78" s="348"/>
      <c r="FH78" s="398">
        <f t="shared" ref="FH78" si="536">SUM(FH74:FH77)</f>
        <v>0.5</v>
      </c>
      <c r="FI78" s="348"/>
      <c r="FJ78" s="398">
        <f t="shared" ref="FJ78" si="537">SUM(FJ74:FJ77)</f>
        <v>0.5</v>
      </c>
      <c r="FK78" s="348"/>
      <c r="FL78" s="398">
        <f t="shared" ref="FL78" si="538">SUM(FL74:FL77)</f>
        <v>0.5</v>
      </c>
      <c r="FM78" s="348"/>
      <c r="FN78" s="398">
        <f t="shared" ref="FN78" si="539">SUM(FN74:FN77)</f>
        <v>0.5</v>
      </c>
      <c r="FO78" s="348"/>
      <c r="FP78" s="398">
        <f>SUM(FP74:FP77)</f>
        <v>0.89432789432789428</v>
      </c>
      <c r="FQ78" s="219"/>
      <c r="FR78" s="348"/>
      <c r="FS78" s="381"/>
      <c r="FT78" s="348"/>
      <c r="FU78" s="381"/>
      <c r="FV78" s="348"/>
      <c r="FW78" s="397">
        <f>FW79*FW69</f>
        <v>0.57457083474955728</v>
      </c>
      <c r="FX78" s="348"/>
      <c r="FY78" s="381"/>
      <c r="FZ78" s="348"/>
      <c r="GA78" s="381"/>
      <c r="GB78" s="348"/>
      <c r="GC78" s="381"/>
      <c r="GD78" s="348"/>
      <c r="GE78" s="381"/>
      <c r="GF78" s="348"/>
      <c r="GG78" s="381"/>
      <c r="GH78" s="348"/>
      <c r="GI78" s="397">
        <f>GI79*GI69</f>
        <v>0.72065671243935892</v>
      </c>
      <c r="GJ78" s="348"/>
      <c r="GK78" s="381">
        <f>GK79*GK69</f>
        <v>0.79</v>
      </c>
      <c r="GL78" s="348"/>
      <c r="GM78" s="381">
        <f>GM79*GM69</f>
        <v>0.79</v>
      </c>
      <c r="GN78" s="348"/>
      <c r="GO78" s="381">
        <f>GO79*GO69</f>
        <v>0.79</v>
      </c>
      <c r="GP78" s="348"/>
      <c r="GQ78" s="381">
        <f>GQ79*GQ69</f>
        <v>0.79</v>
      </c>
      <c r="GR78" s="348"/>
      <c r="GS78" s="381">
        <f>GS79*GS69</f>
        <v>0.79</v>
      </c>
      <c r="GT78" s="348"/>
      <c r="GU78" s="381">
        <f>GU79*GU69</f>
        <v>0.79</v>
      </c>
      <c r="GV78" s="348"/>
      <c r="GW78" s="381">
        <f>GW79*GW69</f>
        <v>0.79</v>
      </c>
      <c r="GX78" s="348"/>
      <c r="GY78" s="398">
        <f>GW78</f>
        <v>0.79</v>
      </c>
      <c r="GZ78" s="348"/>
      <c r="HA78" s="398">
        <f>GK78</f>
        <v>0.79</v>
      </c>
      <c r="HB78" s="348"/>
      <c r="HC78" s="398">
        <f>HC79*HC69</f>
        <v>0.82500000000000007</v>
      </c>
      <c r="HD78" s="348"/>
      <c r="HE78" s="398">
        <f>HE79*HE69</f>
        <v>0.82500000000000007</v>
      </c>
      <c r="HF78" s="348"/>
      <c r="HG78" s="398">
        <f>HG79*HG69</f>
        <v>0.82500000000000007</v>
      </c>
      <c r="HH78" s="348"/>
      <c r="HI78" s="398">
        <f>HI79*HI69</f>
        <v>0.82500000000000007</v>
      </c>
      <c r="HJ78" s="348"/>
      <c r="HK78" s="398">
        <f>HK79*HK69</f>
        <v>0.82500000000000007</v>
      </c>
      <c r="HL78" s="348"/>
      <c r="HM78" s="398">
        <f>HM79*HM69</f>
        <v>0.82500000000000007</v>
      </c>
      <c r="HN78" s="348"/>
      <c r="HO78" s="398">
        <f>HO79*HO69</f>
        <v>0.82500000000000007</v>
      </c>
      <c r="HP78" s="348"/>
      <c r="HQ78" s="398">
        <f>HQ79*HQ69</f>
        <v>0.82500000000000007</v>
      </c>
      <c r="HR78" s="348"/>
      <c r="HS78" s="398">
        <f t="shared" ref="HS78" si="540">SUM(HS74:HS77)</f>
        <v>0.5</v>
      </c>
      <c r="HT78" s="348"/>
      <c r="HU78" s="398">
        <f t="shared" ref="HU78" si="541">SUM(HU74:HU77)</f>
        <v>0.5</v>
      </c>
      <c r="HV78" s="348"/>
      <c r="HW78" s="398">
        <f t="shared" ref="HW78" si="542">SUM(HW74:HW77)</f>
        <v>0.5</v>
      </c>
      <c r="HX78" s="348"/>
      <c r="HY78" s="398">
        <f t="shared" ref="HY78" si="543">SUM(HY74:HY77)</f>
        <v>0.5</v>
      </c>
      <c r="HZ78" s="348"/>
      <c r="IA78" s="398">
        <f t="shared" ref="IA78" si="544">SUM(IA74:IA77)</f>
        <v>0.5</v>
      </c>
      <c r="IB78" s="348"/>
      <c r="IC78" s="398">
        <f t="shared" ref="IC78" si="545">SUM(IC74:IC77)</f>
        <v>0.5</v>
      </c>
      <c r="ID78" s="348"/>
      <c r="IE78" s="398">
        <f t="shared" ref="IE78" si="546">SUM(IE74:IE77)</f>
        <v>0.5</v>
      </c>
      <c r="IF78" s="348"/>
      <c r="IG78" s="398">
        <f t="shared" ref="IG78" si="547">SUM(IG74:IG77)</f>
        <v>0.5</v>
      </c>
      <c r="IH78" s="348"/>
      <c r="II78" s="398">
        <f t="shared" ref="II78" si="548">SUM(II74:II77)</f>
        <v>0.5</v>
      </c>
      <c r="IJ78" s="348"/>
      <c r="IK78" s="398">
        <f t="shared" ref="IK78" si="549">SUM(IK74:IK77)</f>
        <v>0.5</v>
      </c>
      <c r="IL78" s="348"/>
      <c r="IM78" s="398">
        <f t="shared" ref="IM78" si="550">SUM(IM74:IM77)</f>
        <v>0.5</v>
      </c>
      <c r="IN78" s="348"/>
      <c r="IO78" s="398">
        <f t="shared" ref="IO78" si="551">SUM(IO74:IO77)</f>
        <v>0.5</v>
      </c>
      <c r="IP78" s="348"/>
      <c r="IQ78" s="398">
        <f t="shared" ref="IQ78" si="552">SUM(IQ74:IQ77)</f>
        <v>0.5</v>
      </c>
      <c r="IR78" s="348"/>
      <c r="IS78" s="398">
        <f t="shared" ref="IS78" si="553">SUM(IS74:IS77)</f>
        <v>0.5</v>
      </c>
      <c r="IT78" s="348"/>
      <c r="IU78" s="398">
        <f t="shared" ref="IU78" si="554">SUM(IU74:IU77)</f>
        <v>0.5</v>
      </c>
      <c r="IV78" s="348"/>
      <c r="IW78" s="398">
        <f t="shared" ref="IW78" si="555">SUM(IW74:IW77)</f>
        <v>1.422865013774105</v>
      </c>
      <c r="IX78" s="348"/>
      <c r="IY78" s="398">
        <f t="shared" ref="IY78" si="556">SUM(IY74:IY77)</f>
        <v>1.422865013774105</v>
      </c>
      <c r="IZ78" s="219"/>
      <c r="JA78" s="348"/>
      <c r="JB78" s="398">
        <v>0.4</v>
      </c>
      <c r="JC78" s="348"/>
      <c r="JD78" s="398">
        <f>JD79*JD69</f>
        <v>0.82500000000000007</v>
      </c>
      <c r="JE78" s="219"/>
      <c r="JF78" s="348"/>
      <c r="JG78" s="381"/>
      <c r="JH78" s="348"/>
      <c r="JI78" s="381"/>
      <c r="JJ78" s="348"/>
      <c r="JK78" s="397">
        <f>JK79*JK69</f>
        <v>0.52233712249959763</v>
      </c>
      <c r="JL78" s="348"/>
      <c r="JM78" s="381"/>
      <c r="JN78" s="348"/>
      <c r="JO78" s="381"/>
      <c r="JP78" s="348"/>
      <c r="JQ78" s="381"/>
      <c r="JR78" s="348"/>
      <c r="JS78" s="397">
        <f>JS79*JS69</f>
        <v>0.6726129316100683</v>
      </c>
      <c r="JT78" s="348"/>
      <c r="JU78" s="381">
        <f>JU79*JU69</f>
        <v>0.63</v>
      </c>
      <c r="JV78" s="348"/>
      <c r="JW78" s="381">
        <f>JW79*JW69</f>
        <v>0.63</v>
      </c>
      <c r="JX78" s="348"/>
      <c r="JY78" s="381">
        <f>JY79*JY69</f>
        <v>0.63</v>
      </c>
      <c r="JZ78" s="348"/>
      <c r="KA78" s="381">
        <f>KA79*KA69</f>
        <v>0.63</v>
      </c>
      <c r="KB78" s="348"/>
      <c r="KC78" s="381">
        <f>KC79*KC69</f>
        <v>0.63</v>
      </c>
      <c r="KD78" s="348"/>
      <c r="KE78" s="381">
        <f>KE79*KE69</f>
        <v>0.63</v>
      </c>
      <c r="KF78" s="348"/>
      <c r="KG78" s="381">
        <f>KG79*KG69</f>
        <v>0.63</v>
      </c>
      <c r="KH78" s="348"/>
      <c r="KI78" s="398">
        <f>KG78</f>
        <v>0.63</v>
      </c>
      <c r="KJ78" s="348"/>
      <c r="KK78" s="398">
        <f>JU78</f>
        <v>0.63</v>
      </c>
      <c r="KL78" s="348"/>
      <c r="KM78" s="398">
        <f>JW78</f>
        <v>0.63</v>
      </c>
      <c r="KN78" s="348"/>
      <c r="KO78" s="398">
        <f>JY78</f>
        <v>0.63</v>
      </c>
      <c r="KP78" s="348"/>
      <c r="KQ78" s="398">
        <f>KA78</f>
        <v>0.63</v>
      </c>
      <c r="KR78" s="348"/>
      <c r="KS78" s="398">
        <f>KC78</f>
        <v>0.63</v>
      </c>
      <c r="KT78" s="348"/>
      <c r="KU78" s="398">
        <f>KE78</f>
        <v>0.63</v>
      </c>
      <c r="KV78" s="348"/>
      <c r="KW78" s="398">
        <f>KG78</f>
        <v>0.63</v>
      </c>
      <c r="KX78" s="348"/>
      <c r="KY78" s="398">
        <f>KI78</f>
        <v>0.63</v>
      </c>
      <c r="KZ78" s="348"/>
      <c r="LA78" s="398">
        <f>KK78</f>
        <v>0.63</v>
      </c>
      <c r="LB78" s="348"/>
      <c r="LC78" s="398">
        <f>SUM(LC74:LC77)</f>
        <v>0.81759906759906853</v>
      </c>
      <c r="LD78" s="348"/>
      <c r="LE78" s="398">
        <f t="shared" ref="LE78" si="557">SUM(LE74:LE77)</f>
        <v>0.81759906759906853</v>
      </c>
      <c r="LF78" s="348"/>
      <c r="LG78" s="398">
        <f t="shared" ref="LG78" si="558">SUM(LG74:LG77)</f>
        <v>0.81759906759906853</v>
      </c>
      <c r="LH78" s="348"/>
      <c r="LI78" s="398">
        <f t="shared" ref="LI78" si="559">SUM(LI74:LI77)</f>
        <v>0.81759906759906853</v>
      </c>
      <c r="LJ78" s="348"/>
      <c r="LK78" s="398">
        <f t="shared" ref="LK78" si="560">SUM(LK74:LK77)</f>
        <v>0.81759906759906853</v>
      </c>
      <c r="LL78" s="348"/>
      <c r="LM78" s="398">
        <f t="shared" ref="LM78" si="561">SUM(LM74:LM77)</f>
        <v>0.81759906759906853</v>
      </c>
      <c r="LN78" s="348"/>
      <c r="LO78" s="398">
        <f t="shared" ref="LO78" si="562">SUM(LO74:LO77)</f>
        <v>0.81759906759906853</v>
      </c>
      <c r="LP78" s="348"/>
      <c r="LQ78" s="398">
        <f t="shared" ref="LQ78" si="563">SUM(LQ74:LQ77)</f>
        <v>0.81759906759906853</v>
      </c>
      <c r="LR78" s="348"/>
      <c r="LS78" s="398">
        <f t="shared" ref="LS78" si="564">SUM(LS74:LS77)</f>
        <v>0.81759906759906853</v>
      </c>
      <c r="LT78" s="348"/>
      <c r="LU78" s="398">
        <f t="shared" ref="LU78" si="565">SUM(LU74:LU77)</f>
        <v>0.81759906759906853</v>
      </c>
      <c r="LV78" s="348"/>
      <c r="LW78" s="398">
        <f t="shared" ref="LW78" si="566">SUM(LW74:LW77)</f>
        <v>0.81759906759906853</v>
      </c>
      <c r="LX78" s="348"/>
      <c r="LY78" s="398">
        <f t="shared" ref="LY78" si="567">SUM(LY74:LY77)</f>
        <v>0.81759906759906853</v>
      </c>
      <c r="LZ78" s="348"/>
      <c r="MA78" s="398">
        <f t="shared" ref="MA78" si="568">SUM(MA74:MA77)</f>
        <v>0.81759906759906853</v>
      </c>
      <c r="MB78" s="348"/>
      <c r="MC78" s="398">
        <f t="shared" ref="MC78" si="569">SUM(MC74:MC77)</f>
        <v>0.81759906759906853</v>
      </c>
      <c r="MD78" s="348"/>
      <c r="ME78" s="398">
        <f t="shared" ref="ME78" si="570">SUM(ME74:ME77)</f>
        <v>0.81759906759906853</v>
      </c>
      <c r="MF78" s="348"/>
      <c r="MG78" s="398">
        <f t="shared" ref="MG78" si="571">SUM(MG74:MG77)</f>
        <v>1.5</v>
      </c>
      <c r="MH78" s="219"/>
      <c r="MI78" s="348"/>
      <c r="MJ78" s="381"/>
      <c r="MK78" s="348"/>
      <c r="ML78" s="381"/>
      <c r="MM78" s="348"/>
      <c r="MN78" s="397">
        <f>MN79*MN69</f>
        <v>0.47010341024963787</v>
      </c>
      <c r="MO78" s="348"/>
      <c r="MP78" s="381"/>
      <c r="MQ78" s="348"/>
      <c r="MR78" s="381"/>
      <c r="MS78" s="348"/>
      <c r="MT78" s="381"/>
      <c r="MU78" s="348"/>
      <c r="MV78" s="397">
        <f>MV79*MV69</f>
        <v>0.5978781614311719</v>
      </c>
      <c r="MW78" s="348"/>
      <c r="MX78" s="381">
        <f>MX79*MX69</f>
        <v>0.63</v>
      </c>
      <c r="MY78" s="348"/>
      <c r="MZ78" s="381">
        <f>MZ79*MZ69</f>
        <v>0.63</v>
      </c>
      <c r="NA78" s="348"/>
      <c r="NB78" s="381">
        <f>NB79*NB69</f>
        <v>0.63</v>
      </c>
      <c r="NC78" s="348"/>
      <c r="ND78" s="381">
        <f>ND79*ND69</f>
        <v>0.63</v>
      </c>
      <c r="NE78" s="348"/>
      <c r="NF78" s="381">
        <f>NF79*NF69</f>
        <v>0.63</v>
      </c>
      <c r="NG78" s="348"/>
      <c r="NH78" s="381">
        <f>NH79*NH69</f>
        <v>0.63</v>
      </c>
      <c r="NI78" s="348"/>
      <c r="NJ78" s="381">
        <f>NJ79*NJ69</f>
        <v>0.63</v>
      </c>
      <c r="NK78" s="348"/>
      <c r="NL78" s="398">
        <f>NH78</f>
        <v>0.63</v>
      </c>
      <c r="NM78" s="348"/>
      <c r="NN78" s="398">
        <f>NJ78</f>
        <v>0.63</v>
      </c>
      <c r="NO78" s="348"/>
      <c r="NP78" s="398">
        <f>NL78</f>
        <v>0.63</v>
      </c>
      <c r="NQ78" s="348"/>
      <c r="NR78" s="398">
        <f>NN78</f>
        <v>0.63</v>
      </c>
      <c r="NS78" s="348"/>
      <c r="NT78" s="398">
        <f>NP78</f>
        <v>0.63</v>
      </c>
      <c r="NU78" s="348"/>
      <c r="NV78" s="398">
        <f>NR78</f>
        <v>0.63</v>
      </c>
      <c r="NW78" s="348"/>
      <c r="NX78" s="398">
        <f>NT78</f>
        <v>0.63</v>
      </c>
      <c r="NY78" s="348"/>
      <c r="NZ78" s="398">
        <f>NV78</f>
        <v>0.63</v>
      </c>
      <c r="OA78" s="348"/>
      <c r="OB78" s="398">
        <f>NX78</f>
        <v>0.63</v>
      </c>
      <c r="OC78" s="348"/>
      <c r="OD78" s="398">
        <f>NZ78</f>
        <v>0.63</v>
      </c>
      <c r="OE78" s="348"/>
      <c r="OF78" s="398">
        <f t="shared" ref="OF78" si="572">SUM(OF74:OF77)</f>
        <v>0.62829912023460444</v>
      </c>
      <c r="OG78" s="348"/>
      <c r="OH78" s="398">
        <f t="shared" ref="OH78" si="573">SUM(OH74:OH77)</f>
        <v>0.62829912023460444</v>
      </c>
      <c r="OI78" s="348"/>
      <c r="OJ78" s="398">
        <f t="shared" ref="OJ78" si="574">SUM(OJ74:OJ77)</f>
        <v>0.62829912023460444</v>
      </c>
      <c r="OK78" s="348"/>
      <c r="OL78" s="398">
        <f t="shared" ref="OL78" si="575">SUM(OL74:OL77)</f>
        <v>0.62829912023460444</v>
      </c>
      <c r="OM78" s="348"/>
      <c r="ON78" s="398">
        <f t="shared" ref="ON78" si="576">SUM(ON74:ON77)</f>
        <v>0.62829912023460444</v>
      </c>
      <c r="OO78" s="348"/>
      <c r="OP78" s="398">
        <f t="shared" ref="OP78" si="577">SUM(OP74:OP77)</f>
        <v>0.62829912023460444</v>
      </c>
      <c r="OQ78" s="348"/>
      <c r="OR78" s="398">
        <f t="shared" ref="OR78" si="578">SUM(OR74:OR77)</f>
        <v>0.62829912023460444</v>
      </c>
      <c r="OS78" s="348"/>
      <c r="OT78" s="398">
        <f t="shared" ref="OT78" si="579">SUM(OT74:OT77)</f>
        <v>0.62829912023460444</v>
      </c>
      <c r="OU78" s="348"/>
      <c r="OV78" s="398">
        <f t="shared" ref="OV78" si="580">SUM(OV74:OV77)</f>
        <v>0.62829912023460444</v>
      </c>
      <c r="OW78" s="348"/>
      <c r="OX78" s="398">
        <f t="shared" ref="OX78" si="581">SUM(OX74:OX77)</f>
        <v>0.62829912023460444</v>
      </c>
      <c r="OY78" s="348"/>
      <c r="OZ78" s="398">
        <f t="shared" ref="OZ78" si="582">SUM(OZ74:OZ77)</f>
        <v>0.62829912023460444</v>
      </c>
      <c r="PA78" s="348"/>
      <c r="PB78" s="398">
        <f t="shared" ref="PB78" si="583">SUM(PB74:PB77)</f>
        <v>0.62829912023460444</v>
      </c>
      <c r="PC78" s="348"/>
      <c r="PD78" s="398">
        <f t="shared" ref="PD78" si="584">SUM(PD74:PD77)</f>
        <v>0.62829912023460444</v>
      </c>
      <c r="PE78" s="348"/>
      <c r="PF78" s="398">
        <f t="shared" ref="PF78" si="585">SUM(PF74:PF77)</f>
        <v>0.62829912023460444</v>
      </c>
      <c r="PG78" s="348"/>
      <c r="PH78" s="398">
        <f t="shared" ref="PH78" si="586">SUM(PH74:PH77)</f>
        <v>0.62829912023460444</v>
      </c>
      <c r="PI78" s="348"/>
      <c r="PJ78" s="398">
        <f t="shared" ref="PJ78" si="587">SUM(PJ74:PJ77)</f>
        <v>0.5</v>
      </c>
      <c r="PK78" s="348"/>
      <c r="PL78" s="398">
        <f t="shared" ref="PL78" si="588">SUM(PL74:PL77)</f>
        <v>0.5</v>
      </c>
      <c r="PM78" s="348">
        <f>PN78*PM10</f>
        <v>1.5840000000000001</v>
      </c>
      <c r="PN78" s="398">
        <v>1.2</v>
      </c>
      <c r="PO78" s="348">
        <f>PP78*PO10</f>
        <v>2.97</v>
      </c>
      <c r="PP78" s="398">
        <f t="shared" ref="PP78" si="589">SUM(PP74:PP77)</f>
        <v>2.25</v>
      </c>
      <c r="PQ78" s="145"/>
      <c r="PR78" s="399"/>
      <c r="PS78" s="400">
        <f>SUM(PS74:PS77)</f>
        <v>1.3</v>
      </c>
      <c r="PT78" s="399"/>
      <c r="PU78" s="400">
        <f>SUM(PU74:PU77)</f>
        <v>1.3</v>
      </c>
      <c r="PV78" s="399"/>
      <c r="PW78" s="400">
        <f>SUM(PW74:PW77)</f>
        <v>2.1</v>
      </c>
      <c r="PX78" s="399"/>
      <c r="PY78" s="400">
        <f>SUM(PY74:PY77)</f>
        <v>2.1</v>
      </c>
      <c r="PZ78" s="399"/>
      <c r="QA78" s="400">
        <f>SUM(QA74:QA77)</f>
        <v>3.5999999999999996</v>
      </c>
      <c r="QB78" s="399"/>
      <c r="QC78" s="400">
        <f>SUM(QC74:QC77)</f>
        <v>3.5999999999999996</v>
      </c>
      <c r="QD78" s="145"/>
      <c r="QE78" s="145"/>
      <c r="QF78" s="399"/>
      <c r="QG78" s="400">
        <f>SUM(QG74:QG77)</f>
        <v>0.5</v>
      </c>
      <c r="QH78" s="399"/>
      <c r="QI78" s="400">
        <f>SUM(QI74:QI77)</f>
        <v>0.5</v>
      </c>
      <c r="QJ78" s="399"/>
      <c r="QK78" s="400">
        <f>SUM(QK74:QK77)</f>
        <v>1.3</v>
      </c>
      <c r="QL78" s="399"/>
      <c r="QM78" s="400">
        <f>SUM(QM74:QM77)</f>
        <v>1.3</v>
      </c>
      <c r="QN78" s="399"/>
      <c r="QO78" s="400">
        <f>SUM(QO74:QO77)</f>
        <v>0.5</v>
      </c>
      <c r="QP78" s="399"/>
      <c r="QQ78" s="400">
        <f>SUM(QQ74:QQ77)</f>
        <v>0.5</v>
      </c>
    </row>
    <row r="79" spans="1:459" x14ac:dyDescent="0.45">
      <c r="A79" s="871"/>
      <c r="B79" s="401" t="s">
        <v>383</v>
      </c>
      <c r="C79" s="384"/>
      <c r="D79" s="402" t="s">
        <v>382</v>
      </c>
      <c r="E79" s="219"/>
      <c r="F79" s="348"/>
      <c r="G79" s="381"/>
      <c r="H79" s="348"/>
      <c r="I79" s="381"/>
      <c r="J79" s="348"/>
      <c r="K79" s="381"/>
      <c r="L79" s="348"/>
      <c r="M79" s="381"/>
      <c r="N79" s="348"/>
      <c r="O79" s="381"/>
      <c r="P79" s="348"/>
      <c r="Q79" s="403">
        <v>8.7056187083266262E-2</v>
      </c>
      <c r="R79" s="348"/>
      <c r="S79" s="381"/>
      <c r="T79" s="348"/>
      <c r="U79" s="381"/>
      <c r="V79" s="348"/>
      <c r="W79" s="381"/>
      <c r="X79" s="348"/>
      <c r="Y79" s="381"/>
      <c r="Z79" s="348"/>
      <c r="AA79" s="381"/>
      <c r="AB79" s="348"/>
      <c r="AC79" s="404">
        <v>0.10676395739842355</v>
      </c>
      <c r="AD79" s="348"/>
      <c r="AE79" s="404">
        <v>0.1</v>
      </c>
      <c r="AF79" s="348"/>
      <c r="AG79" s="404">
        <v>0.1</v>
      </c>
      <c r="AH79" s="348"/>
      <c r="AI79" s="404">
        <v>0.1</v>
      </c>
      <c r="AJ79" s="348"/>
      <c r="AK79" s="404">
        <f t="shared" ref="AK79:BK79" si="590">AK78/AK69</f>
        <v>9.6880359708895442E-2</v>
      </c>
      <c r="AL79" s="348"/>
      <c r="AM79" s="404">
        <f t="shared" si="590"/>
        <v>9.6880359708895442E-2</v>
      </c>
      <c r="AN79" s="348"/>
      <c r="AO79" s="404">
        <f t="shared" si="590"/>
        <v>9.6880359708895442E-2</v>
      </c>
      <c r="AP79" s="348"/>
      <c r="AQ79" s="404">
        <f t="shared" si="590"/>
        <v>9.6880359708895442E-2</v>
      </c>
      <c r="AR79" s="348"/>
      <c r="AS79" s="404">
        <f t="shared" si="590"/>
        <v>9.6880359708895442E-2</v>
      </c>
      <c r="AT79" s="348"/>
      <c r="AU79" s="404">
        <f t="shared" si="590"/>
        <v>9.2926059312613996E-2</v>
      </c>
      <c r="AV79" s="348"/>
      <c r="AW79" s="404">
        <f t="shared" si="590"/>
        <v>9.2926059312613996E-2</v>
      </c>
      <c r="AX79" s="348"/>
      <c r="AY79" s="404">
        <f t="shared" si="590"/>
        <v>9.2926059312613996E-2</v>
      </c>
      <c r="AZ79" s="348"/>
      <c r="BA79" s="404">
        <f t="shared" si="590"/>
        <v>9.2926059312613996E-2</v>
      </c>
      <c r="BB79" s="348"/>
      <c r="BC79" s="404">
        <f t="shared" si="590"/>
        <v>9.2926059312613996E-2</v>
      </c>
      <c r="BD79" s="348"/>
      <c r="BE79" s="404">
        <f t="shared" si="590"/>
        <v>9.2926059312613996E-2</v>
      </c>
      <c r="BF79" s="348"/>
      <c r="BG79" s="404">
        <f t="shared" si="590"/>
        <v>9.2926059312613996E-2</v>
      </c>
      <c r="BH79" s="348"/>
      <c r="BI79" s="404">
        <f t="shared" si="590"/>
        <v>9.2926059312613996E-2</v>
      </c>
      <c r="BJ79" s="348"/>
      <c r="BK79" s="404">
        <f t="shared" si="590"/>
        <v>9.2926059312613996E-2</v>
      </c>
      <c r="BL79" s="348"/>
      <c r="BM79" s="404">
        <f t="shared" ref="BM79" si="591">BM78/BM69</f>
        <v>9.2926059312613996E-2</v>
      </c>
      <c r="BN79" s="348"/>
      <c r="BO79" s="404">
        <f t="shared" ref="BO79" si="592">BO78/BO69</f>
        <v>9.2926059312613996E-2</v>
      </c>
      <c r="BP79" s="348"/>
      <c r="BQ79" s="404">
        <f t="shared" ref="BQ79" si="593">BQ78/BQ69</f>
        <v>9.2926059312613996E-2</v>
      </c>
      <c r="BR79" s="348"/>
      <c r="BS79" s="404">
        <f t="shared" ref="BS79" si="594">BS78/BS69</f>
        <v>9.2926059312613996E-2</v>
      </c>
      <c r="BT79" s="348"/>
      <c r="BU79" s="404">
        <f t="shared" ref="BU79" si="595">BU78/BU69</f>
        <v>9.2926059312613996E-2</v>
      </c>
      <c r="BV79" s="348"/>
      <c r="BW79" s="404">
        <f t="shared" ref="BW79" si="596">BW78/BW69</f>
        <v>9.2926059312613996E-2</v>
      </c>
      <c r="BX79" s="348"/>
      <c r="BY79" s="404">
        <f t="shared" ref="BY79" si="597">BY78/BY69</f>
        <v>9.2926059312613996E-2</v>
      </c>
      <c r="BZ79" s="348"/>
      <c r="CA79" s="404">
        <f t="shared" ref="CA79" si="598">CA78/CA69</f>
        <v>9.2926059312613996E-2</v>
      </c>
      <c r="CB79" s="348"/>
      <c r="CC79" s="404">
        <f t="shared" ref="CC79" si="599">CC78/CC69</f>
        <v>9.2926059312613996E-2</v>
      </c>
      <c r="CD79" s="348"/>
      <c r="CE79" s="404">
        <f t="shared" ref="CE79" si="600">CE78/CE69</f>
        <v>9.2926059312613996E-2</v>
      </c>
      <c r="CF79" s="348"/>
      <c r="CG79" s="404">
        <f t="shared" ref="CG79" si="601">CG78/CG69</f>
        <v>9.2926059312613996E-2</v>
      </c>
      <c r="CH79" s="348"/>
      <c r="CI79" s="404">
        <f t="shared" ref="CI79" si="602">CI78/CI69</f>
        <v>9.2926059312613996E-2</v>
      </c>
      <c r="CJ79" s="348"/>
      <c r="CK79" s="404">
        <f t="shared" ref="CK79" si="603">CK78/CK69</f>
        <v>9.2926059312613996E-2</v>
      </c>
      <c r="CL79" s="348"/>
      <c r="CM79" s="404">
        <f t="shared" ref="CM79" si="604">CM78/CM69</f>
        <v>9.2926059312613996E-2</v>
      </c>
      <c r="CN79" s="348"/>
      <c r="CO79" s="404">
        <f t="shared" ref="CO79" si="605">CO78/CO69</f>
        <v>0.22040816326530618</v>
      </c>
      <c r="CP79" s="348"/>
      <c r="CQ79" s="404">
        <f>CQ78/CQ69</f>
        <v>0.14421768707482996</v>
      </c>
      <c r="CR79" s="348"/>
      <c r="CS79" s="404">
        <f>CS78/CS69</f>
        <v>0.10770975056689341</v>
      </c>
      <c r="CT79" s="323"/>
      <c r="CU79" s="348"/>
      <c r="CV79" s="403">
        <v>8.7056187083266262E-2</v>
      </c>
      <c r="CW79" s="405"/>
      <c r="CX79" s="406"/>
      <c r="CY79" s="405"/>
      <c r="CZ79" s="406"/>
      <c r="DA79" s="405"/>
      <c r="DB79" s="404">
        <v>0.10676395739842355</v>
      </c>
      <c r="DC79" s="348"/>
      <c r="DD79" s="404">
        <v>0.1</v>
      </c>
      <c r="DE79" s="348"/>
      <c r="DF79" s="404">
        <v>0.1</v>
      </c>
      <c r="DG79" s="348"/>
      <c r="DH79" s="404">
        <v>0.1</v>
      </c>
      <c r="DI79" s="348"/>
      <c r="DJ79" s="404">
        <v>0.1</v>
      </c>
      <c r="DK79" s="348"/>
      <c r="DL79" s="404">
        <v>0.1</v>
      </c>
      <c r="DM79" s="348"/>
      <c r="DN79" s="404">
        <v>0.1</v>
      </c>
      <c r="DO79" s="348"/>
      <c r="DP79" s="404">
        <v>0.1</v>
      </c>
      <c r="DQ79" s="348"/>
      <c r="DR79" s="404">
        <v>0.1</v>
      </c>
      <c r="DS79" s="348"/>
      <c r="DT79" s="404">
        <f>DT78/DT69</f>
        <v>9.4977168949771693E-2</v>
      </c>
      <c r="DU79" s="348"/>
      <c r="DV79" s="404">
        <f>DV78/DV69</f>
        <v>9.4977168949771693E-2</v>
      </c>
      <c r="DW79" s="348"/>
      <c r="DX79" s="404">
        <f>DX78/DX69</f>
        <v>9.4977168949771693E-2</v>
      </c>
      <c r="DY79" s="348"/>
      <c r="DZ79" s="404">
        <f>DZ78/DZ69</f>
        <v>9.4977168949771693E-2</v>
      </c>
      <c r="EA79" s="348"/>
      <c r="EB79" s="404">
        <f>EB78/EB69</f>
        <v>9.4977168949771693E-2</v>
      </c>
      <c r="EC79" s="348"/>
      <c r="ED79" s="404">
        <f>ED78/ED69</f>
        <v>9.4977168949771693E-2</v>
      </c>
      <c r="EE79" s="348"/>
      <c r="EF79" s="404">
        <f>EF78/EF69</f>
        <v>9.4977168949771693E-2</v>
      </c>
      <c r="EG79" s="348"/>
      <c r="EH79" s="404">
        <f>EH78/EH69</f>
        <v>9.4977168949771693E-2</v>
      </c>
      <c r="EI79" s="348"/>
      <c r="EJ79" s="404">
        <f>EJ78/EJ69</f>
        <v>9.4977168949771693E-2</v>
      </c>
      <c r="EK79" s="348"/>
      <c r="EL79" s="404">
        <f t="shared" ref="EL79" si="606">EL78/EL69</f>
        <v>4.5662100456621009E-2</v>
      </c>
      <c r="EM79" s="348"/>
      <c r="EN79" s="404">
        <f t="shared" ref="EN79" si="607">EN78/EN69</f>
        <v>4.5662100456621009E-2</v>
      </c>
      <c r="EO79" s="348"/>
      <c r="EP79" s="404">
        <f t="shared" ref="EP79" si="608">EP78/EP69</f>
        <v>4.5662100456621009E-2</v>
      </c>
      <c r="EQ79" s="348"/>
      <c r="ER79" s="404">
        <f t="shared" ref="ER79" si="609">ER78/ER69</f>
        <v>4.5662100456621009E-2</v>
      </c>
      <c r="ES79" s="348"/>
      <c r="ET79" s="404">
        <f t="shared" ref="ET79" si="610">ET78/ET69</f>
        <v>4.5662100456621009E-2</v>
      </c>
      <c r="EU79" s="348"/>
      <c r="EV79" s="404">
        <f t="shared" ref="EV79" si="611">EV78/EV69</f>
        <v>4.5662100456621009E-2</v>
      </c>
      <c r="EW79" s="348"/>
      <c r="EX79" s="404">
        <f t="shared" ref="EX79" si="612">EX78/EX69</f>
        <v>4.5662100456621009E-2</v>
      </c>
      <c r="EY79" s="348"/>
      <c r="EZ79" s="404">
        <f t="shared" ref="EZ79" si="613">EZ78/EZ69</f>
        <v>4.5662100456621009E-2</v>
      </c>
      <c r="FA79" s="348"/>
      <c r="FB79" s="404">
        <f t="shared" ref="FB79" si="614">FB78/FB69</f>
        <v>4.5662100456621009E-2</v>
      </c>
      <c r="FC79" s="348"/>
      <c r="FD79" s="404">
        <f t="shared" ref="FD79" si="615">FD78/FD69</f>
        <v>4.5662100456621009E-2</v>
      </c>
      <c r="FE79" s="348"/>
      <c r="FF79" s="404">
        <f t="shared" ref="FF79" si="616">FF78/FF69</f>
        <v>4.5662100456621009E-2</v>
      </c>
      <c r="FG79" s="348"/>
      <c r="FH79" s="404">
        <f t="shared" ref="FH79" si="617">FH78/FH69</f>
        <v>4.5662100456621009E-2</v>
      </c>
      <c r="FI79" s="348"/>
      <c r="FJ79" s="404">
        <f t="shared" ref="FJ79" si="618">FJ78/FJ69</f>
        <v>4.5662100456621009E-2</v>
      </c>
      <c r="FK79" s="348"/>
      <c r="FL79" s="404">
        <f t="shared" ref="FL79" si="619">FL78/FL69</f>
        <v>4.5662100456621009E-2</v>
      </c>
      <c r="FM79" s="348"/>
      <c r="FN79" s="404">
        <f t="shared" ref="FN79" si="620">FN78/FN69</f>
        <v>4.5662100456621009E-2</v>
      </c>
      <c r="FO79" s="348"/>
      <c r="FP79" s="404">
        <f>FP78/FP69</f>
        <v>8.1673780303917295E-2</v>
      </c>
      <c r="FQ79" s="219"/>
      <c r="FR79" s="348"/>
      <c r="FS79" s="381"/>
      <c r="FT79" s="348"/>
      <c r="FU79" s="381"/>
      <c r="FV79" s="348"/>
      <c r="FW79" s="403">
        <v>8.7056187083266262E-2</v>
      </c>
      <c r="FX79" s="348"/>
      <c r="FY79" s="381"/>
      <c r="FZ79" s="348"/>
      <c r="GA79" s="381"/>
      <c r="GB79" s="348"/>
      <c r="GC79" s="381"/>
      <c r="GD79" s="348"/>
      <c r="GE79" s="381"/>
      <c r="GF79" s="348"/>
      <c r="GG79" s="381"/>
      <c r="GH79" s="348"/>
      <c r="GI79" s="404">
        <v>0.10676395739842355</v>
      </c>
      <c r="GJ79" s="348"/>
      <c r="GK79" s="404">
        <v>0.1</v>
      </c>
      <c r="GL79" s="348"/>
      <c r="GM79" s="404">
        <v>0.1</v>
      </c>
      <c r="GN79" s="348"/>
      <c r="GO79" s="404">
        <v>0.1</v>
      </c>
      <c r="GP79" s="348"/>
      <c r="GQ79" s="404">
        <v>0.1</v>
      </c>
      <c r="GR79" s="348"/>
      <c r="GS79" s="404">
        <v>0.1</v>
      </c>
      <c r="GT79" s="348"/>
      <c r="GU79" s="404">
        <v>0.1</v>
      </c>
      <c r="GV79" s="348"/>
      <c r="GW79" s="404">
        <v>0.1</v>
      </c>
      <c r="GX79" s="348"/>
      <c r="GY79" s="404">
        <f>GY78/GY69</f>
        <v>0.1</v>
      </c>
      <c r="GZ79" s="348"/>
      <c r="HA79" s="404">
        <f>HA78/HA69</f>
        <v>9.5757575757575764E-2</v>
      </c>
      <c r="HB79" s="348"/>
      <c r="HC79" s="404">
        <v>0.1</v>
      </c>
      <c r="HD79" s="348"/>
      <c r="HE79" s="404">
        <v>0.1</v>
      </c>
      <c r="HF79" s="348"/>
      <c r="HG79" s="404">
        <v>0.1</v>
      </c>
      <c r="HH79" s="348"/>
      <c r="HI79" s="404">
        <v>0.1</v>
      </c>
      <c r="HJ79" s="348"/>
      <c r="HK79" s="404">
        <v>0.1</v>
      </c>
      <c r="HL79" s="348"/>
      <c r="HM79" s="404">
        <v>0.1</v>
      </c>
      <c r="HN79" s="348"/>
      <c r="HO79" s="404">
        <v>0.1</v>
      </c>
      <c r="HP79" s="348"/>
      <c r="HQ79" s="404">
        <v>0.1</v>
      </c>
      <c r="HR79" s="348"/>
      <c r="HS79" s="404">
        <f t="shared" ref="HS79" si="621">HS78/HS69</f>
        <v>6.0606060606060608E-2</v>
      </c>
      <c r="HT79" s="348"/>
      <c r="HU79" s="404">
        <f t="shared" ref="HU79" si="622">HU78/HU69</f>
        <v>6.0606060606060608E-2</v>
      </c>
      <c r="HV79" s="348"/>
      <c r="HW79" s="404">
        <f t="shared" ref="HW79" si="623">HW78/HW69</f>
        <v>6.0606060606060608E-2</v>
      </c>
      <c r="HX79" s="348"/>
      <c r="HY79" s="404">
        <f t="shared" ref="HY79" si="624">HY78/HY69</f>
        <v>6.0606060606060608E-2</v>
      </c>
      <c r="HZ79" s="348"/>
      <c r="IA79" s="404">
        <f t="shared" ref="IA79" si="625">IA78/IA69</f>
        <v>6.0606060606060608E-2</v>
      </c>
      <c r="IB79" s="348"/>
      <c r="IC79" s="404">
        <f t="shared" ref="IC79" si="626">IC78/IC69</f>
        <v>6.0606060606060608E-2</v>
      </c>
      <c r="ID79" s="348"/>
      <c r="IE79" s="404">
        <f t="shared" ref="IE79" si="627">IE78/IE69</f>
        <v>6.0606060606060608E-2</v>
      </c>
      <c r="IF79" s="348"/>
      <c r="IG79" s="404">
        <f t="shared" ref="IG79" si="628">IG78/IG69</f>
        <v>6.0606060606060608E-2</v>
      </c>
      <c r="IH79" s="348"/>
      <c r="II79" s="404">
        <f t="shared" ref="II79" si="629">II78/II69</f>
        <v>6.0606060606060608E-2</v>
      </c>
      <c r="IJ79" s="348"/>
      <c r="IK79" s="404">
        <f t="shared" ref="IK79" si="630">IK78/IK69</f>
        <v>6.0606060606060608E-2</v>
      </c>
      <c r="IL79" s="348"/>
      <c r="IM79" s="404">
        <f t="shared" ref="IM79" si="631">IM78/IM69</f>
        <v>6.0606060606060608E-2</v>
      </c>
      <c r="IN79" s="348"/>
      <c r="IO79" s="404">
        <f t="shared" ref="IO79" si="632">IO78/IO69</f>
        <v>6.0606060606060608E-2</v>
      </c>
      <c r="IP79" s="348"/>
      <c r="IQ79" s="404">
        <f t="shared" ref="IQ79" si="633">IQ78/IQ69</f>
        <v>6.0606060606060608E-2</v>
      </c>
      <c r="IR79" s="348"/>
      <c r="IS79" s="404">
        <f t="shared" ref="IS79" si="634">IS78/IS69</f>
        <v>6.0606060606060608E-2</v>
      </c>
      <c r="IT79" s="348"/>
      <c r="IU79" s="404">
        <f t="shared" ref="IU79" si="635">IU78/IU69</f>
        <v>6.0606060606060608E-2</v>
      </c>
      <c r="IV79" s="348"/>
      <c r="IW79" s="404">
        <f t="shared" ref="IW79" si="636">IW78/IW69</f>
        <v>0.17246848651807334</v>
      </c>
      <c r="IX79" s="348"/>
      <c r="IY79" s="404">
        <f t="shared" ref="IY79" si="637">IY78/IY69</f>
        <v>0.17246848651807334</v>
      </c>
      <c r="IZ79" s="407"/>
      <c r="JA79" s="348"/>
      <c r="JB79" s="404">
        <f>JB78/JB69</f>
        <v>4.8484848484848485E-2</v>
      </c>
      <c r="JC79" s="348"/>
      <c r="JD79" s="404">
        <v>0.1</v>
      </c>
      <c r="JE79" s="219"/>
      <c r="JF79" s="348"/>
      <c r="JG79" s="381"/>
      <c r="JH79" s="348"/>
      <c r="JI79" s="381"/>
      <c r="JJ79" s="348"/>
      <c r="JK79" s="403">
        <v>8.7056187083266262E-2</v>
      </c>
      <c r="JL79" s="348"/>
      <c r="JM79" s="381"/>
      <c r="JN79" s="348"/>
      <c r="JO79" s="381"/>
      <c r="JP79" s="348"/>
      <c r="JQ79" s="381"/>
      <c r="JR79" s="348"/>
      <c r="JS79" s="404">
        <v>0.10676395739842355</v>
      </c>
      <c r="JT79" s="348"/>
      <c r="JU79" s="404">
        <v>0.1</v>
      </c>
      <c r="JV79" s="348"/>
      <c r="JW79" s="404">
        <v>0.1</v>
      </c>
      <c r="JX79" s="348"/>
      <c r="JY79" s="404">
        <v>0.1</v>
      </c>
      <c r="JZ79" s="348"/>
      <c r="KA79" s="404">
        <v>0.1</v>
      </c>
      <c r="KB79" s="348"/>
      <c r="KC79" s="404">
        <v>0.1</v>
      </c>
      <c r="KD79" s="348"/>
      <c r="KE79" s="404">
        <v>0.1</v>
      </c>
      <c r="KF79" s="348"/>
      <c r="KG79" s="404">
        <v>0.1</v>
      </c>
      <c r="KH79" s="348"/>
      <c r="KI79" s="404">
        <f>KI78/KI69</f>
        <v>0.1</v>
      </c>
      <c r="KJ79" s="348"/>
      <c r="KK79" s="404">
        <f>KK78/KK69</f>
        <v>9.5454545454545459E-2</v>
      </c>
      <c r="KL79" s="348"/>
      <c r="KM79" s="404">
        <f>KM78/KM69</f>
        <v>9.5454545454545459E-2</v>
      </c>
      <c r="KN79" s="348"/>
      <c r="KO79" s="404">
        <f>KO78/KO69</f>
        <v>9.5454545454545459E-2</v>
      </c>
      <c r="KP79" s="348"/>
      <c r="KQ79" s="404">
        <f>KQ78/KQ69</f>
        <v>9.5454545454545459E-2</v>
      </c>
      <c r="KR79" s="348"/>
      <c r="KS79" s="404">
        <f>KS78/KS69</f>
        <v>9.5454545454545459E-2</v>
      </c>
      <c r="KT79" s="348"/>
      <c r="KU79" s="404">
        <f>KU78/KU69</f>
        <v>9.5454545454545459E-2</v>
      </c>
      <c r="KV79" s="348"/>
      <c r="KW79" s="404">
        <f>KW78/KW69</f>
        <v>9.5454545454545459E-2</v>
      </c>
      <c r="KX79" s="348"/>
      <c r="KY79" s="404">
        <f>KY78/KY69</f>
        <v>9.5454545454545459E-2</v>
      </c>
      <c r="KZ79" s="348"/>
      <c r="LA79" s="404">
        <f>LA78/LA69</f>
        <v>9.5454545454545459E-2</v>
      </c>
      <c r="LB79" s="348"/>
      <c r="LC79" s="404">
        <f>LC78/LC69</f>
        <v>0.12387864660591948</v>
      </c>
      <c r="LD79" s="348"/>
      <c r="LE79" s="404">
        <f t="shared" ref="LE79" si="638">LE78/LE69</f>
        <v>0.12387864660591948</v>
      </c>
      <c r="LF79" s="348"/>
      <c r="LG79" s="404">
        <f t="shared" ref="LG79" si="639">LG78/LG69</f>
        <v>0.12387864660591948</v>
      </c>
      <c r="LH79" s="348"/>
      <c r="LI79" s="404">
        <f t="shared" ref="LI79" si="640">LI78/LI69</f>
        <v>0.12387864660591948</v>
      </c>
      <c r="LJ79" s="348"/>
      <c r="LK79" s="404">
        <f t="shared" ref="LK79" si="641">LK78/LK69</f>
        <v>0.12387864660591948</v>
      </c>
      <c r="LL79" s="348"/>
      <c r="LM79" s="404">
        <f t="shared" ref="LM79" si="642">LM78/LM69</f>
        <v>0.12387864660591948</v>
      </c>
      <c r="LN79" s="348"/>
      <c r="LO79" s="404">
        <f t="shared" ref="LO79" si="643">LO78/LO69</f>
        <v>0.12387864660591948</v>
      </c>
      <c r="LP79" s="348"/>
      <c r="LQ79" s="404">
        <f t="shared" ref="LQ79" si="644">LQ78/LQ69</f>
        <v>0.12387864660591948</v>
      </c>
      <c r="LR79" s="348"/>
      <c r="LS79" s="404">
        <f t="shared" ref="LS79" si="645">LS78/LS69</f>
        <v>0.12387864660591948</v>
      </c>
      <c r="LT79" s="348"/>
      <c r="LU79" s="404">
        <f t="shared" ref="LU79" si="646">LU78/LU69</f>
        <v>0.12387864660591948</v>
      </c>
      <c r="LV79" s="348"/>
      <c r="LW79" s="404">
        <f t="shared" ref="LW79" si="647">LW78/LW69</f>
        <v>0.12387864660591948</v>
      </c>
      <c r="LX79" s="348"/>
      <c r="LY79" s="404">
        <f t="shared" ref="LY79" si="648">LY78/LY69</f>
        <v>0.12387864660591948</v>
      </c>
      <c r="LZ79" s="348"/>
      <c r="MA79" s="404">
        <f t="shared" ref="MA79" si="649">MA78/MA69</f>
        <v>0.12387864660591948</v>
      </c>
      <c r="MB79" s="348"/>
      <c r="MC79" s="404">
        <f t="shared" ref="MC79" si="650">MC78/MC69</f>
        <v>0.12387864660591948</v>
      </c>
      <c r="MD79" s="348"/>
      <c r="ME79" s="404">
        <f t="shared" ref="ME79" si="651">ME78/ME69</f>
        <v>0.12387864660591948</v>
      </c>
      <c r="MF79" s="348"/>
      <c r="MG79" s="404">
        <f t="shared" ref="MG79" si="652">MG78/MG69</f>
        <v>0.22727272727272729</v>
      </c>
      <c r="MH79" s="219"/>
      <c r="MI79" s="348"/>
      <c r="MJ79" s="381"/>
      <c r="MK79" s="348"/>
      <c r="ML79" s="381"/>
      <c r="MM79" s="348"/>
      <c r="MN79" s="403">
        <v>8.7056187083266262E-2</v>
      </c>
      <c r="MO79" s="348"/>
      <c r="MP79" s="381"/>
      <c r="MQ79" s="348"/>
      <c r="MR79" s="381"/>
      <c r="MS79" s="348"/>
      <c r="MT79" s="381"/>
      <c r="MU79" s="348"/>
      <c r="MV79" s="404">
        <v>0.10676395739842355</v>
      </c>
      <c r="MW79" s="348"/>
      <c r="MX79" s="404">
        <v>0.1</v>
      </c>
      <c r="MY79" s="348"/>
      <c r="MZ79" s="404">
        <v>0.1</v>
      </c>
      <c r="NA79" s="348"/>
      <c r="NB79" s="404">
        <v>0.1</v>
      </c>
      <c r="NC79" s="348"/>
      <c r="ND79" s="404">
        <v>0.1</v>
      </c>
      <c r="NE79" s="348"/>
      <c r="NF79" s="404">
        <v>0.1</v>
      </c>
      <c r="NG79" s="348"/>
      <c r="NH79" s="404">
        <v>0.1</v>
      </c>
      <c r="NI79" s="348"/>
      <c r="NJ79" s="404">
        <v>0.1</v>
      </c>
      <c r="NK79" s="348"/>
      <c r="NL79" s="404">
        <f>NL78/NL69</f>
        <v>0.1</v>
      </c>
      <c r="NM79" s="348"/>
      <c r="NN79" s="404">
        <f>NN78/NN69</f>
        <v>9.5454545454545459E-2</v>
      </c>
      <c r="NO79" s="348"/>
      <c r="NP79" s="404">
        <f>NP78/NP69</f>
        <v>9.5454545454545459E-2</v>
      </c>
      <c r="NQ79" s="348"/>
      <c r="NR79" s="404">
        <f>NR78/NR69</f>
        <v>9.5454545454545459E-2</v>
      </c>
      <c r="NS79" s="348"/>
      <c r="NT79" s="404">
        <f>NT78/NT69</f>
        <v>9.5454545454545459E-2</v>
      </c>
      <c r="NU79" s="348"/>
      <c r="NV79" s="404">
        <f>NV78/NV69</f>
        <v>9.5454545454545459E-2</v>
      </c>
      <c r="NW79" s="348"/>
      <c r="NX79" s="404">
        <f>NX78/NX69</f>
        <v>9.5454545454545459E-2</v>
      </c>
      <c r="NY79" s="348"/>
      <c r="NZ79" s="404">
        <f>NZ78/NZ69</f>
        <v>9.5454545454545459E-2</v>
      </c>
      <c r="OA79" s="348"/>
      <c r="OB79" s="404">
        <f>OB78/OB69</f>
        <v>9.5454545454545459E-2</v>
      </c>
      <c r="OC79" s="348"/>
      <c r="OD79" s="404">
        <f>OD78/OD69</f>
        <v>9.5454545454545459E-2</v>
      </c>
      <c r="OE79" s="348"/>
      <c r="OF79" s="404">
        <f t="shared" ref="OF79" si="653">OF78/OF69</f>
        <v>9.51968363991825E-2</v>
      </c>
      <c r="OG79" s="348"/>
      <c r="OH79" s="404">
        <f t="shared" ref="OH79" si="654">OH78/OH69</f>
        <v>9.51968363991825E-2</v>
      </c>
      <c r="OI79" s="348"/>
      <c r="OJ79" s="404">
        <f t="shared" ref="OJ79" si="655">OJ78/OJ69</f>
        <v>9.51968363991825E-2</v>
      </c>
      <c r="OK79" s="348"/>
      <c r="OL79" s="404">
        <f t="shared" ref="OL79" si="656">OL78/OL69</f>
        <v>9.51968363991825E-2</v>
      </c>
      <c r="OM79" s="348"/>
      <c r="ON79" s="404">
        <f t="shared" ref="ON79" si="657">ON78/ON69</f>
        <v>9.51968363991825E-2</v>
      </c>
      <c r="OO79" s="348"/>
      <c r="OP79" s="404">
        <f t="shared" ref="OP79" si="658">OP78/OP69</f>
        <v>9.51968363991825E-2</v>
      </c>
      <c r="OQ79" s="348"/>
      <c r="OR79" s="404">
        <f t="shared" ref="OR79" si="659">OR78/OR69</f>
        <v>9.51968363991825E-2</v>
      </c>
      <c r="OS79" s="348"/>
      <c r="OT79" s="404">
        <f t="shared" ref="OT79" si="660">OT78/OT69</f>
        <v>9.51968363991825E-2</v>
      </c>
      <c r="OU79" s="348"/>
      <c r="OV79" s="404">
        <f t="shared" ref="OV79" si="661">OV78/OV69</f>
        <v>9.51968363991825E-2</v>
      </c>
      <c r="OW79" s="348"/>
      <c r="OX79" s="404">
        <f t="shared" ref="OX79" si="662">OX78/OX69</f>
        <v>9.51968363991825E-2</v>
      </c>
      <c r="OY79" s="348"/>
      <c r="OZ79" s="404">
        <f t="shared" ref="OZ79" si="663">OZ78/OZ69</f>
        <v>9.51968363991825E-2</v>
      </c>
      <c r="PA79" s="348"/>
      <c r="PB79" s="404">
        <f t="shared" ref="PB79" si="664">PB78/PB69</f>
        <v>9.51968363991825E-2</v>
      </c>
      <c r="PC79" s="348"/>
      <c r="PD79" s="404">
        <f t="shared" ref="PD79" si="665">PD78/PD69</f>
        <v>9.51968363991825E-2</v>
      </c>
      <c r="PE79" s="348"/>
      <c r="PF79" s="404">
        <f t="shared" ref="PF79" si="666">PF78/PF69</f>
        <v>9.51968363991825E-2</v>
      </c>
      <c r="PG79" s="348"/>
      <c r="PH79" s="404">
        <f t="shared" ref="PH79" si="667">PH78/PH69</f>
        <v>9.51968363991825E-2</v>
      </c>
      <c r="PI79" s="348"/>
      <c r="PJ79" s="404">
        <f t="shared" ref="PJ79" si="668">PJ78/PJ69</f>
        <v>7.575757575757576E-2</v>
      </c>
      <c r="PK79" s="348"/>
      <c r="PL79" s="404">
        <f t="shared" ref="PL79" si="669">PL78/PL69</f>
        <v>7.575757575757576E-2</v>
      </c>
      <c r="PM79" s="348"/>
      <c r="PN79" s="404">
        <f t="shared" ref="PN79" si="670">PN78/PN69</f>
        <v>0.18181818181818182</v>
      </c>
      <c r="PO79" s="348"/>
      <c r="PP79" s="404">
        <f t="shared" ref="PP79" si="671">PP78/PP69</f>
        <v>0.34090909090909094</v>
      </c>
      <c r="PQ79" s="145"/>
      <c r="PR79" s="399"/>
      <c r="PS79" s="408">
        <f>PS78/PS69</f>
        <v>0.16883116883116883</v>
      </c>
      <c r="PT79" s="399"/>
      <c r="PU79" s="408">
        <f>PU78/PU69</f>
        <v>0.16883116883116883</v>
      </c>
      <c r="PV79" s="399"/>
      <c r="PW79" s="408">
        <f>PW78/PW69</f>
        <v>0.27272727272727271</v>
      </c>
      <c r="PX79" s="399"/>
      <c r="PY79" s="408">
        <f>PY78/PY69</f>
        <v>0.27272727272727271</v>
      </c>
      <c r="PZ79" s="399"/>
      <c r="QA79" s="408">
        <f>QA78/QA69</f>
        <v>0.46753246753246747</v>
      </c>
      <c r="QB79" s="399"/>
      <c r="QC79" s="408">
        <f>QC78/QC69</f>
        <v>0.46753246753246747</v>
      </c>
      <c r="QD79" s="145"/>
      <c r="QE79" s="145"/>
      <c r="QF79" s="399"/>
      <c r="QG79" s="408">
        <f>QG78/QG69</f>
        <v>6.4935064935064929E-2</v>
      </c>
      <c r="QH79" s="399"/>
      <c r="QI79" s="408">
        <f>QI78/QI69</f>
        <v>6.4935064935064929E-2</v>
      </c>
      <c r="QJ79" s="399"/>
      <c r="QK79" s="408">
        <f>QK78/QK69</f>
        <v>0.16883116883116883</v>
      </c>
      <c r="QL79" s="399"/>
      <c r="QM79" s="408">
        <f>QM78/QM69</f>
        <v>0.16883116883116883</v>
      </c>
      <c r="QN79" s="399"/>
      <c r="QO79" s="408">
        <f>QO78/QO69</f>
        <v>7.2463768115942032E-2</v>
      </c>
      <c r="QP79" s="399"/>
      <c r="QQ79" s="408">
        <f>QQ78/QQ69</f>
        <v>7.2463768115942032E-2</v>
      </c>
    </row>
    <row r="80" spans="1:459" x14ac:dyDescent="0.45">
      <c r="A80" s="871"/>
      <c r="B80" s="345" t="s">
        <v>384</v>
      </c>
      <c r="C80" s="145"/>
      <c r="D80" s="409" t="s">
        <v>382</v>
      </c>
      <c r="E80" s="219"/>
      <c r="F80" s="348"/>
      <c r="G80" s="381"/>
      <c r="H80" s="348"/>
      <c r="I80" s="381"/>
      <c r="J80" s="348"/>
      <c r="K80" s="381"/>
      <c r="L80" s="348"/>
      <c r="M80" s="381"/>
      <c r="N80" s="348"/>
      <c r="O80" s="381"/>
      <c r="P80" s="348"/>
      <c r="Q80" s="397">
        <f>Q70-Q78</f>
        <v>5.7254291652504428</v>
      </c>
      <c r="R80" s="348"/>
      <c r="S80" s="381"/>
      <c r="T80" s="348"/>
      <c r="U80" s="381"/>
      <c r="V80" s="348"/>
      <c r="W80" s="381"/>
      <c r="X80" s="348"/>
      <c r="Y80" s="381"/>
      <c r="Z80" s="348"/>
      <c r="AA80" s="381"/>
      <c r="AB80" s="348"/>
      <c r="AC80" s="397">
        <f>AC70-AC78</f>
        <v>5.7293432875606412</v>
      </c>
      <c r="AD80" s="348"/>
      <c r="AE80" s="381">
        <f>AE70-AE78</f>
        <v>6.2450000000000001</v>
      </c>
      <c r="AF80" s="348"/>
      <c r="AG80" s="381">
        <f>AG70-AG78</f>
        <v>6.2450000000000001</v>
      </c>
      <c r="AH80" s="348"/>
      <c r="AI80" s="381">
        <f>AI70-AI78</f>
        <v>6.2450000000000001</v>
      </c>
      <c r="AJ80" s="348"/>
      <c r="AK80" s="381">
        <f>AK70-AK78</f>
        <v>6.2669934640522875</v>
      </c>
      <c r="AL80" s="348"/>
      <c r="AM80" s="381">
        <f>AM70-AM78</f>
        <v>6.2669934640522875</v>
      </c>
      <c r="AN80" s="348"/>
      <c r="AO80" s="381">
        <f>AO70-AO78</f>
        <v>6.2669934640522875</v>
      </c>
      <c r="AP80" s="348"/>
      <c r="AQ80" s="381">
        <f>AQ70-AQ78</f>
        <v>6.2669934640522875</v>
      </c>
      <c r="AR80" s="348"/>
      <c r="AS80" s="381">
        <f>AS70-AS78</f>
        <v>6.2669934640522875</v>
      </c>
      <c r="AT80" s="348"/>
      <c r="AU80" s="381">
        <f>AU70-AU78</f>
        <v>6.5669934640522873</v>
      </c>
      <c r="AV80" s="348"/>
      <c r="AW80" s="381">
        <f>AW70-AW78</f>
        <v>6.5669934640522873</v>
      </c>
      <c r="AX80" s="348"/>
      <c r="AY80" s="381">
        <f>AY70-AY78</f>
        <v>6.5669934640522873</v>
      </c>
      <c r="AZ80" s="348"/>
      <c r="BA80" s="381">
        <f>BA70-BA78</f>
        <v>6.5669934640522873</v>
      </c>
      <c r="BB80" s="348"/>
      <c r="BC80" s="381">
        <f>BC70-BC78</f>
        <v>6.5669934640522873</v>
      </c>
      <c r="BD80" s="348"/>
      <c r="BE80" s="381">
        <f>BE70-BE78</f>
        <v>6.5669934640522873</v>
      </c>
      <c r="BF80" s="348"/>
      <c r="BG80" s="381">
        <f>BG70-BG78</f>
        <v>6.5669934640522873</v>
      </c>
      <c r="BH80" s="348"/>
      <c r="BI80" s="381">
        <f>BI70-BI78</f>
        <v>6.5669934640522873</v>
      </c>
      <c r="BJ80" s="348"/>
      <c r="BK80" s="381">
        <f>BK70-BK78</f>
        <v>6.5669934640522873</v>
      </c>
      <c r="BL80" s="348"/>
      <c r="BM80" s="381">
        <f>BM70-BM78</f>
        <v>6.5669934640522873</v>
      </c>
      <c r="BN80" s="348"/>
      <c r="BO80" s="381">
        <f>BO70-BO78</f>
        <v>6.5669934640522873</v>
      </c>
      <c r="BP80" s="348"/>
      <c r="BQ80" s="381">
        <f>BQ70-BQ78</f>
        <v>6.5669934640522873</v>
      </c>
      <c r="BR80" s="348"/>
      <c r="BS80" s="381">
        <f>BS70-BS78</f>
        <v>6.5669934640522873</v>
      </c>
      <c r="BT80" s="348"/>
      <c r="BU80" s="381">
        <f>BU70-BU78</f>
        <v>6.5669934640522873</v>
      </c>
      <c r="BV80" s="348"/>
      <c r="BW80" s="381">
        <f>BW70-BW78</f>
        <v>6.5669934640522873</v>
      </c>
      <c r="BX80" s="348"/>
      <c r="BY80" s="381">
        <f>BY70-BY78</f>
        <v>6.5669934640522873</v>
      </c>
      <c r="BZ80" s="348"/>
      <c r="CA80" s="381">
        <f>CA70-CA78</f>
        <v>6.5669934640522873</v>
      </c>
      <c r="CB80" s="348"/>
      <c r="CC80" s="381">
        <f>CC70-CC78</f>
        <v>6.5669934640522873</v>
      </c>
      <c r="CD80" s="348"/>
      <c r="CE80" s="381">
        <f>CE70-CE78</f>
        <v>6.5669934640522873</v>
      </c>
      <c r="CF80" s="348"/>
      <c r="CG80" s="381">
        <f>CG70-CG78</f>
        <v>6.5669934640522873</v>
      </c>
      <c r="CH80" s="348"/>
      <c r="CI80" s="381">
        <f>CI70-CI78</f>
        <v>6.5669934640522873</v>
      </c>
      <c r="CJ80" s="348"/>
      <c r="CK80" s="381">
        <f>CK70-CK78</f>
        <v>6.5669934640522873</v>
      </c>
      <c r="CL80" s="348"/>
      <c r="CM80" s="381">
        <f>CM70-CM78</f>
        <v>6.5669934640522873</v>
      </c>
      <c r="CN80" s="348"/>
      <c r="CO80" s="381">
        <f>CO70-CO78</f>
        <v>5.63</v>
      </c>
      <c r="CP80" s="348"/>
      <c r="CQ80" s="381">
        <f>CQ70-CQ78</f>
        <v>6.1899999999999995</v>
      </c>
      <c r="CR80" s="348"/>
      <c r="CS80" s="381">
        <f>CS70-CS78</f>
        <v>6.4583333333333339</v>
      </c>
      <c r="CT80" s="323"/>
      <c r="CU80" s="348"/>
      <c r="CV80" s="397">
        <f>CV70-CV78</f>
        <v>8.1012021759381536</v>
      </c>
      <c r="CW80" s="348"/>
      <c r="CX80" s="381"/>
      <c r="CY80" s="348"/>
      <c r="CZ80" s="381"/>
      <c r="DA80" s="348"/>
      <c r="DB80" s="397">
        <f>DB70-DB78</f>
        <v>7.9537132174954488</v>
      </c>
      <c r="DC80" s="348"/>
      <c r="DD80" s="381">
        <f>DD70-DD78</f>
        <v>8.91</v>
      </c>
      <c r="DE80" s="348"/>
      <c r="DF80" s="381">
        <f>DF70-DF78</f>
        <v>8.91</v>
      </c>
      <c r="DG80" s="348"/>
      <c r="DH80" s="381">
        <f>DH70-DH78</f>
        <v>8.91</v>
      </c>
      <c r="DI80" s="348"/>
      <c r="DJ80" s="381">
        <f>DJ70-DJ78</f>
        <v>8.91</v>
      </c>
      <c r="DK80" s="348"/>
      <c r="DL80" s="381">
        <f>DL70-DL78</f>
        <v>8.91</v>
      </c>
      <c r="DM80" s="348"/>
      <c r="DN80" s="381">
        <f>DN70-DN78</f>
        <v>8.91</v>
      </c>
      <c r="DO80" s="348"/>
      <c r="DP80" s="381">
        <f>DP70-DP78</f>
        <v>8.91</v>
      </c>
      <c r="DQ80" s="348"/>
      <c r="DR80" s="381">
        <f>DR70-DR78</f>
        <v>8.91</v>
      </c>
      <c r="DS80" s="348"/>
      <c r="DT80" s="381">
        <f>DT70-DT78</f>
        <v>9.4600000000000009</v>
      </c>
      <c r="DU80" s="348"/>
      <c r="DV80" s="381">
        <f>DV70-DV78</f>
        <v>9.4600000000000009</v>
      </c>
      <c r="DW80" s="348"/>
      <c r="DX80" s="381">
        <f>DX70-DX78</f>
        <v>9.4600000000000009</v>
      </c>
      <c r="DY80" s="348"/>
      <c r="DZ80" s="381">
        <f>DZ70-DZ78</f>
        <v>9.4600000000000009</v>
      </c>
      <c r="EA80" s="348"/>
      <c r="EB80" s="381">
        <f>EB70-EB78</f>
        <v>9.4600000000000009</v>
      </c>
      <c r="EC80" s="348"/>
      <c r="ED80" s="381">
        <f>ED70-ED78</f>
        <v>9.4600000000000009</v>
      </c>
      <c r="EE80" s="348"/>
      <c r="EF80" s="381">
        <f>EF70-EF78</f>
        <v>9.4600000000000009</v>
      </c>
      <c r="EG80" s="348"/>
      <c r="EH80" s="381">
        <f>EH70-EH78</f>
        <v>9.4600000000000009</v>
      </c>
      <c r="EI80" s="348"/>
      <c r="EJ80" s="381">
        <f>EJ70-EJ78</f>
        <v>9.4600000000000009</v>
      </c>
      <c r="EK80" s="348"/>
      <c r="EL80" s="381">
        <f>EL70-EL78</f>
        <v>10</v>
      </c>
      <c r="EM80" s="348"/>
      <c r="EN80" s="381">
        <f>EN70-EN78</f>
        <v>10</v>
      </c>
      <c r="EO80" s="348"/>
      <c r="EP80" s="381">
        <f>EP70-EP78</f>
        <v>10</v>
      </c>
      <c r="EQ80" s="348"/>
      <c r="ER80" s="381">
        <f>ER70-ER78</f>
        <v>10</v>
      </c>
      <c r="ES80" s="348"/>
      <c r="ET80" s="381">
        <f>ET70-ET78</f>
        <v>10</v>
      </c>
      <c r="EU80" s="348"/>
      <c r="EV80" s="381">
        <f>EV70-EV78</f>
        <v>10</v>
      </c>
      <c r="EW80" s="348"/>
      <c r="EX80" s="381">
        <f>EX70-EX78</f>
        <v>10</v>
      </c>
      <c r="EY80" s="348"/>
      <c r="EZ80" s="381">
        <f>EZ70-EZ78</f>
        <v>10</v>
      </c>
      <c r="FA80" s="348"/>
      <c r="FB80" s="381">
        <f>FB70-FB78</f>
        <v>10</v>
      </c>
      <c r="FC80" s="348"/>
      <c r="FD80" s="381">
        <f>FD70-FD78</f>
        <v>10</v>
      </c>
      <c r="FE80" s="348"/>
      <c r="FF80" s="381">
        <f>FF70-FF78</f>
        <v>10</v>
      </c>
      <c r="FG80" s="348"/>
      <c r="FH80" s="381">
        <f>FH70-FH78</f>
        <v>10</v>
      </c>
      <c r="FI80" s="348"/>
      <c r="FJ80" s="381">
        <f>FJ70-FJ78</f>
        <v>10</v>
      </c>
      <c r="FK80" s="348"/>
      <c r="FL80" s="381">
        <f>FL70-FL78</f>
        <v>10</v>
      </c>
      <c r="FM80" s="348"/>
      <c r="FN80" s="381">
        <f>FN70-FN78</f>
        <v>10</v>
      </c>
      <c r="FO80" s="348"/>
      <c r="FP80" s="381">
        <f>FP70-FP78</f>
        <v>9.6056721056721059</v>
      </c>
      <c r="FQ80" s="219"/>
      <c r="FR80" s="348"/>
      <c r="FS80" s="381"/>
      <c r="FT80" s="348"/>
      <c r="FU80" s="381"/>
      <c r="FV80" s="348"/>
      <c r="FW80" s="397">
        <f>FW70-FW78</f>
        <v>5.7254291652504428</v>
      </c>
      <c r="FX80" s="348"/>
      <c r="FY80" s="381"/>
      <c r="FZ80" s="348"/>
      <c r="GA80" s="381"/>
      <c r="GB80" s="348"/>
      <c r="GC80" s="381"/>
      <c r="GD80" s="348"/>
      <c r="GE80" s="381"/>
      <c r="GF80" s="348"/>
      <c r="GG80" s="381"/>
      <c r="GH80" s="348"/>
      <c r="GI80" s="397">
        <f>GI70-GI78</f>
        <v>5.7293432875606412</v>
      </c>
      <c r="GJ80" s="348"/>
      <c r="GK80" s="381">
        <f>GK70-GK78</f>
        <v>6.8100000000000005</v>
      </c>
      <c r="GL80" s="348"/>
      <c r="GM80" s="381">
        <f>GM70-GM78</f>
        <v>6.8100000000000005</v>
      </c>
      <c r="GN80" s="348"/>
      <c r="GO80" s="381">
        <f>GO70-GO78</f>
        <v>6.8100000000000005</v>
      </c>
      <c r="GP80" s="348"/>
      <c r="GQ80" s="381">
        <f>GQ70-GQ78</f>
        <v>6.8100000000000005</v>
      </c>
      <c r="GR80" s="348"/>
      <c r="GS80" s="381">
        <f>GS70-GS78</f>
        <v>6.8100000000000005</v>
      </c>
      <c r="GT80" s="348"/>
      <c r="GU80" s="381">
        <f>GU70-GU78</f>
        <v>6.8100000000000005</v>
      </c>
      <c r="GV80" s="348"/>
      <c r="GW80" s="381">
        <f>GW70-GW78</f>
        <v>6.8100000000000005</v>
      </c>
      <c r="GX80" s="348"/>
      <c r="GY80" s="381">
        <f>GY70-GY78</f>
        <v>6.8100000000000005</v>
      </c>
      <c r="GZ80" s="348"/>
      <c r="HA80" s="381">
        <f>HA70-HA78</f>
        <v>7.16</v>
      </c>
      <c r="HB80" s="348"/>
      <c r="HC80" s="381">
        <f>HC70-HC78</f>
        <v>7.125</v>
      </c>
      <c r="HD80" s="348"/>
      <c r="HE80" s="381">
        <f>HE70-HE78</f>
        <v>7.125</v>
      </c>
      <c r="HF80" s="348"/>
      <c r="HG80" s="381">
        <f>HG70-HG78</f>
        <v>7.125</v>
      </c>
      <c r="HH80" s="348"/>
      <c r="HI80" s="381">
        <f>HI70-HI78</f>
        <v>7.125</v>
      </c>
      <c r="HJ80" s="348"/>
      <c r="HK80" s="381">
        <f>HK70-HK78</f>
        <v>7.125</v>
      </c>
      <c r="HL80" s="348"/>
      <c r="HM80" s="381">
        <f>HM70-HM78</f>
        <v>7.125</v>
      </c>
      <c r="HN80" s="348"/>
      <c r="HO80" s="381">
        <f>HO70-HO78</f>
        <v>7.125</v>
      </c>
      <c r="HP80" s="348"/>
      <c r="HQ80" s="381">
        <f>HQ70-HQ78</f>
        <v>7.125</v>
      </c>
      <c r="HR80" s="348"/>
      <c r="HS80" s="381">
        <f>HS70-HS78</f>
        <v>7.45</v>
      </c>
      <c r="HT80" s="348"/>
      <c r="HU80" s="381">
        <f>HU70-HU78</f>
        <v>7.45</v>
      </c>
      <c r="HV80" s="348"/>
      <c r="HW80" s="381">
        <f>HW70-HW78</f>
        <v>7.45</v>
      </c>
      <c r="HX80" s="348"/>
      <c r="HY80" s="381">
        <f>HY70-HY78</f>
        <v>7.45</v>
      </c>
      <c r="HZ80" s="348"/>
      <c r="IA80" s="381">
        <f>IA70-IA78</f>
        <v>7.45</v>
      </c>
      <c r="IB80" s="348"/>
      <c r="IC80" s="381">
        <f>IC70-IC78</f>
        <v>7.45</v>
      </c>
      <c r="ID80" s="348"/>
      <c r="IE80" s="381">
        <f>IE70-IE78</f>
        <v>7.45</v>
      </c>
      <c r="IF80" s="348"/>
      <c r="IG80" s="381">
        <f>IG70-IG78</f>
        <v>7.45</v>
      </c>
      <c r="IH80" s="348"/>
      <c r="II80" s="381">
        <f>II70-II78</f>
        <v>7.45</v>
      </c>
      <c r="IJ80" s="348"/>
      <c r="IK80" s="381">
        <f>IK70-IK78</f>
        <v>7.45</v>
      </c>
      <c r="IL80" s="348"/>
      <c r="IM80" s="381">
        <f>IM70-IM78</f>
        <v>7.45</v>
      </c>
      <c r="IN80" s="348"/>
      <c r="IO80" s="381">
        <f>IO70-IO78</f>
        <v>7.45</v>
      </c>
      <c r="IP80" s="348"/>
      <c r="IQ80" s="381">
        <f>IQ70-IQ78</f>
        <v>7.45</v>
      </c>
      <c r="IR80" s="348"/>
      <c r="IS80" s="381">
        <f>IS70-IS78</f>
        <v>7.45</v>
      </c>
      <c r="IT80" s="348"/>
      <c r="IU80" s="381">
        <f>IU70-IU78</f>
        <v>7.45</v>
      </c>
      <c r="IV80" s="348"/>
      <c r="IW80" s="381">
        <f>IW70-IW78</f>
        <v>6.5271349862258949</v>
      </c>
      <c r="IX80" s="348"/>
      <c r="IY80" s="381">
        <f>IY70-IY78</f>
        <v>6.5271349862258949</v>
      </c>
      <c r="IZ80" s="219"/>
      <c r="JA80" s="348"/>
      <c r="JB80" s="381">
        <f>JB70-JB78</f>
        <v>7.55</v>
      </c>
      <c r="JC80" s="348"/>
      <c r="JD80" s="381">
        <f>JD70-JD78</f>
        <v>7.125</v>
      </c>
      <c r="JE80" s="219"/>
      <c r="JF80" s="348"/>
      <c r="JG80" s="381"/>
      <c r="JH80" s="348"/>
      <c r="JI80" s="381"/>
      <c r="JJ80" s="348"/>
      <c r="JK80" s="397">
        <f>JK70-JK78</f>
        <v>5.3776628775004029</v>
      </c>
      <c r="JL80" s="348"/>
      <c r="JM80" s="381"/>
      <c r="JN80" s="348"/>
      <c r="JO80" s="381"/>
      <c r="JP80" s="348"/>
      <c r="JQ80" s="381"/>
      <c r="JR80" s="348"/>
      <c r="JS80" s="397">
        <f>JS70-JS78</f>
        <v>5.527387068389932</v>
      </c>
      <c r="JT80" s="348"/>
      <c r="JU80" s="381">
        <f>JU70-JU78</f>
        <v>5.57</v>
      </c>
      <c r="JV80" s="348"/>
      <c r="JW80" s="381">
        <f>JW70-JW78</f>
        <v>5.57</v>
      </c>
      <c r="JX80" s="348"/>
      <c r="JY80" s="381">
        <f>JY70-JY78</f>
        <v>5.57</v>
      </c>
      <c r="JZ80" s="348"/>
      <c r="KA80" s="381">
        <f>KA70-KA78</f>
        <v>5.57</v>
      </c>
      <c r="KB80" s="348"/>
      <c r="KC80" s="381">
        <f>KC70-KC78</f>
        <v>5.57</v>
      </c>
      <c r="KD80" s="348"/>
      <c r="KE80" s="381">
        <f>KE70-KE78</f>
        <v>5.57</v>
      </c>
      <c r="KF80" s="348"/>
      <c r="KG80" s="381">
        <f>KG70-KG78</f>
        <v>5.57</v>
      </c>
      <c r="KH80" s="348"/>
      <c r="KI80" s="381">
        <f>KI70-KI78</f>
        <v>5.57</v>
      </c>
      <c r="KJ80" s="348"/>
      <c r="KK80" s="381">
        <f>KK70-KK78</f>
        <v>5.87</v>
      </c>
      <c r="KL80" s="348"/>
      <c r="KM80" s="381">
        <f>KM70-KM78</f>
        <v>5.87</v>
      </c>
      <c r="KN80" s="348"/>
      <c r="KO80" s="381">
        <f>KO70-KO78</f>
        <v>5.87</v>
      </c>
      <c r="KP80" s="348"/>
      <c r="KQ80" s="381">
        <f>KQ70-KQ78</f>
        <v>5.87</v>
      </c>
      <c r="KR80" s="348"/>
      <c r="KS80" s="381">
        <f>KS70-KS78</f>
        <v>5.87</v>
      </c>
      <c r="KT80" s="348"/>
      <c r="KU80" s="381">
        <f>KU70-KU78</f>
        <v>5.87</v>
      </c>
      <c r="KV80" s="348"/>
      <c r="KW80" s="381">
        <f>KW70-KW78</f>
        <v>5.87</v>
      </c>
      <c r="KX80" s="348"/>
      <c r="KY80" s="381">
        <f>KY70-KY78</f>
        <v>5.87</v>
      </c>
      <c r="KZ80" s="348"/>
      <c r="LA80" s="381">
        <f>LA70-LA78</f>
        <v>5.87</v>
      </c>
      <c r="LB80" s="348"/>
      <c r="LC80" s="381">
        <f>LC70-LC78</f>
        <v>5.682400932400931</v>
      </c>
      <c r="LD80" s="348"/>
      <c r="LE80" s="381">
        <f>LE70-LE78</f>
        <v>5.682400932400931</v>
      </c>
      <c r="LF80" s="348"/>
      <c r="LG80" s="381">
        <f>LG70-LG78</f>
        <v>5.682400932400931</v>
      </c>
      <c r="LH80" s="348"/>
      <c r="LI80" s="381">
        <f>LI70-LI78</f>
        <v>5.682400932400931</v>
      </c>
      <c r="LJ80" s="348"/>
      <c r="LK80" s="381">
        <f>LK70-LK78</f>
        <v>5.682400932400931</v>
      </c>
      <c r="LL80" s="348"/>
      <c r="LM80" s="381">
        <f>LM70-LM78</f>
        <v>5.682400932400931</v>
      </c>
      <c r="LN80" s="348"/>
      <c r="LO80" s="381">
        <f>LO70-LO78</f>
        <v>5.682400932400931</v>
      </c>
      <c r="LP80" s="348"/>
      <c r="LQ80" s="381">
        <f>LQ70-LQ78</f>
        <v>5.682400932400931</v>
      </c>
      <c r="LR80" s="348"/>
      <c r="LS80" s="381">
        <f>LS70-LS78</f>
        <v>5.682400932400931</v>
      </c>
      <c r="LT80" s="348"/>
      <c r="LU80" s="381">
        <f>LU70-LU78</f>
        <v>5.682400932400931</v>
      </c>
      <c r="LV80" s="348"/>
      <c r="LW80" s="381">
        <f>LW70-LW78</f>
        <v>5.682400932400931</v>
      </c>
      <c r="LX80" s="348"/>
      <c r="LY80" s="381">
        <f>LY70-LY78</f>
        <v>5.682400932400931</v>
      </c>
      <c r="LZ80" s="348"/>
      <c r="MA80" s="381">
        <f>MA70-MA78</f>
        <v>5.682400932400931</v>
      </c>
      <c r="MB80" s="348"/>
      <c r="MC80" s="381">
        <f>MC70-MC78</f>
        <v>5.682400932400931</v>
      </c>
      <c r="MD80" s="348"/>
      <c r="ME80" s="381">
        <f>ME70-ME78</f>
        <v>5.682400932400931</v>
      </c>
      <c r="MF80" s="348"/>
      <c r="MG80" s="381">
        <f>MG70-MG78</f>
        <v>5</v>
      </c>
      <c r="MH80" s="219"/>
      <c r="MI80" s="348"/>
      <c r="MJ80" s="381"/>
      <c r="MK80" s="348"/>
      <c r="ML80" s="381"/>
      <c r="MM80" s="348"/>
      <c r="MN80" s="397">
        <f>MN70-MN78</f>
        <v>3.9298965897503626</v>
      </c>
      <c r="MO80" s="348"/>
      <c r="MP80" s="381"/>
      <c r="MQ80" s="348"/>
      <c r="MR80" s="381"/>
      <c r="MS80" s="348"/>
      <c r="MT80" s="381"/>
      <c r="MU80" s="348"/>
      <c r="MV80" s="397">
        <f>MV70-MV78</f>
        <v>4.0021218385688275</v>
      </c>
      <c r="MW80" s="348"/>
      <c r="MX80" s="381">
        <f>MX70-MX78</f>
        <v>5.07</v>
      </c>
      <c r="MY80" s="348"/>
      <c r="MZ80" s="381">
        <f>MZ70-MZ78</f>
        <v>5.07</v>
      </c>
      <c r="NA80" s="348"/>
      <c r="NB80" s="381">
        <f>NB70-NB78</f>
        <v>5.07</v>
      </c>
      <c r="NC80" s="348"/>
      <c r="ND80" s="381">
        <f>ND70-ND78</f>
        <v>5.07</v>
      </c>
      <c r="NE80" s="348"/>
      <c r="NF80" s="381">
        <f>NF70-NF78</f>
        <v>5.07</v>
      </c>
      <c r="NG80" s="348"/>
      <c r="NH80" s="381">
        <f>NH70-NH78</f>
        <v>5.07</v>
      </c>
      <c r="NI80" s="348"/>
      <c r="NJ80" s="381">
        <f>NJ70-NJ78</f>
        <v>5.07</v>
      </c>
      <c r="NK80" s="348"/>
      <c r="NL80" s="381">
        <f>NL70-NL78</f>
        <v>5.07</v>
      </c>
      <c r="NM80" s="348"/>
      <c r="NN80" s="381">
        <f>NN70-NN78</f>
        <v>5.37</v>
      </c>
      <c r="NO80" s="348"/>
      <c r="NP80" s="381">
        <f>NP70-NP78</f>
        <v>5.37</v>
      </c>
      <c r="NQ80" s="348"/>
      <c r="NR80" s="381">
        <f>NR70-NR78</f>
        <v>5.37</v>
      </c>
      <c r="NS80" s="348"/>
      <c r="NT80" s="381">
        <f>NT70-NT78</f>
        <v>5.37</v>
      </c>
      <c r="NU80" s="348"/>
      <c r="NV80" s="381">
        <f>NV70-NV78</f>
        <v>5.37</v>
      </c>
      <c r="NW80" s="348"/>
      <c r="NX80" s="381">
        <f>NX70-NX78</f>
        <v>5.37</v>
      </c>
      <c r="NY80" s="348"/>
      <c r="NZ80" s="381">
        <f>NZ70-NZ78</f>
        <v>5.37</v>
      </c>
      <c r="OA80" s="348"/>
      <c r="OB80" s="381">
        <f>OB70-OB78</f>
        <v>5.37</v>
      </c>
      <c r="OC80" s="348"/>
      <c r="OD80" s="381">
        <f>OD70-OD78</f>
        <v>5.37</v>
      </c>
      <c r="OE80" s="348"/>
      <c r="OF80" s="381">
        <f>OF70-OF78</f>
        <v>5.3717008797653953</v>
      </c>
      <c r="OG80" s="348"/>
      <c r="OH80" s="381">
        <f>OH70-OH78</f>
        <v>5.3717008797653953</v>
      </c>
      <c r="OI80" s="348"/>
      <c r="OJ80" s="381">
        <f>OJ70-OJ78</f>
        <v>5.3717008797653953</v>
      </c>
      <c r="OK80" s="348"/>
      <c r="OL80" s="381">
        <f>OL70-OL78</f>
        <v>5.3717008797653953</v>
      </c>
      <c r="OM80" s="348"/>
      <c r="ON80" s="381">
        <f>ON70-ON78</f>
        <v>5.3717008797653953</v>
      </c>
      <c r="OO80" s="348"/>
      <c r="OP80" s="381">
        <f>OP70-OP78</f>
        <v>5.3717008797653953</v>
      </c>
      <c r="OQ80" s="348"/>
      <c r="OR80" s="381">
        <f>OR70-OR78</f>
        <v>5.3717008797653953</v>
      </c>
      <c r="OS80" s="348"/>
      <c r="OT80" s="381">
        <f>OT70-OT78</f>
        <v>5.3717008797653953</v>
      </c>
      <c r="OU80" s="348"/>
      <c r="OV80" s="381">
        <f>OV70-OV78</f>
        <v>5.3717008797653953</v>
      </c>
      <c r="OW80" s="348"/>
      <c r="OX80" s="381">
        <f>OX70-OX78</f>
        <v>5.3717008797653953</v>
      </c>
      <c r="OY80" s="348"/>
      <c r="OZ80" s="381">
        <f>OZ70-OZ78</f>
        <v>5.3717008797653953</v>
      </c>
      <c r="PA80" s="348"/>
      <c r="PB80" s="381">
        <f>PB70-PB78</f>
        <v>5.3717008797653953</v>
      </c>
      <c r="PC80" s="348"/>
      <c r="PD80" s="381">
        <f>PD70-PD78</f>
        <v>5.3717008797653953</v>
      </c>
      <c r="PE80" s="348"/>
      <c r="PF80" s="381">
        <f>PF70-PF78</f>
        <v>5.3717008797653953</v>
      </c>
      <c r="PG80" s="348"/>
      <c r="PH80" s="381">
        <f>PH70-PH78</f>
        <v>5.3717008797653953</v>
      </c>
      <c r="PI80" s="348"/>
      <c r="PJ80" s="381">
        <f>PJ70-PJ78</f>
        <v>5.5</v>
      </c>
      <c r="PK80" s="348"/>
      <c r="PL80" s="381">
        <f>PL70-PL78</f>
        <v>5.5</v>
      </c>
      <c r="PM80" s="348"/>
      <c r="PN80" s="381">
        <f>PN70-PN78</f>
        <v>4.8</v>
      </c>
      <c r="PO80" s="348"/>
      <c r="PP80" s="381">
        <f>PP70-PP78</f>
        <v>3.75</v>
      </c>
      <c r="PQ80" s="145"/>
      <c r="PR80" s="348"/>
      <c r="PS80" s="381">
        <f>PS70-PS78</f>
        <v>5.9</v>
      </c>
      <c r="PT80" s="348"/>
      <c r="PU80" s="381">
        <f>PU70-PU78</f>
        <v>5.9</v>
      </c>
      <c r="PV80" s="348"/>
      <c r="PW80" s="381">
        <f>PW70-PW78</f>
        <v>5.0999999999999996</v>
      </c>
      <c r="PX80" s="348"/>
      <c r="PY80" s="381">
        <f>PY70-PY78</f>
        <v>5.0999999999999996</v>
      </c>
      <c r="PZ80" s="348"/>
      <c r="QA80" s="381">
        <f>QA70-QA78</f>
        <v>3.6000000000000005</v>
      </c>
      <c r="QB80" s="348"/>
      <c r="QC80" s="381">
        <f>QC70-QC78</f>
        <v>3.6000000000000005</v>
      </c>
      <c r="QD80" s="145"/>
      <c r="QE80" s="145"/>
      <c r="QF80" s="348"/>
      <c r="QG80" s="381">
        <f>QG70-QG78</f>
        <v>6.7</v>
      </c>
      <c r="QH80" s="348"/>
      <c r="QI80" s="381">
        <f>QI70-QI78</f>
        <v>6.7</v>
      </c>
      <c r="QJ80" s="348"/>
      <c r="QK80" s="381">
        <f>QK70-QK78</f>
        <v>5.9</v>
      </c>
      <c r="QL80" s="348"/>
      <c r="QM80" s="381">
        <f>QM70-QM78</f>
        <v>5.9</v>
      </c>
      <c r="QN80" s="348"/>
      <c r="QO80" s="381">
        <f>QO70-QO78</f>
        <v>5.9</v>
      </c>
      <c r="QP80" s="348"/>
      <c r="QQ80" s="381">
        <f>QQ70-QQ78</f>
        <v>5.9</v>
      </c>
    </row>
    <row r="81" spans="1:459" x14ac:dyDescent="0.45">
      <c r="A81" s="872"/>
      <c r="B81" s="222"/>
      <c r="C81" s="223"/>
      <c r="D81" s="224"/>
      <c r="E81" s="177"/>
      <c r="F81" s="225"/>
      <c r="G81" s="410"/>
      <c r="H81" s="225"/>
      <c r="I81" s="410"/>
      <c r="J81" s="225"/>
      <c r="K81" s="410"/>
      <c r="L81" s="225"/>
      <c r="M81" s="410"/>
      <c r="N81" s="225"/>
      <c r="O81" s="410"/>
      <c r="P81" s="225"/>
      <c r="Q81" s="410"/>
      <c r="R81" s="225"/>
      <c r="S81" s="410"/>
      <c r="T81" s="225"/>
      <c r="U81" s="410"/>
      <c r="V81" s="225"/>
      <c r="W81" s="410"/>
      <c r="X81" s="225"/>
      <c r="Y81" s="410"/>
      <c r="Z81" s="225"/>
      <c r="AA81" s="410"/>
      <c r="AB81" s="225"/>
      <c r="AC81" s="410"/>
      <c r="AD81" s="225"/>
      <c r="AE81" s="410"/>
      <c r="AF81" s="225"/>
      <c r="AG81" s="410"/>
      <c r="AH81" s="225"/>
      <c r="AI81" s="410"/>
      <c r="AJ81" s="225"/>
      <c r="AK81" s="410"/>
      <c r="AL81" s="225"/>
      <c r="AM81" s="410"/>
      <c r="AN81" s="225"/>
      <c r="AO81" s="410"/>
      <c r="AP81" s="225"/>
      <c r="AQ81" s="410"/>
      <c r="AR81" s="225"/>
      <c r="AS81" s="410"/>
      <c r="AT81" s="225"/>
      <c r="AU81" s="410"/>
      <c r="AV81" s="225"/>
      <c r="AW81" s="410"/>
      <c r="AX81" s="225"/>
      <c r="AY81" s="410"/>
      <c r="AZ81" s="225"/>
      <c r="BA81" s="410"/>
      <c r="BB81" s="225"/>
      <c r="BC81" s="410"/>
      <c r="BD81" s="225"/>
      <c r="BE81" s="410"/>
      <c r="BF81" s="225"/>
      <c r="BG81" s="410"/>
      <c r="BH81" s="225"/>
      <c r="BI81" s="410"/>
      <c r="BJ81" s="225"/>
      <c r="BK81" s="410"/>
      <c r="BL81" s="225"/>
      <c r="BM81" s="410"/>
      <c r="BN81" s="225"/>
      <c r="BO81" s="410"/>
      <c r="BP81" s="225"/>
      <c r="BQ81" s="410"/>
      <c r="BR81" s="225"/>
      <c r="BS81" s="410"/>
      <c r="BT81" s="225"/>
      <c r="BU81" s="410"/>
      <c r="BV81" s="225"/>
      <c r="BW81" s="410"/>
      <c r="BX81" s="225"/>
      <c r="BY81" s="410"/>
      <c r="BZ81" s="225"/>
      <c r="CA81" s="410"/>
      <c r="CB81" s="225"/>
      <c r="CC81" s="410"/>
      <c r="CD81" s="225"/>
      <c r="CE81" s="410"/>
      <c r="CF81" s="225"/>
      <c r="CG81" s="410"/>
      <c r="CH81" s="225"/>
      <c r="CI81" s="410"/>
      <c r="CJ81" s="225"/>
      <c r="CK81" s="410"/>
      <c r="CL81" s="225"/>
      <c r="CM81" s="410"/>
      <c r="CN81" s="225"/>
      <c r="CO81" s="410"/>
      <c r="CP81" s="225"/>
      <c r="CQ81" s="410"/>
      <c r="CR81" s="225"/>
      <c r="CS81" s="410"/>
      <c r="CT81" s="136"/>
      <c r="CU81" s="225"/>
      <c r="CV81" s="410"/>
      <c r="CW81" s="225"/>
      <c r="CX81" s="410"/>
      <c r="CY81" s="225"/>
      <c r="CZ81" s="410"/>
      <c r="DA81" s="225"/>
      <c r="DB81" s="410"/>
      <c r="DC81" s="225"/>
      <c r="DD81" s="410"/>
      <c r="DE81" s="225"/>
      <c r="DF81" s="410"/>
      <c r="DG81" s="225"/>
      <c r="DH81" s="410"/>
      <c r="DI81" s="225"/>
      <c r="DJ81" s="410"/>
      <c r="DK81" s="225"/>
      <c r="DL81" s="410"/>
      <c r="DM81" s="225"/>
      <c r="DN81" s="410"/>
      <c r="DO81" s="225"/>
      <c r="DP81" s="410"/>
      <c r="DQ81" s="225"/>
      <c r="DR81" s="410"/>
      <c r="DS81" s="225"/>
      <c r="DT81" s="410"/>
      <c r="DU81" s="225"/>
      <c r="DV81" s="410"/>
      <c r="DW81" s="225"/>
      <c r="DX81" s="410"/>
      <c r="DY81" s="225"/>
      <c r="DZ81" s="410"/>
      <c r="EA81" s="225"/>
      <c r="EB81" s="410"/>
      <c r="EC81" s="225"/>
      <c r="ED81" s="410"/>
      <c r="EE81" s="225"/>
      <c r="EF81" s="410"/>
      <c r="EG81" s="225"/>
      <c r="EH81" s="410"/>
      <c r="EI81" s="225"/>
      <c r="EJ81" s="410"/>
      <c r="EK81" s="225"/>
      <c r="EL81" s="410"/>
      <c r="EM81" s="225"/>
      <c r="EN81" s="410"/>
      <c r="EO81" s="225"/>
      <c r="EP81" s="410"/>
      <c r="EQ81" s="225"/>
      <c r="ER81" s="410"/>
      <c r="ES81" s="225"/>
      <c r="ET81" s="410"/>
      <c r="EU81" s="225"/>
      <c r="EV81" s="410"/>
      <c r="EW81" s="225"/>
      <c r="EX81" s="410"/>
      <c r="EY81" s="225"/>
      <c r="EZ81" s="410"/>
      <c r="FA81" s="225"/>
      <c r="FB81" s="410"/>
      <c r="FC81" s="225"/>
      <c r="FD81" s="410"/>
      <c r="FE81" s="225"/>
      <c r="FF81" s="410"/>
      <c r="FG81" s="225"/>
      <c r="FH81" s="410"/>
      <c r="FI81" s="225"/>
      <c r="FJ81" s="410"/>
      <c r="FK81" s="225"/>
      <c r="FL81" s="410"/>
      <c r="FM81" s="225"/>
      <c r="FN81" s="410"/>
      <c r="FO81" s="225"/>
      <c r="FP81" s="410"/>
      <c r="FQ81" s="177"/>
      <c r="FR81" s="225"/>
      <c r="FS81" s="410"/>
      <c r="FT81" s="225"/>
      <c r="FU81" s="410"/>
      <c r="FV81" s="225"/>
      <c r="FW81" s="410"/>
      <c r="FX81" s="225"/>
      <c r="FY81" s="410"/>
      <c r="FZ81" s="225"/>
      <c r="GA81" s="410"/>
      <c r="GB81" s="225"/>
      <c r="GC81" s="410"/>
      <c r="GD81" s="225"/>
      <c r="GE81" s="410"/>
      <c r="GF81" s="225"/>
      <c r="GG81" s="410"/>
      <c r="GH81" s="225"/>
      <c r="GI81" s="410"/>
      <c r="GJ81" s="225"/>
      <c r="GK81" s="410"/>
      <c r="GL81" s="225"/>
      <c r="GM81" s="410"/>
      <c r="GN81" s="225"/>
      <c r="GO81" s="410"/>
      <c r="GP81" s="225"/>
      <c r="GQ81" s="410"/>
      <c r="GR81" s="225"/>
      <c r="GS81" s="410"/>
      <c r="GT81" s="225"/>
      <c r="GU81" s="410"/>
      <c r="GV81" s="225"/>
      <c r="GW81" s="410"/>
      <c r="GX81" s="225"/>
      <c r="GY81" s="410"/>
      <c r="GZ81" s="225"/>
      <c r="HA81" s="410"/>
      <c r="HB81" s="225"/>
      <c r="HC81" s="410"/>
      <c r="HD81" s="225"/>
      <c r="HE81" s="410"/>
      <c r="HF81" s="225"/>
      <c r="HG81" s="410"/>
      <c r="HH81" s="225"/>
      <c r="HI81" s="410"/>
      <c r="HJ81" s="225"/>
      <c r="HK81" s="410"/>
      <c r="HL81" s="225"/>
      <c r="HM81" s="410"/>
      <c r="HN81" s="225"/>
      <c r="HO81" s="410"/>
      <c r="HP81" s="225"/>
      <c r="HQ81" s="410"/>
      <c r="HR81" s="225"/>
      <c r="HS81" s="410"/>
      <c r="HT81" s="225"/>
      <c r="HU81" s="410"/>
      <c r="HV81" s="225"/>
      <c r="HW81" s="410"/>
      <c r="HX81" s="225"/>
      <c r="HY81" s="410"/>
      <c r="HZ81" s="225"/>
      <c r="IA81" s="410"/>
      <c r="IB81" s="225"/>
      <c r="IC81" s="410"/>
      <c r="ID81" s="225"/>
      <c r="IE81" s="410"/>
      <c r="IF81" s="225"/>
      <c r="IG81" s="410"/>
      <c r="IH81" s="225"/>
      <c r="II81" s="410"/>
      <c r="IJ81" s="225"/>
      <c r="IK81" s="410"/>
      <c r="IL81" s="225"/>
      <c r="IM81" s="410"/>
      <c r="IN81" s="225"/>
      <c r="IO81" s="410"/>
      <c r="IP81" s="225"/>
      <c r="IQ81" s="410"/>
      <c r="IR81" s="225"/>
      <c r="IS81" s="410"/>
      <c r="IT81" s="225"/>
      <c r="IU81" s="410"/>
      <c r="IV81" s="225"/>
      <c r="IW81" s="410"/>
      <c r="IX81" s="225"/>
      <c r="IY81" s="410"/>
      <c r="IZ81" s="177"/>
      <c r="JA81" s="225"/>
      <c r="JB81" s="410"/>
      <c r="JC81" s="225"/>
      <c r="JD81" s="410"/>
      <c r="JE81" s="177"/>
      <c r="JF81" s="225"/>
      <c r="JG81" s="410"/>
      <c r="JH81" s="225"/>
      <c r="JI81" s="410"/>
      <c r="JJ81" s="225"/>
      <c r="JK81" s="410"/>
      <c r="JL81" s="225"/>
      <c r="JM81" s="410"/>
      <c r="JN81" s="225"/>
      <c r="JO81" s="410"/>
      <c r="JP81" s="225"/>
      <c r="JQ81" s="410"/>
      <c r="JR81" s="225"/>
      <c r="JS81" s="410"/>
      <c r="JT81" s="225"/>
      <c r="JU81" s="410"/>
      <c r="JV81" s="225"/>
      <c r="JW81" s="410"/>
      <c r="JX81" s="225"/>
      <c r="JY81" s="410"/>
      <c r="JZ81" s="225"/>
      <c r="KA81" s="410"/>
      <c r="KB81" s="225"/>
      <c r="KC81" s="410"/>
      <c r="KD81" s="225"/>
      <c r="KE81" s="410"/>
      <c r="KF81" s="225"/>
      <c r="KG81" s="410"/>
      <c r="KH81" s="225"/>
      <c r="KI81" s="410"/>
      <c r="KJ81" s="225"/>
      <c r="KK81" s="410"/>
      <c r="KL81" s="225"/>
      <c r="KM81" s="410"/>
      <c r="KN81" s="225"/>
      <c r="KO81" s="410"/>
      <c r="KP81" s="225"/>
      <c r="KQ81" s="410"/>
      <c r="KR81" s="225"/>
      <c r="KS81" s="410"/>
      <c r="KT81" s="225"/>
      <c r="KU81" s="410"/>
      <c r="KV81" s="225"/>
      <c r="KW81" s="410"/>
      <c r="KX81" s="225"/>
      <c r="KY81" s="410"/>
      <c r="KZ81" s="225"/>
      <c r="LA81" s="410"/>
      <c r="LB81" s="225"/>
      <c r="LC81" s="410"/>
      <c r="LD81" s="225"/>
      <c r="LE81" s="410"/>
      <c r="LF81" s="225"/>
      <c r="LG81" s="410"/>
      <c r="LH81" s="225"/>
      <c r="LI81" s="410"/>
      <c r="LJ81" s="225"/>
      <c r="LK81" s="410"/>
      <c r="LL81" s="225"/>
      <c r="LM81" s="410"/>
      <c r="LN81" s="225"/>
      <c r="LO81" s="410"/>
      <c r="LP81" s="225"/>
      <c r="LQ81" s="410"/>
      <c r="LR81" s="225"/>
      <c r="LS81" s="410"/>
      <c r="LT81" s="225"/>
      <c r="LU81" s="410"/>
      <c r="LV81" s="225"/>
      <c r="LW81" s="410"/>
      <c r="LX81" s="225"/>
      <c r="LY81" s="410"/>
      <c r="LZ81" s="225"/>
      <c r="MA81" s="410"/>
      <c r="MB81" s="225"/>
      <c r="MC81" s="410"/>
      <c r="MD81" s="225"/>
      <c r="ME81" s="410"/>
      <c r="MF81" s="225"/>
      <c r="MG81" s="410"/>
      <c r="MH81" s="177"/>
      <c r="MI81" s="225"/>
      <c r="MJ81" s="410"/>
      <c r="MK81" s="225"/>
      <c r="ML81" s="410"/>
      <c r="MM81" s="225"/>
      <c r="MN81" s="410"/>
      <c r="MO81" s="225"/>
      <c r="MP81" s="410"/>
      <c r="MQ81" s="225"/>
      <c r="MR81" s="410"/>
      <c r="MS81" s="225"/>
      <c r="MT81" s="410"/>
      <c r="MU81" s="225"/>
      <c r="MV81" s="410"/>
      <c r="MW81" s="225"/>
      <c r="MX81" s="410"/>
      <c r="MY81" s="225"/>
      <c r="MZ81" s="410"/>
      <c r="NA81" s="225"/>
      <c r="NB81" s="410"/>
      <c r="NC81" s="225"/>
      <c r="ND81" s="410"/>
      <c r="NE81" s="225"/>
      <c r="NF81" s="410"/>
      <c r="NG81" s="225"/>
      <c r="NH81" s="410"/>
      <c r="NI81" s="225"/>
      <c r="NJ81" s="410"/>
      <c r="NK81" s="225"/>
      <c r="NL81" s="410"/>
      <c r="NM81" s="225"/>
      <c r="NN81" s="410"/>
      <c r="NO81" s="225"/>
      <c r="NP81" s="410"/>
      <c r="NQ81" s="225"/>
      <c r="NR81" s="410"/>
      <c r="NS81" s="225"/>
      <c r="NT81" s="410"/>
      <c r="NU81" s="225"/>
      <c r="NV81" s="410"/>
      <c r="NW81" s="225"/>
      <c r="NX81" s="410"/>
      <c r="NY81" s="225"/>
      <c r="NZ81" s="410"/>
      <c r="OA81" s="225"/>
      <c r="OB81" s="410"/>
      <c r="OC81" s="225"/>
      <c r="OD81" s="410"/>
      <c r="OE81" s="225"/>
      <c r="OF81" s="410"/>
      <c r="OG81" s="225"/>
      <c r="OH81" s="410"/>
      <c r="OI81" s="225"/>
      <c r="OJ81" s="410"/>
      <c r="OK81" s="225"/>
      <c r="OL81" s="410"/>
      <c r="OM81" s="225"/>
      <c r="ON81" s="410"/>
      <c r="OO81" s="225"/>
      <c r="OP81" s="410"/>
      <c r="OQ81" s="225"/>
      <c r="OR81" s="410"/>
      <c r="OS81" s="225"/>
      <c r="OT81" s="410"/>
      <c r="OU81" s="225"/>
      <c r="OV81" s="410"/>
      <c r="OW81" s="225"/>
      <c r="OX81" s="410"/>
      <c r="OY81" s="225"/>
      <c r="OZ81" s="410"/>
      <c r="PA81" s="225"/>
      <c r="PB81" s="410"/>
      <c r="PC81" s="225"/>
      <c r="PD81" s="410"/>
      <c r="PE81" s="225"/>
      <c r="PF81" s="410"/>
      <c r="PG81" s="225"/>
      <c r="PH81" s="410"/>
      <c r="PI81" s="225"/>
      <c r="PJ81" s="410"/>
      <c r="PK81" s="225"/>
      <c r="PL81" s="410"/>
      <c r="PM81" s="225"/>
      <c r="PN81" s="410"/>
      <c r="PO81" s="225"/>
      <c r="PP81" s="410"/>
      <c r="PR81" s="225"/>
      <c r="PS81" s="410"/>
      <c r="PT81" s="225"/>
      <c r="PU81" s="410"/>
      <c r="PV81" s="225"/>
      <c r="PW81" s="410"/>
      <c r="PX81" s="225"/>
      <c r="PY81" s="410"/>
      <c r="PZ81" s="225"/>
      <c r="QA81" s="410"/>
      <c r="QB81" s="225"/>
      <c r="QC81" s="410"/>
      <c r="QF81" s="225"/>
      <c r="QG81" s="410"/>
      <c r="QH81" s="225"/>
      <c r="QI81" s="410"/>
      <c r="QJ81" s="225"/>
      <c r="QK81" s="410"/>
      <c r="QL81" s="225"/>
      <c r="QM81" s="410"/>
      <c r="QN81" s="225"/>
      <c r="QO81" s="410"/>
      <c r="QP81" s="225"/>
      <c r="QQ81" s="410"/>
    </row>
    <row r="82" spans="1:459" x14ac:dyDescent="0.45">
      <c r="A82" s="870" t="s">
        <v>385</v>
      </c>
      <c r="B82" s="194"/>
      <c r="C82" s="181"/>
      <c r="D82" s="182"/>
      <c r="E82" s="177"/>
      <c r="F82" s="285"/>
      <c r="G82" s="357"/>
      <c r="H82" s="285"/>
      <c r="I82" s="357"/>
      <c r="J82" s="285"/>
      <c r="K82" s="357"/>
      <c r="L82" s="285"/>
      <c r="M82" s="357"/>
      <c r="N82" s="285"/>
      <c r="O82" s="357"/>
      <c r="P82" s="285"/>
      <c r="Q82" s="357"/>
      <c r="R82" s="285"/>
      <c r="S82" s="357"/>
      <c r="T82" s="285"/>
      <c r="U82" s="357"/>
      <c r="V82" s="285"/>
      <c r="W82" s="357"/>
      <c r="X82" s="285"/>
      <c r="Y82" s="357"/>
      <c r="Z82" s="285"/>
      <c r="AA82" s="357"/>
      <c r="AB82" s="285"/>
      <c r="AC82" s="357"/>
      <c r="AD82" s="285"/>
      <c r="AE82" s="357"/>
      <c r="AF82" s="285"/>
      <c r="AG82" s="357"/>
      <c r="AH82" s="285"/>
      <c r="AI82" s="357"/>
      <c r="AJ82" s="285"/>
      <c r="AK82" s="357"/>
      <c r="AL82" s="285"/>
      <c r="AM82" s="357"/>
      <c r="AN82" s="285"/>
      <c r="AO82" s="357"/>
      <c r="AP82" s="285"/>
      <c r="AQ82" s="357"/>
      <c r="AR82" s="285"/>
      <c r="AS82" s="357"/>
      <c r="AT82" s="285"/>
      <c r="AU82" s="357"/>
      <c r="AV82" s="285"/>
      <c r="AW82" s="357"/>
      <c r="AX82" s="285"/>
      <c r="AY82" s="357"/>
      <c r="AZ82" s="285"/>
      <c r="BA82" s="357"/>
      <c r="BB82" s="285"/>
      <c r="BC82" s="357"/>
      <c r="BD82" s="285"/>
      <c r="BE82" s="357"/>
      <c r="BF82" s="285"/>
      <c r="BG82" s="357"/>
      <c r="BH82" s="285"/>
      <c r="BI82" s="357"/>
      <c r="BJ82" s="285"/>
      <c r="BK82" s="357"/>
      <c r="BL82" s="285"/>
      <c r="BM82" s="357"/>
      <c r="BN82" s="285"/>
      <c r="BO82" s="357"/>
      <c r="BP82" s="285"/>
      <c r="BQ82" s="357"/>
      <c r="BR82" s="285"/>
      <c r="BS82" s="357"/>
      <c r="BT82" s="285"/>
      <c r="BU82" s="357"/>
      <c r="BV82" s="285"/>
      <c r="BW82" s="357"/>
      <c r="BX82" s="285"/>
      <c r="BY82" s="357"/>
      <c r="BZ82" s="285"/>
      <c r="CA82" s="357"/>
      <c r="CB82" s="285"/>
      <c r="CC82" s="357"/>
      <c r="CD82" s="285"/>
      <c r="CE82" s="357"/>
      <c r="CF82" s="285"/>
      <c r="CG82" s="357"/>
      <c r="CH82" s="285"/>
      <c r="CI82" s="357"/>
      <c r="CJ82" s="285"/>
      <c r="CK82" s="357"/>
      <c r="CL82" s="285"/>
      <c r="CM82" s="357"/>
      <c r="CN82" s="285"/>
      <c r="CO82" s="357"/>
      <c r="CP82" s="285"/>
      <c r="CQ82" s="357"/>
      <c r="CR82" s="285"/>
      <c r="CS82" s="357"/>
      <c r="CT82" s="136"/>
      <c r="CU82" s="285"/>
      <c r="CV82" s="357"/>
      <c r="CW82" s="285"/>
      <c r="CX82" s="357"/>
      <c r="CY82" s="285"/>
      <c r="CZ82" s="357"/>
      <c r="DA82" s="285"/>
      <c r="DB82" s="357"/>
      <c r="DC82" s="285"/>
      <c r="DD82" s="357"/>
      <c r="DE82" s="285"/>
      <c r="DF82" s="357"/>
      <c r="DG82" s="285"/>
      <c r="DH82" s="357"/>
      <c r="DI82" s="285"/>
      <c r="DJ82" s="357"/>
      <c r="DK82" s="285"/>
      <c r="DL82" s="357"/>
      <c r="DM82" s="285"/>
      <c r="DN82" s="357"/>
      <c r="DO82" s="285"/>
      <c r="DP82" s="357"/>
      <c r="DQ82" s="285"/>
      <c r="DR82" s="357"/>
      <c r="DS82" s="285"/>
      <c r="DT82" s="357"/>
      <c r="DU82" s="285"/>
      <c r="DV82" s="357"/>
      <c r="DW82" s="285"/>
      <c r="DX82" s="357"/>
      <c r="DY82" s="285"/>
      <c r="DZ82" s="357"/>
      <c r="EA82" s="285"/>
      <c r="EB82" s="357"/>
      <c r="EC82" s="285"/>
      <c r="ED82" s="357"/>
      <c r="EE82" s="285"/>
      <c r="EF82" s="357"/>
      <c r="EG82" s="285"/>
      <c r="EH82" s="357"/>
      <c r="EI82" s="285"/>
      <c r="EJ82" s="357"/>
      <c r="EK82" s="285"/>
      <c r="EL82" s="357"/>
      <c r="EM82" s="285"/>
      <c r="EN82" s="357"/>
      <c r="EO82" s="285"/>
      <c r="EP82" s="357"/>
      <c r="EQ82" s="285"/>
      <c r="ER82" s="357"/>
      <c r="ES82" s="285"/>
      <c r="ET82" s="357"/>
      <c r="EU82" s="285"/>
      <c r="EV82" s="357"/>
      <c r="EW82" s="285"/>
      <c r="EX82" s="357"/>
      <c r="EY82" s="285"/>
      <c r="EZ82" s="357"/>
      <c r="FA82" s="285"/>
      <c r="FB82" s="357"/>
      <c r="FC82" s="285"/>
      <c r="FD82" s="357"/>
      <c r="FE82" s="285"/>
      <c r="FF82" s="357"/>
      <c r="FG82" s="285"/>
      <c r="FH82" s="357"/>
      <c r="FI82" s="285"/>
      <c r="FJ82" s="357"/>
      <c r="FK82" s="285"/>
      <c r="FL82" s="357"/>
      <c r="FM82" s="285"/>
      <c r="FN82" s="357"/>
      <c r="FO82" s="285"/>
      <c r="FP82" s="357"/>
      <c r="FQ82" s="177"/>
      <c r="FR82" s="285"/>
      <c r="FS82" s="357"/>
      <c r="FT82" s="285"/>
      <c r="FU82" s="357"/>
      <c r="FV82" s="285"/>
      <c r="FW82" s="357"/>
      <c r="FX82" s="285"/>
      <c r="FY82" s="357"/>
      <c r="FZ82" s="285"/>
      <c r="GA82" s="357"/>
      <c r="GB82" s="285"/>
      <c r="GC82" s="357"/>
      <c r="GD82" s="285"/>
      <c r="GE82" s="357"/>
      <c r="GF82" s="285"/>
      <c r="GG82" s="357"/>
      <c r="GH82" s="285"/>
      <c r="GI82" s="357"/>
      <c r="GJ82" s="285"/>
      <c r="GK82" s="357"/>
      <c r="GL82" s="285"/>
      <c r="GM82" s="357"/>
      <c r="GN82" s="285"/>
      <c r="GO82" s="357"/>
      <c r="GP82" s="285"/>
      <c r="GQ82" s="357"/>
      <c r="GR82" s="285"/>
      <c r="GS82" s="357"/>
      <c r="GT82" s="285"/>
      <c r="GU82" s="357"/>
      <c r="GV82" s="285"/>
      <c r="GW82" s="357"/>
      <c r="GX82" s="285"/>
      <c r="GY82" s="357"/>
      <c r="GZ82" s="285"/>
      <c r="HA82" s="357"/>
      <c r="HB82" s="285"/>
      <c r="HC82" s="357"/>
      <c r="HD82" s="285"/>
      <c r="HE82" s="357"/>
      <c r="HF82" s="285"/>
      <c r="HG82" s="357"/>
      <c r="HH82" s="285"/>
      <c r="HI82" s="357"/>
      <c r="HJ82" s="285"/>
      <c r="HK82" s="357"/>
      <c r="HL82" s="285"/>
      <c r="HM82" s="357"/>
      <c r="HN82" s="285"/>
      <c r="HO82" s="357"/>
      <c r="HP82" s="285"/>
      <c r="HQ82" s="357"/>
      <c r="HR82" s="285"/>
      <c r="HS82" s="357"/>
      <c r="HT82" s="285"/>
      <c r="HU82" s="357"/>
      <c r="HV82" s="285"/>
      <c r="HW82" s="357"/>
      <c r="HX82" s="285"/>
      <c r="HY82" s="357"/>
      <c r="HZ82" s="285"/>
      <c r="IA82" s="357"/>
      <c r="IB82" s="285"/>
      <c r="IC82" s="357"/>
      <c r="ID82" s="285"/>
      <c r="IE82" s="357"/>
      <c r="IF82" s="285"/>
      <c r="IG82" s="357"/>
      <c r="IH82" s="285"/>
      <c r="II82" s="357"/>
      <c r="IJ82" s="285"/>
      <c r="IK82" s="357"/>
      <c r="IL82" s="285"/>
      <c r="IM82" s="357"/>
      <c r="IN82" s="285"/>
      <c r="IO82" s="357"/>
      <c r="IP82" s="285"/>
      <c r="IQ82" s="357"/>
      <c r="IR82" s="285"/>
      <c r="IS82" s="357"/>
      <c r="IT82" s="285"/>
      <c r="IU82" s="357"/>
      <c r="IV82" s="285"/>
      <c r="IW82" s="357"/>
      <c r="IX82" s="285"/>
      <c r="IY82" s="357"/>
      <c r="IZ82" s="177"/>
      <c r="JA82" s="285"/>
      <c r="JB82" s="357"/>
      <c r="JC82" s="285"/>
      <c r="JD82" s="357"/>
      <c r="JE82" s="177"/>
      <c r="JF82" s="285"/>
      <c r="JG82" s="357"/>
      <c r="JH82" s="285"/>
      <c r="JI82" s="357"/>
      <c r="JJ82" s="285"/>
      <c r="JK82" s="357"/>
      <c r="JL82" s="285"/>
      <c r="JM82" s="357"/>
      <c r="JN82" s="285"/>
      <c r="JO82" s="357"/>
      <c r="JP82" s="285"/>
      <c r="JQ82" s="357"/>
      <c r="JR82" s="285"/>
      <c r="JS82" s="357"/>
      <c r="JT82" s="285"/>
      <c r="JU82" s="357"/>
      <c r="JV82" s="285"/>
      <c r="JW82" s="357"/>
      <c r="JX82" s="285"/>
      <c r="JY82" s="357"/>
      <c r="JZ82" s="285"/>
      <c r="KA82" s="357"/>
      <c r="KB82" s="285"/>
      <c r="KC82" s="357"/>
      <c r="KD82" s="285"/>
      <c r="KE82" s="357"/>
      <c r="KF82" s="285"/>
      <c r="KG82" s="357"/>
      <c r="KH82" s="285"/>
      <c r="KI82" s="357"/>
      <c r="KJ82" s="285"/>
      <c r="KK82" s="357"/>
      <c r="KL82" s="285"/>
      <c r="KM82" s="357"/>
      <c r="KN82" s="285"/>
      <c r="KO82" s="357"/>
      <c r="KP82" s="285"/>
      <c r="KQ82" s="357"/>
      <c r="KR82" s="285"/>
      <c r="KS82" s="357"/>
      <c r="KT82" s="285"/>
      <c r="KU82" s="357"/>
      <c r="KV82" s="285"/>
      <c r="KW82" s="357"/>
      <c r="KX82" s="285"/>
      <c r="KY82" s="357"/>
      <c r="KZ82" s="285"/>
      <c r="LA82" s="357"/>
      <c r="LB82" s="285"/>
      <c r="LC82" s="357"/>
      <c r="LD82" s="285"/>
      <c r="LE82" s="357"/>
      <c r="LF82" s="285"/>
      <c r="LG82" s="357"/>
      <c r="LH82" s="285"/>
      <c r="LI82" s="357"/>
      <c r="LJ82" s="285"/>
      <c r="LK82" s="357"/>
      <c r="LL82" s="285"/>
      <c r="LM82" s="357"/>
      <c r="LN82" s="285"/>
      <c r="LO82" s="357"/>
      <c r="LP82" s="285"/>
      <c r="LQ82" s="357"/>
      <c r="LR82" s="285"/>
      <c r="LS82" s="357"/>
      <c r="LT82" s="285"/>
      <c r="LU82" s="357"/>
      <c r="LV82" s="285"/>
      <c r="LW82" s="357"/>
      <c r="LX82" s="285"/>
      <c r="LY82" s="357"/>
      <c r="LZ82" s="285"/>
      <c r="MA82" s="357"/>
      <c r="MB82" s="285"/>
      <c r="MC82" s="357"/>
      <c r="MD82" s="285"/>
      <c r="ME82" s="357"/>
      <c r="MF82" s="285"/>
      <c r="MG82" s="357"/>
      <c r="MH82" s="177"/>
      <c r="MI82" s="285"/>
      <c r="MJ82" s="357"/>
      <c r="MK82" s="285"/>
      <c r="ML82" s="357"/>
      <c r="MM82" s="285"/>
      <c r="MN82" s="357"/>
      <c r="MO82" s="285"/>
      <c r="MP82" s="357"/>
      <c r="MQ82" s="285"/>
      <c r="MR82" s="357"/>
      <c r="MS82" s="285"/>
      <c r="MT82" s="357"/>
      <c r="MU82" s="285"/>
      <c r="MV82" s="357"/>
      <c r="MW82" s="285"/>
      <c r="MX82" s="357"/>
      <c r="MY82" s="285"/>
      <c r="MZ82" s="357"/>
      <c r="NA82" s="285"/>
      <c r="NB82" s="357"/>
      <c r="NC82" s="285"/>
      <c r="ND82" s="357"/>
      <c r="NE82" s="285"/>
      <c r="NF82" s="357"/>
      <c r="NG82" s="285"/>
      <c r="NH82" s="357"/>
      <c r="NI82" s="285"/>
      <c r="NJ82" s="357"/>
      <c r="NK82" s="285"/>
      <c r="NL82" s="357"/>
      <c r="NM82" s="285"/>
      <c r="NN82" s="357"/>
      <c r="NO82" s="285"/>
      <c r="NP82" s="357"/>
      <c r="NQ82" s="285"/>
      <c r="NR82" s="357"/>
      <c r="NS82" s="285"/>
      <c r="NT82" s="357"/>
      <c r="NU82" s="285"/>
      <c r="NV82" s="357"/>
      <c r="NW82" s="285"/>
      <c r="NX82" s="357"/>
      <c r="NY82" s="285"/>
      <c r="NZ82" s="357"/>
      <c r="OA82" s="285"/>
      <c r="OB82" s="357"/>
      <c r="OC82" s="285"/>
      <c r="OD82" s="357"/>
      <c r="OE82" s="285"/>
      <c r="OF82" s="357"/>
      <c r="OG82" s="285"/>
      <c r="OH82" s="357"/>
      <c r="OI82" s="285"/>
      <c r="OJ82" s="357"/>
      <c r="OK82" s="285"/>
      <c r="OL82" s="357"/>
      <c r="OM82" s="285"/>
      <c r="ON82" s="357"/>
      <c r="OO82" s="285"/>
      <c r="OP82" s="357"/>
      <c r="OQ82" s="285"/>
      <c r="OR82" s="357"/>
      <c r="OS82" s="285"/>
      <c r="OT82" s="357"/>
      <c r="OU82" s="285"/>
      <c r="OV82" s="357"/>
      <c r="OW82" s="285"/>
      <c r="OX82" s="357"/>
      <c r="OY82" s="285"/>
      <c r="OZ82" s="357"/>
      <c r="PA82" s="285"/>
      <c r="PB82" s="357"/>
      <c r="PC82" s="285"/>
      <c r="PD82" s="357"/>
      <c r="PE82" s="285"/>
      <c r="PF82" s="357"/>
      <c r="PG82" s="285"/>
      <c r="PH82" s="357"/>
      <c r="PI82" s="285"/>
      <c r="PJ82" s="357"/>
      <c r="PK82" s="285"/>
      <c r="PL82" s="357"/>
      <c r="PM82" s="285"/>
      <c r="PN82" s="357"/>
      <c r="PO82" s="285"/>
      <c r="PP82" s="357"/>
      <c r="PR82" s="285"/>
      <c r="PS82" s="357"/>
      <c r="PT82" s="285"/>
      <c r="PU82" s="357"/>
      <c r="PV82" s="285"/>
      <c r="PW82" s="357"/>
      <c r="PX82" s="285"/>
      <c r="PY82" s="357"/>
      <c r="PZ82" s="285"/>
      <c r="QA82" s="357"/>
      <c r="QB82" s="285"/>
      <c r="QC82" s="357"/>
      <c r="QF82" s="285"/>
      <c r="QG82" s="357"/>
      <c r="QH82" s="285"/>
      <c r="QI82" s="357"/>
      <c r="QJ82" s="285"/>
      <c r="QK82" s="357"/>
      <c r="QL82" s="285"/>
      <c r="QM82" s="357"/>
      <c r="QN82" s="285"/>
      <c r="QO82" s="357"/>
      <c r="QP82" s="285"/>
      <c r="QQ82" s="357"/>
    </row>
    <row r="83" spans="1:459" x14ac:dyDescent="0.45">
      <c r="A83" s="871"/>
      <c r="B83" s="272" t="s">
        <v>386</v>
      </c>
      <c r="C83" s="360"/>
      <c r="D83" s="361" t="s">
        <v>353</v>
      </c>
      <c r="E83" s="411"/>
      <c r="F83" s="412"/>
      <c r="G83" s="413">
        <f>G84+G85</f>
        <v>4.7240208307777394</v>
      </c>
      <c r="H83" s="412"/>
      <c r="I83" s="413">
        <f>I84+I85</f>
        <v>4.7240208307777394</v>
      </c>
      <c r="J83" s="412"/>
      <c r="K83" s="413">
        <f>K84+K85</f>
        <v>4.4933931167018404</v>
      </c>
      <c r="L83" s="412"/>
      <c r="M83" s="413">
        <f>M84+M85</f>
        <v>4.4933931167018404</v>
      </c>
      <c r="N83" s="412"/>
      <c r="O83" s="413">
        <f>O84+O85</f>
        <v>4.6071594918613696</v>
      </c>
      <c r="P83" s="412"/>
      <c r="Q83" s="413">
        <f>Q84+Q85</f>
        <v>4.7119471214621251</v>
      </c>
      <c r="R83" s="412"/>
      <c r="S83" s="413">
        <f>S84+S85</f>
        <v>4.9876569064963316</v>
      </c>
      <c r="T83" s="412"/>
      <c r="U83" s="413">
        <f>U84+U85</f>
        <v>4.9876569064963316</v>
      </c>
      <c r="V83" s="412"/>
      <c r="W83" s="413">
        <f>W84+W85</f>
        <v>4.9876569064963316</v>
      </c>
      <c r="X83" s="412"/>
      <c r="Y83" s="413">
        <f>Y84+Y85</f>
        <v>4.9876569064963316</v>
      </c>
      <c r="Z83" s="412"/>
      <c r="AA83" s="413">
        <f>AA84+AA85</f>
        <v>4.9530968785954244</v>
      </c>
      <c r="AB83" s="412"/>
      <c r="AC83" s="413">
        <f>AC84+AC85</f>
        <v>5.2995028409090903</v>
      </c>
      <c r="AD83" s="412"/>
      <c r="AE83" s="413">
        <f>AE84+AE85</f>
        <v>5.6573796695402301</v>
      </c>
      <c r="AF83" s="412"/>
      <c r="AG83" s="413">
        <f>AG84+AG85</f>
        <v>4.6873969295295215</v>
      </c>
      <c r="AH83" s="412"/>
      <c r="AI83" s="413">
        <f>AI84+AI85</f>
        <v>4.8385534274193542</v>
      </c>
      <c r="AJ83" s="412"/>
      <c r="AK83" s="413">
        <f>AK84+AK85</f>
        <v>4.6232929347513405</v>
      </c>
      <c r="AL83" s="412"/>
      <c r="AM83" s="413">
        <f>AM84+AM85</f>
        <v>4.7517039499861662</v>
      </c>
      <c r="AN83" s="412"/>
      <c r="AO83" s="413">
        <f>AO84+AO85</f>
        <v>4.863741578599301</v>
      </c>
      <c r="AP83" s="412"/>
      <c r="AQ83" s="413">
        <f>AQ84+AQ85</f>
        <v>5.0253112406335241</v>
      </c>
      <c r="AR83" s="412"/>
      <c r="AS83" s="413">
        <f>AS84+AS85</f>
        <v>5.2187589798850578</v>
      </c>
      <c r="AT83" s="412"/>
      <c r="AU83" s="413">
        <f>AU84+AU85</f>
        <v>5.2187589798850578</v>
      </c>
      <c r="AV83" s="412"/>
      <c r="AW83" s="413">
        <f>AW84+AW85</f>
        <v>4.971030695373635</v>
      </c>
      <c r="AX83" s="412"/>
      <c r="AY83" s="413">
        <f>AY84+AY85</f>
        <v>4.71905878971066</v>
      </c>
      <c r="AZ83" s="412"/>
      <c r="BA83" s="413">
        <f>BA84+BA85</f>
        <v>4.6419574144501441</v>
      </c>
      <c r="BB83" s="412"/>
      <c r="BC83" s="413">
        <f>BC84+BC85</f>
        <v>4.6396388322237749</v>
      </c>
      <c r="BD83" s="412"/>
      <c r="BE83" s="413">
        <f>BE84+BE85</f>
        <v>4.6257684868439002</v>
      </c>
      <c r="BF83" s="412"/>
      <c r="BG83" s="413">
        <f>BG84+BG85</f>
        <v>4.4008943400770688</v>
      </c>
      <c r="BH83" s="412"/>
      <c r="BI83" s="413">
        <f>BI84+BI85</f>
        <v>4.2017685744395887</v>
      </c>
      <c r="BJ83" s="412"/>
      <c r="BK83" s="413">
        <f>BK84+BK85</f>
        <v>4.171428225636177</v>
      </c>
      <c r="BL83" s="412"/>
      <c r="BM83" s="413">
        <f>BM84+BM85</f>
        <v>4.6325263572415158</v>
      </c>
      <c r="BN83" s="412"/>
      <c r="BO83" s="413">
        <f>BO84+BO85</f>
        <v>4.731578277213119</v>
      </c>
      <c r="BP83" s="412"/>
      <c r="BQ83" s="413">
        <f>BQ84+BQ85</f>
        <v>4.8685174532065618</v>
      </c>
      <c r="BR83" s="412"/>
      <c r="BS83" s="413">
        <f>BS84+BS85</f>
        <v>4.5139267530574427</v>
      </c>
      <c r="BT83" s="412"/>
      <c r="BU83" s="413">
        <f>BU84+BU85</f>
        <v>4.7067828725293186</v>
      </c>
      <c r="BV83" s="412"/>
      <c r="BW83" s="413">
        <f>BW84+BW85</f>
        <v>4.7300850182129857</v>
      </c>
      <c r="BX83" s="412"/>
      <c r="BY83" s="413">
        <f>BY84+BY85</f>
        <v>4.4765660130056126</v>
      </c>
      <c r="BZ83" s="412"/>
      <c r="CA83" s="413">
        <f>CA84+CA85</f>
        <v>4.6091816725751817</v>
      </c>
      <c r="CB83" s="412"/>
      <c r="CC83" s="413">
        <f>CC84+CC85</f>
        <v>4.3731572954347211</v>
      </c>
      <c r="CD83" s="412"/>
      <c r="CE83" s="413">
        <f>CE84+CE85</f>
        <v>4.5018325758484234</v>
      </c>
      <c r="CF83" s="412"/>
      <c r="CG83" s="413">
        <f>CG84+CG85</f>
        <v>4.9044014860657104</v>
      </c>
      <c r="CH83" s="412"/>
      <c r="CI83" s="413">
        <f>CI84+CI85</f>
        <v>4.8277448228171256</v>
      </c>
      <c r="CJ83" s="412"/>
      <c r="CK83" s="413">
        <f>CK84+CK85</f>
        <v>4.7621793615235086</v>
      </c>
      <c r="CL83" s="412"/>
      <c r="CM83" s="413">
        <f>CM84+CM85</f>
        <v>4.6667728334878493</v>
      </c>
      <c r="CN83" s="412"/>
      <c r="CO83" s="413">
        <f>CO84+CO85</f>
        <v>4.6569952399158776</v>
      </c>
      <c r="CP83" s="412"/>
      <c r="CQ83" s="413">
        <f>CQ84+CQ85</f>
        <v>4.6758937757201648</v>
      </c>
      <c r="CR83" s="412"/>
      <c r="CS83" s="413">
        <f>CS84+CS85</f>
        <v>4.6758937757201648</v>
      </c>
      <c r="CT83" s="365"/>
      <c r="CU83" s="377"/>
      <c r="CV83" s="413">
        <f>CV84+CV85</f>
        <v>6.7780748816403449</v>
      </c>
      <c r="CW83" s="377"/>
      <c r="CX83" s="413">
        <f>CX84+CX85</f>
        <v>7.1736799507821498</v>
      </c>
      <c r="CY83" s="377"/>
      <c r="CZ83" s="413">
        <f>CZ84+CZ85</f>
        <v>7.1736799507821498</v>
      </c>
      <c r="DA83" s="377"/>
      <c r="DB83" s="413">
        <f>DB84+DB85</f>
        <v>8.0719903263891535</v>
      </c>
      <c r="DC83" s="377"/>
      <c r="DD83" s="413">
        <f>DD84+DD85</f>
        <v>8.3340775464802164</v>
      </c>
      <c r="DE83" s="377"/>
      <c r="DF83" s="413">
        <f>DF84+DF85</f>
        <v>6.8979716500184942</v>
      </c>
      <c r="DG83" s="377"/>
      <c r="DH83" s="413">
        <f>DH84+DH85</f>
        <v>7.3753185939970543</v>
      </c>
      <c r="DI83" s="377"/>
      <c r="DJ83" s="413">
        <f>DJ84+DJ85</f>
        <v>6.6997264505593348</v>
      </c>
      <c r="DK83" s="377"/>
      <c r="DL83" s="413">
        <f>DL84+DL85</f>
        <v>7.0681490330207986</v>
      </c>
      <c r="DM83" s="377"/>
      <c r="DN83" s="413">
        <f>DN84+DN85</f>
        <v>7.0198768577321964</v>
      </c>
      <c r="DO83" s="377"/>
      <c r="DP83" s="413">
        <f>DP84+DP85</f>
        <v>6.9590203502394301</v>
      </c>
      <c r="DQ83" s="377"/>
      <c r="DR83" s="413">
        <f>DR84+DR85</f>
        <v>7.6306292706181473</v>
      </c>
      <c r="DS83" s="377"/>
      <c r="DT83" s="413">
        <f>DT84+DT85</f>
        <v>7.6306292706181473</v>
      </c>
      <c r="DU83" s="377"/>
      <c r="DV83" s="413">
        <f>DV84+DV85</f>
        <v>7.2339032662961396</v>
      </c>
      <c r="DW83" s="377"/>
      <c r="DX83" s="413">
        <f>DX84+DX85</f>
        <v>7.1796033098248691</v>
      </c>
      <c r="DY83" s="377"/>
      <c r="DZ83" s="413">
        <f>DZ84+DZ85</f>
        <v>6.9006699951110502</v>
      </c>
      <c r="EA83" s="377"/>
      <c r="EB83" s="413">
        <f>EB84+EB85</f>
        <v>7.0892864637572748</v>
      </c>
      <c r="EC83" s="377"/>
      <c r="ED83" s="413">
        <f>ED84+ED85</f>
        <v>6.8032993128754224</v>
      </c>
      <c r="EE83" s="377"/>
      <c r="EF83" s="413">
        <f>EF84+EF85</f>
        <v>6.6405080256412488</v>
      </c>
      <c r="EG83" s="377"/>
      <c r="EH83" s="413">
        <f>EH84+EH85</f>
        <v>6.7036790918993825</v>
      </c>
      <c r="EI83" s="377"/>
      <c r="EJ83" s="413">
        <f>EJ84+EJ85</f>
        <v>6.7496430339639577</v>
      </c>
      <c r="EK83" s="377"/>
      <c r="EL83" s="413">
        <f>EL84+EL85</f>
        <v>6.9178712260198312</v>
      </c>
      <c r="EM83" s="377"/>
      <c r="EN83" s="413">
        <f>EN84+EN85</f>
        <v>6.5408555280388692</v>
      </c>
      <c r="EO83" s="377"/>
      <c r="EP83" s="413">
        <f>EP84+EP85</f>
        <v>7.2353079823615953</v>
      </c>
      <c r="EQ83" s="377"/>
      <c r="ER83" s="413">
        <f>ER84+ER85</f>
        <v>6.5528271334245058</v>
      </c>
      <c r="ES83" s="377"/>
      <c r="ET83" s="413">
        <f>ET84+ET85</f>
        <v>6.8004872583769931</v>
      </c>
      <c r="EU83" s="377"/>
      <c r="EV83" s="413">
        <f>EV84+EV85</f>
        <v>6.705898036504264</v>
      </c>
      <c r="EW83" s="377"/>
      <c r="EX83" s="413">
        <f>EX84+EX85</f>
        <v>6.6173190769888235</v>
      </c>
      <c r="EY83" s="377"/>
      <c r="EZ83" s="413">
        <f>EZ84+EZ85</f>
        <v>6.7971645872583784</v>
      </c>
      <c r="FA83" s="377"/>
      <c r="FB83" s="413">
        <f>FB84+FB85</f>
        <v>7.2337522807198917</v>
      </c>
      <c r="FC83" s="377"/>
      <c r="FD83" s="413">
        <f>FD84+FD85</f>
        <v>7.0162359963649665</v>
      </c>
      <c r="FE83" s="377"/>
      <c r="FF83" s="413">
        <f>FF84+FF85</f>
        <v>6.3142050315526967</v>
      </c>
      <c r="FG83" s="377"/>
      <c r="FH83" s="413">
        <f>FH84+FH85</f>
        <v>6.6024056346880062</v>
      </c>
      <c r="FI83" s="377"/>
      <c r="FJ83" s="413">
        <f>FJ84+FJ85</f>
        <v>6.7409577339020155</v>
      </c>
      <c r="FK83" s="377"/>
      <c r="FL83" s="413">
        <f>FL84+FL85</f>
        <v>6.7625520614220545</v>
      </c>
      <c r="FM83" s="377"/>
      <c r="FN83" s="413">
        <f>FN84+FN85</f>
        <v>6.8099694759431584</v>
      </c>
      <c r="FO83" s="377"/>
      <c r="FP83" s="413">
        <f>FP84+FP85</f>
        <v>6.8099694759431584</v>
      </c>
      <c r="FQ83" s="411"/>
      <c r="FR83" s="412"/>
      <c r="FS83" s="413">
        <f>FS84+FS85</f>
        <v>5.0753227336989264</v>
      </c>
      <c r="FT83" s="412"/>
      <c r="FU83" s="413">
        <f>FU84+FU85</f>
        <v>5.3656169064952755</v>
      </c>
      <c r="FV83" s="412"/>
      <c r="FW83" s="413">
        <f>FW84+FW85</f>
        <v>5.6217595046477262</v>
      </c>
      <c r="FX83" s="412"/>
      <c r="FY83" s="413">
        <f>FY84+FY85</f>
        <v>5.9520580326730688</v>
      </c>
      <c r="FZ83" s="412"/>
      <c r="GA83" s="413">
        <f>GA84+GA85</f>
        <v>5.9520580326730688</v>
      </c>
      <c r="GB83" s="412"/>
      <c r="GC83" s="413">
        <f>GC84+GC85</f>
        <v>5.9520580326730688</v>
      </c>
      <c r="GD83" s="412"/>
      <c r="GE83" s="413">
        <f>GE84+GE85</f>
        <v>5.9520580326730688</v>
      </c>
      <c r="GF83" s="412"/>
      <c r="GG83" s="413">
        <f>GG84+GG85</f>
        <v>5.9107539409527448</v>
      </c>
      <c r="GH83" s="412"/>
      <c r="GI83" s="413">
        <f>GI84+GI85</f>
        <v>5.587614729020979</v>
      </c>
      <c r="GJ83" s="412"/>
      <c r="GK83" s="413">
        <f>GK84+GK85</f>
        <v>6.5428969109195405</v>
      </c>
      <c r="GL83" s="412"/>
      <c r="GM83" s="413">
        <f>GM84+GM85</f>
        <v>5.5083472056586071</v>
      </c>
      <c r="GN83" s="412"/>
      <c r="GO83" s="413">
        <f>GO84+GO85</f>
        <v>5.6462953629032251</v>
      </c>
      <c r="GP83" s="412"/>
      <c r="GQ83" s="413">
        <f>GQ84+GQ85</f>
        <v>5.4227349630091517</v>
      </c>
      <c r="GR83" s="412"/>
      <c r="GS83" s="413">
        <f>GS84+GS85</f>
        <v>5.5696846228146706</v>
      </c>
      <c r="GT83" s="412"/>
      <c r="GU83" s="413">
        <f>GU84+GU85</f>
        <v>5.5109909281465983</v>
      </c>
      <c r="GV83" s="412"/>
      <c r="GW83" s="413">
        <f>GW84+GW85</f>
        <v>6.3543282210047645</v>
      </c>
      <c r="GX83" s="412"/>
      <c r="GY83" s="413">
        <f>GY84+GY85</f>
        <v>6.1842762212643674</v>
      </c>
      <c r="GZ83" s="412"/>
      <c r="HA83" s="413">
        <f>HA84+HA85</f>
        <v>6.1842762212643674</v>
      </c>
      <c r="HB83" s="412"/>
      <c r="HC83" s="413">
        <f>HC84+HC85</f>
        <v>6.1705629307471312</v>
      </c>
      <c r="HD83" s="412"/>
      <c r="HE83" s="413">
        <f>HE84+HE85</f>
        <v>5.464789897695189</v>
      </c>
      <c r="HF83" s="412"/>
      <c r="HG83" s="413">
        <f>HG84+HG85</f>
        <v>5.5226889937738033</v>
      </c>
      <c r="HH83" s="412"/>
      <c r="HI83" s="413">
        <f>HI84+HI85</f>
        <v>5.4503158629414372</v>
      </c>
      <c r="HJ83" s="412"/>
      <c r="HK83" s="413">
        <f>HK84+HK85</f>
        <v>5.4120100760983725</v>
      </c>
      <c r="HL83" s="412"/>
      <c r="HM83" s="413">
        <f>HM84+HM85</f>
        <v>5.2130951532859191</v>
      </c>
      <c r="HN83" s="412"/>
      <c r="HO83" s="413">
        <f>HO84+HO85</f>
        <v>5.2402368844290743</v>
      </c>
      <c r="HP83" s="412"/>
      <c r="HQ83" s="413">
        <f>HQ84+HQ85</f>
        <v>5.276248057650311</v>
      </c>
      <c r="HR83" s="412"/>
      <c r="HS83" s="413">
        <f>HS84+HS85</f>
        <v>5.545774527142596</v>
      </c>
      <c r="HT83" s="412"/>
      <c r="HU83" s="413">
        <f>HU84+HU85</f>
        <v>5.4632959236460543</v>
      </c>
      <c r="HV83" s="412"/>
      <c r="HW83" s="413">
        <f>HW84+HW85</f>
        <v>5.6450902615867067</v>
      </c>
      <c r="HX83" s="412"/>
      <c r="HY83" s="413">
        <f>HY84+HY85</f>
        <v>6.3042035871900177</v>
      </c>
      <c r="HZ83" s="412"/>
      <c r="IA83" s="413">
        <f>IA84+IA85</f>
        <v>6.4342644655440235</v>
      </c>
      <c r="IB83" s="412"/>
      <c r="IC83" s="413">
        <f>IC84+IC85</f>
        <v>5.4404019380183222</v>
      </c>
      <c r="ID83" s="412"/>
      <c r="IE83" s="413">
        <f>IE84+IE85</f>
        <v>5.3474604013142928</v>
      </c>
      <c r="IF83" s="412"/>
      <c r="IG83" s="413">
        <f>IG84+IG85</f>
        <v>5.3795127880058482</v>
      </c>
      <c r="IH83" s="412"/>
      <c r="II83" s="413">
        <f>II84+II85</f>
        <v>5.5359416694344299</v>
      </c>
      <c r="IJ83" s="412"/>
      <c r="IK83" s="413">
        <f>IK84+IK85</f>
        <v>5.6991908812356193</v>
      </c>
      <c r="IL83" s="412"/>
      <c r="IM83" s="413">
        <f>IM84+IM85</f>
        <v>5.6079543771065277</v>
      </c>
      <c r="IN83" s="412"/>
      <c r="IO83" s="413">
        <f>IO84+IO85</f>
        <v>5.5201979155679295</v>
      </c>
      <c r="IP83" s="412"/>
      <c r="IQ83" s="413">
        <f>IQ84+IQ85</f>
        <v>5.4451386495049761</v>
      </c>
      <c r="IR83" s="412"/>
      <c r="IS83" s="413">
        <f>IS84+IS85</f>
        <v>5.5093591219589308</v>
      </c>
      <c r="IT83" s="412"/>
      <c r="IU83" s="413">
        <f>IU84+IU85</f>
        <v>5.6398701694826148</v>
      </c>
      <c r="IV83" s="412"/>
      <c r="IW83" s="413">
        <f>IW84+IW85</f>
        <v>5.3947126663255585</v>
      </c>
      <c r="IX83" s="412"/>
      <c r="IY83" s="413">
        <f>IY84+IY85</f>
        <v>5.4166345164609053</v>
      </c>
      <c r="IZ83" s="411"/>
      <c r="JA83" s="412"/>
      <c r="JB83" s="413">
        <f>JB84+JB85</f>
        <v>5.8587727864583332</v>
      </c>
      <c r="JC83" s="412"/>
      <c r="JD83" s="413">
        <f>JD84+JD85</f>
        <v>5.9323575949367084</v>
      </c>
      <c r="JE83" s="411"/>
      <c r="JF83" s="412"/>
      <c r="JG83" s="413">
        <f>JG84+JG85</f>
        <v>4.226438161817315</v>
      </c>
      <c r="JH83" s="412"/>
      <c r="JI83" s="413">
        <f>JI84+JI85</f>
        <v>4.506323430862345</v>
      </c>
      <c r="JJ83" s="412"/>
      <c r="JK83" s="413">
        <f>JK84+JK85</f>
        <v>4.7166398977987054</v>
      </c>
      <c r="JL83" s="412"/>
      <c r="JM83" s="413">
        <f>JM84+JM85</f>
        <v>4.9932046900569702</v>
      </c>
      <c r="JN83" s="412"/>
      <c r="JO83" s="413">
        <f>JO84+JO85</f>
        <v>4.9932046900569702</v>
      </c>
      <c r="JP83" s="412"/>
      <c r="JQ83" s="413">
        <f>JQ84+JQ85</f>
        <v>4.9585785500332618</v>
      </c>
      <c r="JR83" s="412"/>
      <c r="JS83" s="413">
        <f>JS84+JS85</f>
        <v>5.4718031968031973</v>
      </c>
      <c r="JT83" s="412"/>
      <c r="JU83" s="413">
        <f>JU84+JU85</f>
        <v>5.212077175697865</v>
      </c>
      <c r="JV83" s="412"/>
      <c r="JW83" s="413">
        <f>JW84+JW85</f>
        <v>4.5660489931409991</v>
      </c>
      <c r="JX83" s="412"/>
      <c r="JY83" s="413">
        <f>JY84+JY85</f>
        <v>4.9208588186007542</v>
      </c>
      <c r="JZ83" s="412"/>
      <c r="KA83" s="413">
        <f>KA84+KA85</f>
        <v>4.610909041211622</v>
      </c>
      <c r="KB83" s="412"/>
      <c r="KC83" s="413">
        <f>KC84+KC85</f>
        <v>4.6880199695692095</v>
      </c>
      <c r="KD83" s="412"/>
      <c r="KE83" s="413">
        <f>KE84+KE85</f>
        <v>4.6478268652218508</v>
      </c>
      <c r="KF83" s="412"/>
      <c r="KG83" s="413">
        <f>KG84+KG85</f>
        <v>5.1237921270830489</v>
      </c>
      <c r="KH83" s="412"/>
      <c r="KI83" s="413">
        <f>KI84+KI85</f>
        <v>5.0805418719211826</v>
      </c>
      <c r="KJ83" s="412"/>
      <c r="KK83" s="413">
        <f>KK84+KK85</f>
        <v>5.0805418719211826</v>
      </c>
      <c r="KL83" s="412"/>
      <c r="KM83" s="413">
        <f>KM84+KM85</f>
        <v>5.0123296366449912</v>
      </c>
      <c r="KN83" s="412"/>
      <c r="KO83" s="413">
        <f>KO84+KO85</f>
        <v>4.7695037709298891</v>
      </c>
      <c r="KP83" s="412"/>
      <c r="KQ83" s="413">
        <f>KQ84+KQ85</f>
        <v>4.9517712097953339</v>
      </c>
      <c r="KR83" s="412"/>
      <c r="KS83" s="413">
        <f>KS84+KS85</f>
        <v>4.7134446788705686</v>
      </c>
      <c r="KT83" s="412"/>
      <c r="KU83" s="413">
        <f>KU84+KU85</f>
        <v>4.6879746218781442</v>
      </c>
      <c r="KV83" s="412"/>
      <c r="KW83" s="413">
        <f>KW84+KW85</f>
        <v>4.5263154162217498</v>
      </c>
      <c r="KX83" s="412"/>
      <c r="KY83" s="413">
        <f>KY84+KY85</f>
        <v>4.387759343543455</v>
      </c>
      <c r="KZ83" s="412"/>
      <c r="LA83" s="413">
        <f>LA84+LA85</f>
        <v>4.2632788076426671</v>
      </c>
      <c r="LB83" s="412"/>
      <c r="LC83" s="413">
        <f>LC84+LC85</f>
        <v>4.6949579434689674</v>
      </c>
      <c r="LD83" s="412"/>
      <c r="LE83" s="413">
        <f>LE84+LE85</f>
        <v>4.7402822651366758</v>
      </c>
      <c r="LF83" s="412"/>
      <c r="LG83" s="413">
        <f>LG84+LG85</f>
        <v>5.2025065553752921</v>
      </c>
      <c r="LH83" s="412"/>
      <c r="LI83" s="413">
        <f>LI84+LI85</f>
        <v>4.5903848245313652</v>
      </c>
      <c r="LJ83" s="412"/>
      <c r="LK83" s="413">
        <f>LK84+LK85</f>
        <v>4.88993660479876</v>
      </c>
      <c r="LL83" s="412"/>
      <c r="LM83" s="413">
        <f>LM84+LM85</f>
        <v>4.5717537322212216</v>
      </c>
      <c r="LN83" s="412"/>
      <c r="LO83" s="413">
        <f>LO84+LO85</f>
        <v>4.4811915892704963</v>
      </c>
      <c r="LP83" s="412"/>
      <c r="LQ83" s="413">
        <f>LQ84+LQ85</f>
        <v>4.6138359282187622</v>
      </c>
      <c r="LR83" s="412"/>
      <c r="LS83" s="413">
        <f>LS84+LS85</f>
        <v>4.8288787918652334</v>
      </c>
      <c r="LT83" s="412"/>
      <c r="LU83" s="413">
        <f>LU84+LU85</f>
        <v>4.9711078976140204</v>
      </c>
      <c r="LV83" s="412"/>
      <c r="LW83" s="413">
        <f>LW84+LW85</f>
        <v>4.8938561732385137</v>
      </c>
      <c r="LX83" s="412"/>
      <c r="LY83" s="413">
        <f>LY84+LY85</f>
        <v>4.8173640135406686</v>
      </c>
      <c r="LZ83" s="412"/>
      <c r="MA83" s="413">
        <f>MA84+MA85</f>
        <v>4.7519392543169241</v>
      </c>
      <c r="MB83" s="412"/>
      <c r="MC83" s="413">
        <f>MC84+MC85</f>
        <v>4.7772139111520495</v>
      </c>
      <c r="MD83" s="412"/>
      <c r="ME83" s="413">
        <f>ME84+ME85</f>
        <v>4.2460646767647718</v>
      </c>
      <c r="MF83" s="412"/>
      <c r="MG83" s="413">
        <f>MG84+MG85</f>
        <v>4.6756253006253008</v>
      </c>
      <c r="MH83" s="411"/>
      <c r="MI83" s="412"/>
      <c r="MJ83" s="413">
        <f>MJ84+MJ85</f>
        <v>3.5677526749409747</v>
      </c>
      <c r="MK83" s="412"/>
      <c r="ML83" s="413">
        <f>ML84+ML85</f>
        <v>3.7358655010756738</v>
      </c>
      <c r="MM83" s="412"/>
      <c r="MN83" s="413">
        <f>MN84+MN85</f>
        <v>3.9738414926749264</v>
      </c>
      <c r="MO83" s="412"/>
      <c r="MP83" s="413">
        <f>MP84+MP85</f>
        <v>4.2057105157212176</v>
      </c>
      <c r="MQ83" s="412"/>
      <c r="MR83" s="413">
        <f>MR84+MR85</f>
        <v>4.2057105157212176</v>
      </c>
      <c r="MS83" s="412"/>
      <c r="MT83" s="413">
        <f>MT84+MT85</f>
        <v>4.1765974189415411</v>
      </c>
      <c r="MU83" s="412"/>
      <c r="MV83" s="413">
        <f>MV84+MV85</f>
        <v>4.4529464458730379</v>
      </c>
      <c r="MW83" s="412"/>
      <c r="MX83" s="413">
        <f>MX84+MX85</f>
        <v>4.6100442559468933</v>
      </c>
      <c r="MY83" s="412"/>
      <c r="MZ83" s="413">
        <f>MZ84+MZ85</f>
        <v>3.9304097371729965</v>
      </c>
      <c r="NA83" s="412"/>
      <c r="NB83" s="413">
        <f>NB84+NB85</f>
        <v>4.1734309282230617</v>
      </c>
      <c r="NC83" s="412"/>
      <c r="ND83" s="413">
        <f>ND84+ND85</f>
        <v>3.9581224241276471</v>
      </c>
      <c r="NE83" s="412"/>
      <c r="NF83" s="413">
        <f>NF84+NF85</f>
        <v>3.930323359708968</v>
      </c>
      <c r="NG83" s="412"/>
      <c r="NH83" s="413">
        <f>NH84+NH85</f>
        <v>3.9343334569587705</v>
      </c>
      <c r="NI83" s="412"/>
      <c r="NJ83" s="413">
        <f>NJ84+NJ85</f>
        <v>4.2943117051460167</v>
      </c>
      <c r="NK83" s="412"/>
      <c r="NL83" s="413">
        <f>NL84+NL85</f>
        <v>4.3838373593951685</v>
      </c>
      <c r="NM83" s="412"/>
      <c r="NN83" s="413">
        <f>NN84+NN85</f>
        <v>4.3838373593951685</v>
      </c>
      <c r="NO83" s="412"/>
      <c r="NP83" s="413">
        <f>NP84+NP85</f>
        <v>4.2153299654968759</v>
      </c>
      <c r="NQ83" s="412"/>
      <c r="NR83" s="413">
        <f>NR84+NR85</f>
        <v>3.9695629736211875</v>
      </c>
      <c r="NS83" s="412"/>
      <c r="NT83" s="413">
        <f>NT84+NT85</f>
        <v>3.9026760883326816</v>
      </c>
      <c r="NU83" s="412"/>
      <c r="NV83" s="413">
        <f>NV84+NV85</f>
        <v>4.4646234675944214</v>
      </c>
      <c r="NW83" s="412"/>
      <c r="NX83" s="413">
        <f>NX84+NX85</f>
        <v>3.9261575306098466</v>
      </c>
      <c r="NY83" s="412"/>
      <c r="NZ83" s="413">
        <f>NZ84+NZ85</f>
        <v>4.1235405448203339</v>
      </c>
      <c r="OA83" s="412"/>
      <c r="OB83" s="413">
        <f>OB84+OB85</f>
        <v>3.709849398445396</v>
      </c>
      <c r="OC83" s="412"/>
      <c r="OD83" s="413">
        <f>OD84+OD85</f>
        <v>3.6676370779813237</v>
      </c>
      <c r="OE83" s="412"/>
      <c r="OF83" s="413">
        <f>OF84+OF85</f>
        <v>4.007853050124913</v>
      </c>
      <c r="OG83" s="412"/>
      <c r="OH83" s="413">
        <f>OH84+OH85</f>
        <v>4.0966609437548387</v>
      </c>
      <c r="OI83" s="412"/>
      <c r="OJ83" s="413">
        <f>OJ84+OJ85</f>
        <v>4.2799901696058011</v>
      </c>
      <c r="OK83" s="412"/>
      <c r="OL83" s="413">
        <f>OL84+OL85</f>
        <v>4.0703316468281283</v>
      </c>
      <c r="OM83" s="412"/>
      <c r="ON83" s="413">
        <f>ON84+ON85</f>
        <v>4.2943117051460167</v>
      </c>
      <c r="OO83" s="412"/>
      <c r="OP83" s="413">
        <f>OP84+OP85</f>
        <v>4.1486465654349969</v>
      </c>
      <c r="OQ83" s="412"/>
      <c r="OR83" s="413">
        <f>OR84+OR85</f>
        <v>4.1250863692308144</v>
      </c>
      <c r="OS83" s="412"/>
      <c r="OT83" s="413">
        <f>OT84+OT85</f>
        <v>4.2011471548394743</v>
      </c>
      <c r="OU83" s="412"/>
      <c r="OV83" s="413">
        <f>OV84+OV85</f>
        <v>4.7765676006576063</v>
      </c>
      <c r="OW83" s="412"/>
      <c r="OX83" s="413">
        <f>OX84+OX85</f>
        <v>4.9173280283459766</v>
      </c>
      <c r="OY83" s="412"/>
      <c r="OZ83" s="413">
        <f>OZ84+OZ85</f>
        <v>4.8408740163101669</v>
      </c>
      <c r="PA83" s="412"/>
      <c r="PB83" s="413">
        <f>PB84+PB85</f>
        <v>4.7651717255786661</v>
      </c>
      <c r="PC83" s="412"/>
      <c r="PD83" s="413">
        <f>PD84+PD85</f>
        <v>4.7004225517632268</v>
      </c>
      <c r="PE83" s="412"/>
      <c r="PF83" s="413">
        <f>PF84+PF85</f>
        <v>4.4319917979500918</v>
      </c>
      <c r="PG83" s="412"/>
      <c r="PH83" s="413">
        <f>PH84+PH85</f>
        <v>3.8410966773682667</v>
      </c>
      <c r="PI83" s="412"/>
      <c r="PJ83" s="413">
        <f>PJ84+PJ85</f>
        <v>3.9029804622557092</v>
      </c>
      <c r="PK83" s="412"/>
      <c r="PL83" s="413">
        <f>PL84+PL85</f>
        <v>3.9681196108282375</v>
      </c>
      <c r="PM83" s="412"/>
      <c r="PN83" s="413">
        <f>PN84+PN85</f>
        <v>3.8048120840010324</v>
      </c>
      <c r="PO83" s="412"/>
      <c r="PP83" s="413">
        <f>PP84+PP85</f>
        <v>3.8048120840010324</v>
      </c>
      <c r="PQ83" s="366"/>
      <c r="PR83" s="412"/>
      <c r="PS83" s="413">
        <f>PS84+PS85</f>
        <v>3.4653527796080246</v>
      </c>
      <c r="PT83" s="412"/>
      <c r="PU83" s="413">
        <f>PU84+PU85</f>
        <v>3.1718284376330352</v>
      </c>
      <c r="PV83" s="412"/>
      <c r="PW83" s="413">
        <f>PW84+PW85</f>
        <v>3.4653527796080246</v>
      </c>
      <c r="PX83" s="412"/>
      <c r="PY83" s="413">
        <f>PY84+PY85</f>
        <v>3.1718284376330352</v>
      </c>
      <c r="PZ83" s="412"/>
      <c r="QA83" s="413">
        <f>QA84+QA85</f>
        <v>3.5082925341807112</v>
      </c>
      <c r="QB83" s="412"/>
      <c r="QC83" s="413">
        <f>QC84+QC85</f>
        <v>3.2110991379310345</v>
      </c>
      <c r="QD83" s="366"/>
      <c r="QE83" s="366"/>
      <c r="QF83" s="412"/>
      <c r="QG83" s="413">
        <f>QG84+QG85</f>
        <v>4.0681247339293316</v>
      </c>
      <c r="QH83" s="412"/>
      <c r="QI83" s="413">
        <f>QI84+QI85</f>
        <v>3.7965197956577268</v>
      </c>
      <c r="QJ83" s="412"/>
      <c r="QK83" s="413">
        <f>QK84+QK85</f>
        <v>4.0681247339293316</v>
      </c>
      <c r="QL83" s="412"/>
      <c r="QM83" s="413">
        <f>QM84+QM85</f>
        <v>3.7965197956577268</v>
      </c>
      <c r="QN83" s="412"/>
      <c r="QO83" s="413">
        <f>QO84+QO85</f>
        <v>4.0681247339293316</v>
      </c>
      <c r="QP83" s="412"/>
      <c r="QQ83" s="413">
        <f>QQ84+QQ85</f>
        <v>3.7965197956577268</v>
      </c>
    </row>
    <row r="84" spans="1:459" x14ac:dyDescent="0.45">
      <c r="A84" s="871"/>
      <c r="B84" s="272" t="s">
        <v>387</v>
      </c>
      <c r="C84" s="360"/>
      <c r="D84" s="361" t="s">
        <v>353</v>
      </c>
      <c r="E84" s="411"/>
      <c r="F84" s="412"/>
      <c r="G84" s="413">
        <f>(G118+(G119/G96))/G66+(G120/G96)</f>
        <v>0.12047646604938271</v>
      </c>
      <c r="H84" s="412"/>
      <c r="I84" s="413">
        <f>(I118+(I119/I96))/I66+(I120/I96)</f>
        <v>0.12047646604938271</v>
      </c>
      <c r="J84" s="412"/>
      <c r="K84" s="413">
        <f>(K118+(K119/K96))/K66+(K120/K96)</f>
        <v>0.11678403755868544</v>
      </c>
      <c r="L84" s="412"/>
      <c r="M84" s="413">
        <f>(M118+(M119/M96))/M66+(M120/M96)</f>
        <v>0.11678403755868544</v>
      </c>
      <c r="N84" s="412"/>
      <c r="O84" s="413">
        <f>(O118+(O119/O96))/O66+(O120/O96)</f>
        <v>0.11780133928571428</v>
      </c>
      <c r="P84" s="412"/>
      <c r="Q84" s="413">
        <f>(Q118+(Q119/Q96))/Q66+(Q120/Q96)</f>
        <v>0.11678403755868544</v>
      </c>
      <c r="R84" s="412"/>
      <c r="S84" s="413">
        <f>(S118+(S119/S96))/S66+(S120/S96)</f>
        <v>0.11678403755868544</v>
      </c>
      <c r="T84" s="412"/>
      <c r="U84" s="413">
        <f>(U118+(U119/U96))/U66+(U120/U96)</f>
        <v>0.11678403755868544</v>
      </c>
      <c r="V84" s="412"/>
      <c r="W84" s="413">
        <f>(W118+(W119/W96))/W66+(W120/W96)</f>
        <v>0.11678403755868544</v>
      </c>
      <c r="X84" s="412"/>
      <c r="Y84" s="413">
        <f>(Y118+(Y119/Y96))/Y66+(Y120/Y96)</f>
        <v>0.11678403755868544</v>
      </c>
      <c r="Z84" s="412"/>
      <c r="AA84" s="413">
        <f>(AA118+(AA119/AA96))/AA66+(AA120/AA96)</f>
        <v>0.1162860576923077</v>
      </c>
      <c r="AB84" s="412"/>
      <c r="AC84" s="413">
        <f>(AC118+(AC119/AC96))/AC66+(AC120/AC96)</f>
        <v>0.1162860576923077</v>
      </c>
      <c r="AD84" s="412"/>
      <c r="AE84" s="413">
        <f>(AE118+(AE119/AE96))/AE66+(AE120/AE96)</f>
        <v>0.1153107040229885</v>
      </c>
      <c r="AF84" s="412"/>
      <c r="AG84" s="413">
        <f>(AG118+(AG119/AG96))/AG66+(AG120/AG96)</f>
        <v>0.1101985903847383</v>
      </c>
      <c r="AH84" s="412"/>
      <c r="AI84" s="413">
        <f>(AI118+(AI119/AI96))/AI66+(AI120/AI96)</f>
        <v>0.11081149193548387</v>
      </c>
      <c r="AJ84" s="412"/>
      <c r="AK84" s="413">
        <f>(AK118+(AK119/AK96))/AK66+(AK120/AK96)</f>
        <v>0.11182579657260765</v>
      </c>
      <c r="AL84" s="412"/>
      <c r="AM84" s="413">
        <f>(AM118+(AM119/AM96))/AM66+(AM120/AM96)</f>
        <v>0.11234571656665335</v>
      </c>
      <c r="AN84" s="412"/>
      <c r="AO84" s="413">
        <f>(AO118+(AO119/AO96))/AO66+(AO120/AO96)</f>
        <v>0.11163625547355119</v>
      </c>
      <c r="AP84" s="412"/>
      <c r="AQ84" s="413">
        <f>(AQ118+(AQ119/AQ96))/AQ66+(AQ120/AQ96)</f>
        <v>0.11353907874456333</v>
      </c>
      <c r="AR84" s="412"/>
      <c r="AS84" s="413">
        <f>(AS118+(AS119/AS96))/AS66+(AS120/AS96)</f>
        <v>0.1153107040229885</v>
      </c>
      <c r="AT84" s="412"/>
      <c r="AU84" s="413">
        <f>(AU118+(AU119/AU96))/AU66+(AU120/AU96)</f>
        <v>0.1153107040229885</v>
      </c>
      <c r="AV84" s="412"/>
      <c r="AW84" s="413">
        <f>(AW118+(AW119/AW96))/AW66+(AW120/AW96)</f>
        <v>0.11376359889883245</v>
      </c>
      <c r="AX84" s="412"/>
      <c r="AY84" s="413">
        <f>(AY118+(AY119/AY96))/AY66+(AY120/AY96)</f>
        <v>0.11324649746666883</v>
      </c>
      <c r="AZ84" s="412"/>
      <c r="BA84" s="413">
        <f>(BA118+(BA119/BA96))/BA66+(BA120/BA96)</f>
        <v>0.11274535935342964</v>
      </c>
      <c r="BB84" s="412"/>
      <c r="BC84" s="413">
        <f>(BC118+(BC119/BC96))/BC66+(BC120/BC96)</f>
        <v>0.11185776085917488</v>
      </c>
      <c r="BD84" s="412"/>
      <c r="BE84" s="413">
        <f>(BE118+(BE119/BE96))/BE66+(BE120/BE96)</f>
        <v>0.1113879710582901</v>
      </c>
      <c r="BF84" s="412"/>
      <c r="BG84" s="413">
        <f>(BG118+(BG119/BG96))/BG66+(BG120/BG96)</f>
        <v>0.1097959739616806</v>
      </c>
      <c r="BH84" s="412"/>
      <c r="BI84" s="413">
        <f>(BI118+(BI119/BI96))/BI66+(BI120/BI96)</f>
        <v>0.11041374752795266</v>
      </c>
      <c r="BJ84" s="412"/>
      <c r="BK84" s="413">
        <f>(BK118+(BK119/BK96))/BK66+(BK120/BK96)</f>
        <v>0.11086324616856644</v>
      </c>
      <c r="BL84" s="412"/>
      <c r="BM84" s="413">
        <f>(BM118+(BM119/BM96))/BM66+(BM120/BM96)</f>
        <v>0.11193047496841273</v>
      </c>
      <c r="BN84" s="412"/>
      <c r="BO84" s="413">
        <f>(BO118+(BO119/BO96))/BO66+(BO120/BO96)</f>
        <v>0.11035135604898248</v>
      </c>
      <c r="BP84" s="412"/>
      <c r="BQ84" s="413">
        <f>(BQ118+(BQ119/BQ96))/BQ66+(BQ120/BQ96)</f>
        <v>0.11014291237938167</v>
      </c>
      <c r="BR84" s="412"/>
      <c r="BS84" s="413">
        <f>(BS118+(BS119/BS96))/BS66+(BS120/BS96)</f>
        <v>0.10994145235951078</v>
      </c>
      <c r="BT84" s="412"/>
      <c r="BU84" s="413">
        <f>(BU118+(BU119/BU96))/BU66+(BU120/BU96)</f>
        <v>0.10845858981059781</v>
      </c>
      <c r="BV84" s="412"/>
      <c r="BW84" s="413">
        <f>(BW118+(BW119/BW96))/BW66+(BW120/BW96)</f>
        <v>0.10850018031352045</v>
      </c>
      <c r="BX84" s="412"/>
      <c r="BY84" s="413">
        <f>(BY118+(BY119/BY96))/BY66+(BY120/BY96)</f>
        <v>0.10741607615363501</v>
      </c>
      <c r="BZ84" s="412"/>
      <c r="CA84" s="413">
        <f>(CA118+(CA119/CA96))/CA66+(CA120/CA96)</f>
        <v>0.1077899469435836</v>
      </c>
      <c r="CB84" s="412"/>
      <c r="CC84" s="413">
        <f>(CC118+(CC119/CC96))/CC66+(CC120/CC96)</f>
        <v>0.1096145907691209</v>
      </c>
      <c r="CD84" s="412"/>
      <c r="CE84" s="413">
        <f>(CE118+(CE119/CE96))/CE66+(CE120/CE96)</f>
        <v>0.11151878942870709</v>
      </c>
      <c r="CF84" s="412"/>
      <c r="CG84" s="413">
        <f>(CG118+(CG119/CG96))/CG66+(CG120/CG96)</f>
        <v>0.11048452411970361</v>
      </c>
      <c r="CH84" s="412"/>
      <c r="CI84" s="413">
        <f>(CI118+(CI119/CI96))/CI66+(CI120/CI96)</f>
        <v>0.10946042805161219</v>
      </c>
      <c r="CJ84" s="412"/>
      <c r="CK84" s="413">
        <f>(CK118+(CK119/CK96))/CK66+(CK120/CK96)</f>
        <v>0.10858450509504347</v>
      </c>
      <c r="CL84" s="412"/>
      <c r="CM84" s="413">
        <f>(CM118+(CM119/CM96))/CM66+(CM120/CM96)</f>
        <v>0.10933394202741273</v>
      </c>
      <c r="CN84" s="412"/>
      <c r="CO84" s="413">
        <f>(CO118+(CO119/CO96))/CO66+(CO120/CO96)</f>
        <v>0.10773777705618034</v>
      </c>
      <c r="CP84" s="412"/>
      <c r="CQ84" s="413">
        <f>(CQ118+(CQ119/CQ96))/CQ66+(CQ120/CQ96)</f>
        <v>0.10799254115226337</v>
      </c>
      <c r="CR84" s="412"/>
      <c r="CS84" s="413">
        <f>(CS118+(CS119/CS96))/CS66+(CS120/CS96)</f>
        <v>0.10799254115226337</v>
      </c>
      <c r="CT84" s="365"/>
      <c r="CU84" s="377"/>
      <c r="CV84" s="413">
        <f>(CV118+(CV119/CV96))/CV66+(CV120/CV96)</f>
        <v>0.18465706261026568</v>
      </c>
      <c r="CW84" s="377"/>
      <c r="CX84" s="413">
        <f>(CX118+(CX119/CX96))/CX66+(CX120/CX96)</f>
        <v>0.18465706261026568</v>
      </c>
      <c r="CY84" s="377"/>
      <c r="CZ84" s="413">
        <f>(CZ118+(CZ119/CZ96))/CZ66+(CZ120/CZ96)</f>
        <v>0.18465706261026568</v>
      </c>
      <c r="DA84" s="377"/>
      <c r="DB84" s="413">
        <f>(DB118+(DB119/DB96))/DB66+(DB120/DB96)</f>
        <v>0.18387843827726524</v>
      </c>
      <c r="DC84" s="377"/>
      <c r="DD84" s="413">
        <f>(DD118+(DD119/DD96))/DD66+(DD120/DD96)</f>
        <v>0.18235340854918164</v>
      </c>
      <c r="DE84" s="377"/>
      <c r="DF84" s="413">
        <f>(DF118+(DF119/DF96))/DF66+(DF120/DF96)</f>
        <v>0.17436028203834875</v>
      </c>
      <c r="DG84" s="377"/>
      <c r="DH84" s="413">
        <f>(DH118+(DH119/DH96))/DH66+(DH120/DH96)</f>
        <v>0.17531859399705393</v>
      </c>
      <c r="DI84" s="377"/>
      <c r="DJ84" s="413">
        <f>(DJ118+(DJ119/DJ96))/DJ66+(DJ120/DJ96)</f>
        <v>0.1769045261297813</v>
      </c>
      <c r="DK84" s="377"/>
      <c r="DL84" s="413">
        <f>(DL118+(DL119/DL96))/DL66+(DL120/DL96)</f>
        <v>0.17771745529802668</v>
      </c>
      <c r="DM84" s="377"/>
      <c r="DN84" s="413">
        <f>(DN118+(DN119/DN96))/DN66+(DN120/DN96)</f>
        <v>0.17660816613253383</v>
      </c>
      <c r="DO84" s="377"/>
      <c r="DP84" s="413">
        <f>(DP118+(DP119/DP96))/DP66+(DP120/DP96)</f>
        <v>0.17958335569388381</v>
      </c>
      <c r="DQ84" s="377"/>
      <c r="DR84" s="413">
        <f>(DR118+(DR119/DR96))/DR66+(DR120/DR96)</f>
        <v>0.18235340854918164</v>
      </c>
      <c r="DS84" s="377"/>
      <c r="DT84" s="413">
        <f>(DT118+(DT119/DT96))/DT66+(DT120/DT96)</f>
        <v>0.18235340854918164</v>
      </c>
      <c r="DU84" s="377"/>
      <c r="DV84" s="413">
        <f>(DV118+(DV119/DV96))/DV66+(DV120/DV96)</f>
        <v>0.17993440774872799</v>
      </c>
      <c r="DW84" s="377"/>
      <c r="DX84" s="413">
        <f>(DX118+(DX119/DX96))/DX66+(DX120/DX96)</f>
        <v>0.1791258855877004</v>
      </c>
      <c r="DY84" s="377"/>
      <c r="DZ84" s="413">
        <f>(DZ118+(DZ119/DZ96))/DZ66+(DZ120/DZ96)</f>
        <v>0.17834232312763507</v>
      </c>
      <c r="EA84" s="377"/>
      <c r="EB84" s="413">
        <f>(EB118+(EB119/EB96))/EB66+(EB120/EB96)</f>
        <v>0.17695450439795768</v>
      </c>
      <c r="EC84" s="377"/>
      <c r="ED84" s="413">
        <f>(ED118+(ED119/ED96))/ED66+(ED120/ED96)</f>
        <v>0.17621995708980029</v>
      </c>
      <c r="EE84" s="377"/>
      <c r="EF84" s="413">
        <f>(EF118+(EF119/EF96))/EF66+(EF120/EF96)</f>
        <v>0.17373076473248136</v>
      </c>
      <c r="EG84" s="377"/>
      <c r="EH84" s="413">
        <f>(EH118+(EH119/EH96))/EH66+(EH120/EH96)</f>
        <v>0.17469669440847954</v>
      </c>
      <c r="EI84" s="377"/>
      <c r="EJ84" s="413">
        <f>(EJ118+(EJ119/EJ96))/EJ66+(EJ120/EJ96)</f>
        <v>0.17539951515056759</v>
      </c>
      <c r="EK84" s="377"/>
      <c r="EL84" s="413">
        <f>(EL118+(EL119/EL96))/EL66+(EL120/EL96)</f>
        <v>0.17706819769888738</v>
      </c>
      <c r="EM84" s="377"/>
      <c r="EN84" s="413">
        <f>(EN118+(EN119/EN96))/EN66+(EN120/EN96)</f>
        <v>0.17459914122013195</v>
      </c>
      <c r="EO84" s="377"/>
      <c r="EP84" s="413">
        <f>(EP118+(EP119/EP96))/EP66+(EP120/EP96)</f>
        <v>0.17427322580834706</v>
      </c>
      <c r="EQ84" s="377"/>
      <c r="ER84" s="413">
        <f>(ER118+(ER119/ER96))/ER66+(ER120/ER96)</f>
        <v>0.17395822979306791</v>
      </c>
      <c r="ES84" s="377"/>
      <c r="ET84" s="413">
        <f>(ET118+(ET119/ET96))/ET66+(ET120/ET96)</f>
        <v>0.17163967649195341</v>
      </c>
      <c r="EU84" s="377"/>
      <c r="EV84" s="413">
        <f>(EV118+(EV119/EV96))/EV66+(EV120/EV96)</f>
        <v>0.17170470598367335</v>
      </c>
      <c r="EW84" s="377"/>
      <c r="EX84" s="413">
        <f>(EX118+(EX119/EX96))/EX66+(EX120/EX96)</f>
        <v>0.17000963769801397</v>
      </c>
      <c r="EY84" s="377"/>
      <c r="EZ84" s="413">
        <f>(EZ118+(EZ119/EZ96))/EZ66+(EZ120/EZ96)</f>
        <v>0.17059420931246405</v>
      </c>
      <c r="FA84" s="377"/>
      <c r="FB84" s="413">
        <f>(FB118+(FB119/FB96))/FB66+(FB120/FB96)</f>
        <v>0.17344716015956646</v>
      </c>
      <c r="FC84" s="377"/>
      <c r="FD84" s="413">
        <f>(FD118+(FD119/FD96))/FD66+(FD120/FD96)</f>
        <v>0.17642450023157641</v>
      </c>
      <c r="FE84" s="377"/>
      <c r="FF84" s="413">
        <f>(FF118+(FF119/FF96))/FF66+(FF120/FF96)</f>
        <v>0.17480735827315541</v>
      </c>
      <c r="FG84" s="377"/>
      <c r="FH84" s="413">
        <f>(FH118+(FH119/FH96))/FH66+(FH120/FH96)</f>
        <v>0.17320611659295226</v>
      </c>
      <c r="FI84" s="377"/>
      <c r="FJ84" s="413">
        <f>(FJ118+(FJ119/FJ96))/FJ66+(FJ120/FJ96)</f>
        <v>0.17183655333574874</v>
      </c>
      <c r="FK84" s="377"/>
      <c r="FL84" s="413">
        <f>(FL118+(FL119/FL96))/FL66+(FL120/FL96)</f>
        <v>0.17300834735994583</v>
      </c>
      <c r="FM84" s="377"/>
      <c r="FN84" s="413">
        <f>(FN118+(FN119/FN96))/FN66+(FN120/FN96)</f>
        <v>0.17051263825603252</v>
      </c>
      <c r="FO84" s="377"/>
      <c r="FP84" s="413">
        <f>(FP118+(FP119/FP96))/FP66+(FP120/FP96)</f>
        <v>0.17051263825603252</v>
      </c>
      <c r="FQ84" s="411"/>
      <c r="FR84" s="412"/>
      <c r="FS84" s="413">
        <f>(FS118+(FS119/FS96))/FS66+(FS120/FS96)</f>
        <v>0.11780133928571428</v>
      </c>
      <c r="FT84" s="412"/>
      <c r="FU84" s="413">
        <f>(FU118+(FU119/FU96))/FU66+(FU120/FU96)</f>
        <v>0.11780133928571428</v>
      </c>
      <c r="FV84" s="412"/>
      <c r="FW84" s="413">
        <f>(FW118+(FW119/FW96))/FW66+(FW120/FW96)</f>
        <v>0.11678403755868544</v>
      </c>
      <c r="FX84" s="412"/>
      <c r="FY84" s="413">
        <f>(FY118+(FY119/FY96))/FY66+(FY120/FY96)</f>
        <v>0.11678403755868544</v>
      </c>
      <c r="FZ84" s="412"/>
      <c r="GA84" s="413">
        <f>(GA118+(GA119/GA96))/GA66+(GA120/GA96)</f>
        <v>0.11678403755868544</v>
      </c>
      <c r="GB84" s="412"/>
      <c r="GC84" s="413">
        <f>(GC118+(GC119/GC96))/GC66+(GC120/GC96)</f>
        <v>0.11678403755868544</v>
      </c>
      <c r="GD84" s="412"/>
      <c r="GE84" s="413">
        <f>(GE118+(GE119/GE96))/GE66+(GE120/GE96)</f>
        <v>0.11678403755868544</v>
      </c>
      <c r="GF84" s="412"/>
      <c r="GG84" s="413">
        <f>(GG118+(GG119/GG96))/GG66+(GG120/GG96)</f>
        <v>0.1162860576923077</v>
      </c>
      <c r="GH84" s="412"/>
      <c r="GI84" s="413">
        <f>(GI118+(GI119/GI96))/GI66+(GI120/GI96)</f>
        <v>0.1162860576923077</v>
      </c>
      <c r="GJ84" s="412"/>
      <c r="GK84" s="413">
        <f>(GK118+(GK119/GK96))/GK66+(GK120/GK96)</f>
        <v>0.1153107040229885</v>
      </c>
      <c r="GL84" s="412"/>
      <c r="GM84" s="413">
        <f>(GM118+(GM119/GM96))/GM66+(GM120/GM96)</f>
        <v>0.1101985903847383</v>
      </c>
      <c r="GN84" s="412"/>
      <c r="GO84" s="413">
        <f>(GO118+(GO119/GO96))/GO66+(GO120/GO96)</f>
        <v>0.11081149193548387</v>
      </c>
      <c r="GP84" s="412"/>
      <c r="GQ84" s="413">
        <f>(GQ118+(GQ119/GQ96))/GQ66+(GQ120/GQ96)</f>
        <v>0.11182579657260765</v>
      </c>
      <c r="GR84" s="412"/>
      <c r="GS84" s="413">
        <f>(GS118+(GS119/GS96))/GS66+(GS120/GS96)</f>
        <v>0.11234571656665335</v>
      </c>
      <c r="GT84" s="412"/>
      <c r="GU84" s="413">
        <f>(GU118+(GU119/GU96))/GU66+(GU120/GU96)</f>
        <v>0.11163625547355119</v>
      </c>
      <c r="GV84" s="412"/>
      <c r="GW84" s="413">
        <f>(GW118+(GW119/GW96))/GW66+(GW120/GW96)</f>
        <v>0.11353907874456333</v>
      </c>
      <c r="GX84" s="412"/>
      <c r="GY84" s="413">
        <f>(GY118+(GY119/GY96))/GY66+(GY120/GY96)</f>
        <v>0.1153107040229885</v>
      </c>
      <c r="GZ84" s="412"/>
      <c r="HA84" s="413">
        <f>(HA118+(HA119/HA96))/HA66+(HA120/HA96)</f>
        <v>0.1153107040229885</v>
      </c>
      <c r="HB84" s="412"/>
      <c r="HC84" s="413">
        <f>(HC118+(HC119/HC96))/HC66+(HC120/HC96)</f>
        <v>0.11376359889883245</v>
      </c>
      <c r="HD84" s="412"/>
      <c r="HE84" s="413">
        <f>(HE118+(HE119/HE96))/HE66+(HE120/HE96)</f>
        <v>0.11324649746666883</v>
      </c>
      <c r="HF84" s="412"/>
      <c r="HG84" s="413">
        <f>(HG118+(HG119/HG96))/HG66+(HG120/HG96)</f>
        <v>0.11274535935342964</v>
      </c>
      <c r="HH84" s="412"/>
      <c r="HI84" s="413">
        <f>(HI118+(HI119/HI96))/HI66+(HI120/HI96)</f>
        <v>0.11185776085917488</v>
      </c>
      <c r="HJ84" s="412"/>
      <c r="HK84" s="413">
        <f>(HK118+(HK119/HK96))/HK66+(HK120/HK96)</f>
        <v>0.1113879710582901</v>
      </c>
      <c r="HL84" s="412"/>
      <c r="HM84" s="413">
        <f>(HM118+(HM119/HM96))/HM66+(HM120/HM96)</f>
        <v>0.1097959739616806</v>
      </c>
      <c r="HN84" s="412"/>
      <c r="HO84" s="413">
        <f>(HO118+(HO119/HO96))/HO66+(HO120/HO96)</f>
        <v>0.11041374752795266</v>
      </c>
      <c r="HP84" s="412"/>
      <c r="HQ84" s="413">
        <f>(HQ118+(HQ119/HQ96))/HQ66+(HQ120/HQ96)</f>
        <v>0.11086324616856644</v>
      </c>
      <c r="HR84" s="412"/>
      <c r="HS84" s="413">
        <f>(HS118+(HS119/HS96))/HS66+(HS120/HS96)</f>
        <v>0.11193047496841273</v>
      </c>
      <c r="HT84" s="412"/>
      <c r="HU84" s="413">
        <f>(HU118+(HU119/HU96))/HU66+(HU120/HU96)</f>
        <v>0.11035135604898248</v>
      </c>
      <c r="HV84" s="412"/>
      <c r="HW84" s="413">
        <f>(HW118+(HW119/HW96))/HW66+(HW120/HW96)</f>
        <v>0.11014291237938167</v>
      </c>
      <c r="HX84" s="412"/>
      <c r="HY84" s="413">
        <f>(HY118+(HY119/HY96))/HY66+(HY120/HY96)</f>
        <v>0.10994145235951078</v>
      </c>
      <c r="HZ84" s="412"/>
      <c r="IA84" s="413">
        <f>(IA118+(IA119/IA96))/IA66+(IA120/IA96)</f>
        <v>0.10845858981059781</v>
      </c>
      <c r="IB84" s="412"/>
      <c r="IC84" s="413">
        <f>(IC118+(IC119/IC96))/IC66+(IC120/IC96)</f>
        <v>0.10850018031352045</v>
      </c>
      <c r="ID84" s="412"/>
      <c r="IE84" s="413">
        <f>(IE118+(IE119/IE96))/IE66+(IE120/IE96)</f>
        <v>0.10741607615363501</v>
      </c>
      <c r="IF84" s="412"/>
      <c r="IG84" s="413">
        <f>(IG118+(IG119/IG96))/IG66+(IG120/IG96)</f>
        <v>0.1077899469435836</v>
      </c>
      <c r="IH84" s="412"/>
      <c r="II84" s="413">
        <f>(II118+(II119/II96))/II66+(II120/II96)</f>
        <v>0.1096145907691209</v>
      </c>
      <c r="IJ84" s="412"/>
      <c r="IK84" s="413">
        <f>(IK118+(IK119/IK96))/IK66+(IK120/IK96)</f>
        <v>0.11151878942870709</v>
      </c>
      <c r="IL84" s="412"/>
      <c r="IM84" s="413">
        <f>(IM118+(IM119/IM96))/IM66+(IM120/IM96)</f>
        <v>0.11048452411970361</v>
      </c>
      <c r="IN84" s="412"/>
      <c r="IO84" s="413">
        <f>(IO118+(IO119/IO96))/IO66+(IO120/IO96)</f>
        <v>0.10946042805161219</v>
      </c>
      <c r="IP84" s="412"/>
      <c r="IQ84" s="413">
        <f>(IQ118+(IQ119/IQ96))/IQ66+(IQ120/IQ96)</f>
        <v>0.10858450509504347</v>
      </c>
      <c r="IR84" s="412"/>
      <c r="IS84" s="413">
        <f>(IS118+(IS119/IS96))/IS66+(IS120/IS96)</f>
        <v>0.10933394202741273</v>
      </c>
      <c r="IT84" s="412"/>
      <c r="IU84" s="413">
        <f>(IU118+(IU119/IU96))/IU66+(IU120/IU96)</f>
        <v>0.10933394202741273</v>
      </c>
      <c r="IV84" s="412"/>
      <c r="IW84" s="413">
        <f>(IW118+(IW119/IW96))/IW66+(IW120/IW96)</f>
        <v>0.10773777705618034</v>
      </c>
      <c r="IX84" s="412"/>
      <c r="IY84" s="413">
        <f>(IY118+(IY119/IY96))/IY66+(IY120/IY96)</f>
        <v>0.10799254115226337</v>
      </c>
      <c r="IZ84" s="411"/>
      <c r="JA84" s="412"/>
      <c r="JB84" s="413">
        <f>(JB118+(JB119/JB96))/JB66+(JB120/JB96)</f>
        <v>0.10877278645833333</v>
      </c>
      <c r="JC84" s="412"/>
      <c r="JD84" s="413">
        <f>(JD118+(JD119/JD96))/JD66+(JD120/JD96)</f>
        <v>0.10957278481012658</v>
      </c>
      <c r="JE84" s="411"/>
      <c r="JF84" s="412"/>
      <c r="JG84" s="413">
        <f>(JG118+(JG119/JG96))/JG66+(JG120/JG96)</f>
        <v>0.10722669349429911</v>
      </c>
      <c r="JH84" s="412"/>
      <c r="JI84" s="413">
        <f>(JI118+(JI119/JI96))/JI66+(JI120/JI96)</f>
        <v>0.10722669349429911</v>
      </c>
      <c r="JJ84" s="414"/>
      <c r="JK84" s="413">
        <f>(JK118+(JK119/JK96))/JK66+(JK120/JK96)</f>
        <v>0.10722669349429911</v>
      </c>
      <c r="JL84" s="414"/>
      <c r="JM84" s="413">
        <f>(JM118+(JM119/JM96))/JM66+(JM120/JM96)</f>
        <v>0.10722669349429911</v>
      </c>
      <c r="JN84" s="414"/>
      <c r="JO84" s="413">
        <f>(JO118+(JO119/JO96))/JO66+(JO120/JO96)</f>
        <v>0.10722669349429911</v>
      </c>
      <c r="JP84" s="414"/>
      <c r="JQ84" s="413">
        <f>(JQ118+(JQ119/JQ96))/JQ66+(JQ120/JQ96)</f>
        <v>0.10676823176823176</v>
      </c>
      <c r="JR84" s="414"/>
      <c r="JS84" s="413">
        <f>(JS118+(JS119/JS96))/JS66+(JS120/JS96)</f>
        <v>0.10676823176823176</v>
      </c>
      <c r="JT84" s="414"/>
      <c r="JU84" s="413">
        <f>(JU118+(JU119/JU96))/JU66+(JU120/JU96)</f>
        <v>0.10587027914614121</v>
      </c>
      <c r="JV84" s="414"/>
      <c r="JW84" s="413">
        <f>(JW118+(JW119/JW96))/JW66+(JW120/JW96)</f>
        <v>0.10992481028270638</v>
      </c>
      <c r="JX84" s="414"/>
      <c r="JY84" s="413">
        <f>(JY118+(JY119/JY96))/JY66+(JY120/JY96)</f>
        <v>0.11053623795559279</v>
      </c>
      <c r="JZ84" s="414"/>
      <c r="KA84" s="413">
        <f>(KA118+(KA119/KA96))/KA66+(KA120/KA96)</f>
        <v>0.11154810343891565</v>
      </c>
      <c r="KB84" s="414"/>
      <c r="KC84" s="413">
        <f>(KC118+(KC119/KC96))/KC66+(KC120/KC96)</f>
        <v>0.11206677315293379</v>
      </c>
      <c r="KD84" s="414"/>
      <c r="KE84" s="413">
        <f>(KE118+(KE119/KE96))/KE66+(KE120/KE96)</f>
        <v>0.11135901813970006</v>
      </c>
      <c r="KF84" s="414"/>
      <c r="KG84" s="413">
        <f>(KG118+(KG119/KG96))/KG66+(KG120/KG96)</f>
        <v>0.11325726558758757</v>
      </c>
      <c r="KH84" s="414"/>
      <c r="KI84" s="413">
        <f>(KI118+(KI119/KI96))/KI66+(KI120/KI96)</f>
        <v>0.11502463054187191</v>
      </c>
      <c r="KJ84" s="414"/>
      <c r="KK84" s="413">
        <f>(KK118+(KK119/KK96))/KK66+(KK120/KK96)</f>
        <v>0.11502463054187191</v>
      </c>
      <c r="KL84" s="414"/>
      <c r="KM84" s="413">
        <f>(KM118+(KM119/KM96))/KM66+(KM120/KM96)</f>
        <v>0.11348124582596984</v>
      </c>
      <c r="KN84" s="414"/>
      <c r="KO84" s="413">
        <f>(KO118+(KO119/KO96))/KO66+(KO120/KO96)</f>
        <v>0.11296538789588396</v>
      </c>
      <c r="KP84" s="414"/>
      <c r="KQ84" s="413">
        <f>(KQ118+(KQ119/KQ96))/KQ66+(KQ120/KQ96)</f>
        <v>0.11246545489685697</v>
      </c>
      <c r="KR84" s="414"/>
      <c r="KS84" s="413">
        <f>(KS118+(KS119/KS96))/KS66+(KS120/KS96)</f>
        <v>0.11157999085921587</v>
      </c>
      <c r="KT84" s="414"/>
      <c r="KU84" s="413">
        <f>(KU118+(KU119/KU96))/KU66+(KU120/KU96)</f>
        <v>0.11111133078754312</v>
      </c>
      <c r="KV84" s="414"/>
      <c r="KW84" s="413">
        <f>(KW118+(KW119/KW96))/KW66+(KW120/KW96)</f>
        <v>0.10952316205336748</v>
      </c>
      <c r="KX84" s="414"/>
      <c r="KY84" s="413">
        <f>(KY118+(KY119/KY96))/KY66+(KY120/KY96)</f>
        <v>0.11013945002577835</v>
      </c>
      <c r="KZ84" s="414"/>
      <c r="LA84" s="413">
        <f>(LA118+(LA119/LA96))/LA66+(LA120/LA96)</f>
        <v>0.11058786773244228</v>
      </c>
      <c r="LB84" s="414"/>
      <c r="LC84" s="413">
        <f>(LC118+(LC119/LC96))/LC66+(LC120/LC96)</f>
        <v>0.11165253010886082</v>
      </c>
      <c r="LD84" s="414"/>
      <c r="LE84" s="413">
        <f>(LE118+(LE119/LE96))/LE66+(LE120/LE96)</f>
        <v>0.11007720858300786</v>
      </c>
      <c r="LF84" s="414"/>
      <c r="LG84" s="413">
        <f>(LG118+(LG119/LG96))/LG66+(LG120/LG96)</f>
        <v>0.10986926616929249</v>
      </c>
      <c r="LH84" s="414"/>
      <c r="LI84" s="413">
        <f>(LI118+(LI119/LI96))/LI66+(LI120/LI96)</f>
        <v>0.10966829061134281</v>
      </c>
      <c r="LJ84" s="414"/>
      <c r="LK84" s="413">
        <f>(LK118+(LK119/LK96))/LK66+(LK120/LK96)</f>
        <v>0.10818899398305176</v>
      </c>
      <c r="LL84" s="414"/>
      <c r="LM84" s="413">
        <f>(LM118+(LM119/LM96))/LM66+(LM120/LM96)</f>
        <v>0.10823048447101877</v>
      </c>
      <c r="LN84" s="414"/>
      <c r="LO84" s="413">
        <f>(LO118+(LO119/LO96))/LO66+(LO120/LO96)</f>
        <v>0.10714898731566173</v>
      </c>
      <c r="LP84" s="414"/>
      <c r="LQ84" s="413">
        <f>(LQ118+(LQ119/LQ96))/LQ66+(LQ120/LQ96)</f>
        <v>0.10752195903808666</v>
      </c>
      <c r="LR84" s="414"/>
      <c r="LS84" s="413">
        <f>(LS118+(LS119/LS96))/LS66+(LS120/LS96)</f>
        <v>0.10934221504288501</v>
      </c>
      <c r="LT84" s="414"/>
      <c r="LU84" s="413">
        <f>(LU118+(LU119/LU96))/LU66+(LU120/LU96)</f>
        <v>0.11124183457187448</v>
      </c>
      <c r="LV84" s="414"/>
      <c r="LW84" s="413">
        <f>(LW118+(LW119/LW96))/LW66+(LW120/LW96)</f>
        <v>0.1102100564171906</v>
      </c>
      <c r="LX84" s="414"/>
      <c r="LY84" s="413">
        <f>(LY118+(LY119/LY96))/LY66+(LY120/LY96)</f>
        <v>0.10918842304888933</v>
      </c>
      <c r="LZ84" s="414"/>
      <c r="MA84" s="413">
        <f>(MA118+(MA119/MA96))/MA66+(MA120/MA96)</f>
        <v>0.10831460647213062</v>
      </c>
      <c r="MB84" s="414"/>
      <c r="MC84" s="413">
        <f>(MC118+(MC119/MC96))/MC66+(MC120/MC96)</f>
        <v>0.10906224119254576</v>
      </c>
      <c r="MD84" s="414"/>
      <c r="ME84" s="413">
        <f>(ME118+(ME119/ME96))/ME66+(ME120/ME96)</f>
        <v>0.10746991460646316</v>
      </c>
      <c r="MF84" s="414"/>
      <c r="MG84" s="413">
        <f>(MG118+(MG119/MG96))/MG66+(MG120/MG96)</f>
        <v>0.1077240660573994</v>
      </c>
      <c r="MH84" s="411"/>
      <c r="MI84" s="412"/>
      <c r="MJ84" s="413">
        <f>(MJ118+(MJ119/MJ96))/MJ66+(MJ120/MJ96)</f>
        <v>0.10935777523673884</v>
      </c>
      <c r="MK84" s="412"/>
      <c r="ML84" s="413">
        <f>(ML118+(ML119/ML96))/ML66+(ML120/ML96)</f>
        <v>0.10935777523673884</v>
      </c>
      <c r="MM84" s="412"/>
      <c r="MN84" s="413">
        <f>(MN118+(MN119/MN96))/MN66+(MN120/MN96)</f>
        <v>0.10935777523673884</v>
      </c>
      <c r="MO84" s="412"/>
      <c r="MP84" s="413">
        <f>(MP118+(MP119/MP96))/MP66+(MP120/MP96)</f>
        <v>0.10935777523673884</v>
      </c>
      <c r="MQ84" s="412"/>
      <c r="MR84" s="413">
        <f>(MR118+(MR119/MR96))/MR66+(MR120/MR96)</f>
        <v>0.10935777523673884</v>
      </c>
      <c r="MS84" s="412"/>
      <c r="MT84" s="413">
        <f>(MT118+(MT119/MT96))/MT66+(MT120/MT96)</f>
        <v>0.10889050181709393</v>
      </c>
      <c r="MU84" s="412"/>
      <c r="MV84" s="413">
        <f>(MV118+(MV119/MV96))/MV66+(MV120/MV96)</f>
        <v>0.10889050181709393</v>
      </c>
      <c r="MW84" s="412"/>
      <c r="MX84" s="413">
        <f>(MX118+(MX119/MX96))/MX66+(MX120/MX96)</f>
        <v>0.10797529042965148</v>
      </c>
      <c r="MY84" s="412"/>
      <c r="MZ84" s="413">
        <f>(MZ118+(MZ119/MZ96))/MZ66+(MZ120/MZ96)</f>
        <v>0.10317840006793043</v>
      </c>
      <c r="NA84" s="412"/>
      <c r="NB84" s="413">
        <f>(NB118+(NB119/NB96))/NB66+(NB120/NB96)</f>
        <v>0.10375350886822338</v>
      </c>
      <c r="NC84" s="412"/>
      <c r="ND84" s="413">
        <f>(ND118+(ND119/ND96))/ND66+(ND120/ND96)</f>
        <v>0.10332174589203963</v>
      </c>
      <c r="NE84" s="412"/>
      <c r="NF84" s="413">
        <f>(NF118+(NF119/NF96))/NF66+(NF120/NF96)</f>
        <v>0.10312615528110552</v>
      </c>
      <c r="NG84" s="412"/>
      <c r="NH84" s="413">
        <f>(NH118+(NH119/NH96))/NH66+(NH120/NH96)</f>
        <v>0.10293711769392042</v>
      </c>
      <c r="NI84" s="412"/>
      <c r="NJ84" s="413">
        <f>(NJ118+(NJ119/NJ96))/NJ66+(NJ120/NJ96)</f>
        <v>0.10154569145186364</v>
      </c>
      <c r="NK84" s="412"/>
      <c r="NL84" s="413">
        <f>(NL118+(NL119/NL96))/NL66+(NL120/NL96)</f>
        <v>0.10797529042965148</v>
      </c>
      <c r="NM84" s="412"/>
      <c r="NN84" s="413">
        <f>(NN118+(NN119/NN96))/NN66+(NN120/NN96)</f>
        <v>0.10797529042965148</v>
      </c>
      <c r="NO84" s="412"/>
      <c r="NP84" s="413">
        <f>(NP118+(NP119/NP96))/NP66+(NP120/NP96)</f>
        <v>0.10652358293960169</v>
      </c>
      <c r="NQ84" s="412"/>
      <c r="NR84" s="413">
        <f>(NR118+(NR119/NR96))/NR66+(NR120/NR96)</f>
        <v>0.10603836702862933</v>
      </c>
      <c r="NS84" s="412"/>
      <c r="NT84" s="413">
        <f>(NT118+(NT119/NT96))/NT66+(NT120/NT96)</f>
        <v>0.1055681301060184</v>
      </c>
      <c r="NU84" s="412"/>
      <c r="NV84" s="413">
        <f>(NV118+(NV119/NV96))/NV66+(NV120/NV96)</f>
        <v>0.10473526273188349</v>
      </c>
      <c r="NW84" s="412"/>
      <c r="NX84" s="413">
        <f>(NX118+(NX119/NX96))/NX66+(NX120/NX96)</f>
        <v>0.10429444112122178</v>
      </c>
      <c r="NY84" s="412"/>
      <c r="NZ84" s="413">
        <f>(NZ118+(NZ119/NZ96))/NZ66+(NZ120/NZ96)</f>
        <v>0.1028006097886249</v>
      </c>
      <c r="OA84" s="412"/>
      <c r="OB84" s="413">
        <f>(OB118+(OB119/OB96))/OB66+(OB120/OB96)</f>
        <v>0.10338029018610348</v>
      </c>
      <c r="OC84" s="412"/>
      <c r="OD84" s="413">
        <f>(OD118+(OD119/OD96))/OD66+(OD120/OD96)</f>
        <v>0.10380207183051642</v>
      </c>
      <c r="OE84" s="412"/>
      <c r="OF84" s="413">
        <f>(OF118+(OF119/OF96))/OF66+(OF120/OF96)</f>
        <v>0.10397397908391151</v>
      </c>
      <c r="OG84" s="412"/>
      <c r="OH84" s="413">
        <f>(OH118+(OH119/OH96))/OH66+(OH120/OH96)</f>
        <v>0.10332174589203963</v>
      </c>
      <c r="OI84" s="412"/>
      <c r="OJ84" s="413">
        <f>(OJ118+(OJ119/OJ96))/OJ66+(OJ120/OJ96)</f>
        <v>0.10312615528110552</v>
      </c>
      <c r="OK84" s="412"/>
      <c r="OL84" s="413">
        <f>(OL118+(OL119/OL96))/OL66+(OL120/OL96)</f>
        <v>0.10293711769392042</v>
      </c>
      <c r="OM84" s="412"/>
      <c r="ON84" s="413">
        <f>(ON118+(ON119/ON96))/ON66+(ON120/ON96)</f>
        <v>0.10154569145186364</v>
      </c>
      <c r="OO84" s="412"/>
      <c r="OP84" s="413">
        <f>(OP118+(OP119/OP96))/OP66+(OP120/OP96)</f>
        <v>0.10158471740017512</v>
      </c>
      <c r="OQ84" s="412"/>
      <c r="OR84" s="413">
        <f>(OR118+(OR119/OR96))/OR66+(OR120/OR96)</f>
        <v>0.10056746129758264</v>
      </c>
      <c r="OS84" s="412"/>
      <c r="OT84" s="413">
        <f>(OT118+(OT119/OT96))/OT66+(OT120/OT96)</f>
        <v>0.10091827845771277</v>
      </c>
      <c r="OU84" s="412"/>
      <c r="OV84" s="413">
        <f>(OV118+(OV119/OV96))/OV66+(OV120/OV96)</f>
        <v>0.102630411050933</v>
      </c>
      <c r="OW84" s="412"/>
      <c r="OX84" s="413">
        <f>(OX118+(OX119/OX96))/OX66+(OX120/OX96)</f>
        <v>0.104417192966074</v>
      </c>
      <c r="OY84" s="412"/>
      <c r="OZ84" s="413">
        <f>(OZ118+(OZ119/OZ96))/OZ66+(OZ120/OZ96)</f>
        <v>0.10344670254991818</v>
      </c>
      <c r="PA84" s="412"/>
      <c r="PB84" s="413">
        <f>(PB118+(PB119/PB96))/PB66+(PB120/PB96)</f>
        <v>0.10248575431869192</v>
      </c>
      <c r="PC84" s="412"/>
      <c r="PD84" s="413">
        <f>(PD118+(PD119/PD96))/PD66+(PD120/PD96)</f>
        <v>0.10166384254495191</v>
      </c>
      <c r="PE84" s="412"/>
      <c r="PF84" s="413">
        <f>(PF118+(PF119/PF96))/PF66+(PF120/PF96)</f>
        <v>0.10236706767881854</v>
      </c>
      <c r="PG84" s="412"/>
      <c r="PH84" s="413">
        <f>(PH118+(PH119/PH96))/PH66+(PH120/PH96)</f>
        <v>0.10086932547118597</v>
      </c>
      <c r="PI84" s="412"/>
      <c r="PJ84" s="413">
        <f>(PJ118+(PJ119/PJ96))/PJ66+(PJ120/PJ96)</f>
        <v>0.10496171609139525</v>
      </c>
      <c r="PK84" s="412"/>
      <c r="PL84" s="413">
        <f>(PL118+(PL119/PL96))/PL66+(PL120/PL96)</f>
        <v>0.10496171609139525</v>
      </c>
      <c r="PM84" s="412"/>
      <c r="PN84" s="413">
        <f>(PN118+(PN119/PN96))/PN66+(PN120/PN96)</f>
        <v>0.1011083802973286</v>
      </c>
      <c r="PO84" s="412"/>
      <c r="PP84" s="413">
        <f>(PP118+(PP119/PP96))/PP66+(PP120/PP96)</f>
        <v>0.1011083802973286</v>
      </c>
      <c r="PQ84" s="366"/>
      <c r="PR84" s="412"/>
      <c r="PS84" s="413">
        <f>(PS118+(PS119/PS96))/PS66+(PS120/PS96)</f>
        <v>7.3063005534269893E-2</v>
      </c>
      <c r="PT84" s="412"/>
      <c r="PU84" s="413">
        <f>(PU118+(PU119/PU96))/PU66+(PU120/PU96)</f>
        <v>7.3063005534269893E-2</v>
      </c>
      <c r="PV84" s="412"/>
      <c r="PW84" s="413">
        <f>(PW118+(PW119/PW96))/PW66+(PW120/PW96)</f>
        <v>7.3063005534269893E-2</v>
      </c>
      <c r="PX84" s="412"/>
      <c r="PY84" s="413">
        <f>(PY118+(PY119/PY96))/PY66+(PY120/PY96)</f>
        <v>7.3063005534269893E-2</v>
      </c>
      <c r="PZ84" s="412"/>
      <c r="QA84" s="413">
        <f>(QA118+(QA119/QA96))/QA66+(QA120/QA96)</f>
        <v>7.3599137931034481E-2</v>
      </c>
      <c r="QB84" s="412"/>
      <c r="QC84" s="413">
        <f>(QC118+(QC119/QC96))/QC66+(QC120/QC96)</f>
        <v>7.3599137931034481E-2</v>
      </c>
      <c r="QD84" s="366"/>
      <c r="QE84" s="366"/>
      <c r="QF84" s="412"/>
      <c r="QG84" s="413">
        <f>(QG118+(QG119/QG96))/QG66+(QG120/QG96)</f>
        <v>7.3063005534269893E-2</v>
      </c>
      <c r="QH84" s="412"/>
      <c r="QI84" s="413">
        <f>(QI118+(QI119/QI96))/QI66+(QI120/QI96)</f>
        <v>7.3063005534269893E-2</v>
      </c>
      <c r="QJ84" s="412"/>
      <c r="QK84" s="413">
        <f>(QK118+(QK119/QK96))/QK66+(QK120/QK96)</f>
        <v>7.3063005534269893E-2</v>
      </c>
      <c r="QL84" s="412"/>
      <c r="QM84" s="413">
        <f>(QM118+(QM119/QM96))/QM66+(QM120/QM96)</f>
        <v>7.3063005534269893E-2</v>
      </c>
      <c r="QN84" s="412"/>
      <c r="QO84" s="413">
        <f>(QO118+(QO119/QO96))/QO66+(QO120/QO96)</f>
        <v>7.3063005534269893E-2</v>
      </c>
      <c r="QP84" s="412"/>
      <c r="QQ84" s="413">
        <f>(QQ118+(QQ119/QQ96))/QQ66+(QQ120/QQ96)</f>
        <v>7.3063005534269893E-2</v>
      </c>
    </row>
    <row r="85" spans="1:459" x14ac:dyDescent="0.45">
      <c r="A85" s="871"/>
      <c r="B85" s="272" t="s">
        <v>388</v>
      </c>
      <c r="C85" s="360"/>
      <c r="D85" s="361" t="s">
        <v>353</v>
      </c>
      <c r="E85" s="411"/>
      <c r="F85" s="412"/>
      <c r="G85" s="413">
        <f>+G86*G8/G96</f>
        <v>4.6035443647283563</v>
      </c>
      <c r="H85" s="412"/>
      <c r="I85" s="413">
        <f>+I86*I8/I96</f>
        <v>4.6035443647283563</v>
      </c>
      <c r="J85" s="412"/>
      <c r="K85" s="413">
        <f>+K86*K8/K96</f>
        <v>4.3766090791431553</v>
      </c>
      <c r="L85" s="412"/>
      <c r="M85" s="413">
        <f>+M86*M8/M96</f>
        <v>4.3766090791431553</v>
      </c>
      <c r="N85" s="412"/>
      <c r="O85" s="413">
        <f>+O86*O8/O96</f>
        <v>4.4893581525756554</v>
      </c>
      <c r="P85" s="412"/>
      <c r="Q85" s="413">
        <f>+Q86*Q8/Q96</f>
        <v>4.5951630839034401</v>
      </c>
      <c r="R85" s="412"/>
      <c r="S85" s="413">
        <f>+S86*S8/S96</f>
        <v>4.8708728689376466</v>
      </c>
      <c r="T85" s="412"/>
      <c r="U85" s="413">
        <f>+U86*U8/U96</f>
        <v>4.8708728689376466</v>
      </c>
      <c r="V85" s="412"/>
      <c r="W85" s="413">
        <f>+W86*W8/W96</f>
        <v>4.8708728689376466</v>
      </c>
      <c r="X85" s="412"/>
      <c r="Y85" s="413">
        <f>+Y86*Y8/Y96</f>
        <v>4.8708728689376466</v>
      </c>
      <c r="Z85" s="412"/>
      <c r="AA85" s="413">
        <f>+AA86*AA8/AA96</f>
        <v>4.8368108209031169</v>
      </c>
      <c r="AB85" s="412"/>
      <c r="AC85" s="413">
        <f>+AC86*AC8/AC96</f>
        <v>5.1832167832167828</v>
      </c>
      <c r="AD85" s="414">
        <f>AE85/AE69</f>
        <v>0.78610907312301304</v>
      </c>
      <c r="AE85" s="413">
        <f>+AE86*AE8/AE96</f>
        <v>5.5420689655172417</v>
      </c>
      <c r="AF85" s="412"/>
      <c r="AG85" s="413">
        <f>+AG86*AG8/AG96</f>
        <v>4.5771983391447835</v>
      </c>
      <c r="AH85" s="412"/>
      <c r="AI85" s="413">
        <f>+AI86*AI8/AI96</f>
        <v>4.7277419354838708</v>
      </c>
      <c r="AJ85" s="412"/>
      <c r="AK85" s="413">
        <f>+AK86*AK8/AK96</f>
        <v>4.511467138178733</v>
      </c>
      <c r="AL85" s="412"/>
      <c r="AM85" s="413">
        <f>+AM86*AM8/AM96</f>
        <v>4.6393582334195127</v>
      </c>
      <c r="AN85" s="412"/>
      <c r="AO85" s="413">
        <f>+AO86*AO8/AO96</f>
        <v>4.7521053231257495</v>
      </c>
      <c r="AP85" s="412"/>
      <c r="AQ85" s="413">
        <f>+AQ86*AQ8/AQ96</f>
        <v>4.9117721618889609</v>
      </c>
      <c r="AR85" s="414">
        <f>AS85/AS69</f>
        <v>0.72389337246270491</v>
      </c>
      <c r="AS85" s="413">
        <f>+AS86*AS8/AS96</f>
        <v>5.1034482758620694</v>
      </c>
      <c r="AT85" s="414">
        <f>AU85/AU69</f>
        <v>0.69434670419892108</v>
      </c>
      <c r="AU85" s="413">
        <f>+AU86*AU8/AU96</f>
        <v>5.1034482758620694</v>
      </c>
      <c r="AV85" s="414">
        <f>AW85/AW69</f>
        <v>0.66085266618704797</v>
      </c>
      <c r="AW85" s="413">
        <f>+AW86*AW8/AW96</f>
        <v>4.8572670964748026</v>
      </c>
      <c r="AX85" s="414">
        <f>AY85/AY69</f>
        <v>0.62664112819646134</v>
      </c>
      <c r="AY85" s="413">
        <f>+AY86*AY8/AY96</f>
        <v>4.605812292243991</v>
      </c>
      <c r="AZ85" s="414">
        <f>BA85/BA69</f>
        <v>0.61621932722404271</v>
      </c>
      <c r="BA85" s="413">
        <f>+BA86*BA8/BA96</f>
        <v>4.5292120550967141</v>
      </c>
      <c r="BB85" s="414">
        <f>BC85/BC69</f>
        <v>0.61602463555980946</v>
      </c>
      <c r="BC85" s="413">
        <f>+BC86*BC8/BC96</f>
        <v>4.5277810713645996</v>
      </c>
      <c r="BD85" s="414">
        <f>BE85/BE69</f>
        <v>0.61420143071913058</v>
      </c>
      <c r="BE85" s="413">
        <f>+BE86*BE8/BE96</f>
        <v>4.5143805157856098</v>
      </c>
      <c r="BF85" s="414">
        <f>BG85/BG69</f>
        <v>0.5838229069544747</v>
      </c>
      <c r="BG85" s="413">
        <f>+BG86*BG8/BG96</f>
        <v>4.2910983661153885</v>
      </c>
      <c r="BH85" s="414">
        <f>BI85/BI69</f>
        <v>0.5566469152260729</v>
      </c>
      <c r="BI85" s="413">
        <f>+BI86*BI8/BI96</f>
        <v>4.091354826911636</v>
      </c>
      <c r="BJ85" s="414">
        <f>BK85/BK69</f>
        <v>0.55245782033572932</v>
      </c>
      <c r="BK85" s="413">
        <f>+BK86*BK8/BK96</f>
        <v>4.0605649794676104</v>
      </c>
      <c r="BL85" s="414">
        <f>BM85/BM69</f>
        <v>0.61504705881266708</v>
      </c>
      <c r="BM85" s="413">
        <f>+BM86*BM8/BM96</f>
        <v>4.5205958822731027</v>
      </c>
      <c r="BN85" s="414">
        <f>BO85/BO69</f>
        <v>0.62873835662097088</v>
      </c>
      <c r="BO85" s="413">
        <f>+BO86*BO8/BO96</f>
        <v>4.6212269211641361</v>
      </c>
      <c r="BP85" s="414">
        <f>BQ85/BQ69</f>
        <v>0.64739789671118098</v>
      </c>
      <c r="BQ85" s="413">
        <f>+BQ86*BQ8/BQ96</f>
        <v>4.7583745408271803</v>
      </c>
      <c r="BR85" s="414">
        <f>BS85/BS69</f>
        <v>0.59918167356434449</v>
      </c>
      <c r="BS85" s="413">
        <f>+BS86*BS8/BS96</f>
        <v>4.4039853006979319</v>
      </c>
      <c r="BT85" s="414">
        <f>BU85/BU69</f>
        <v>0.6256223513903022</v>
      </c>
      <c r="BU85" s="413">
        <f>+BU86*BU8/BU96</f>
        <v>4.5983242827187212</v>
      </c>
      <c r="BV85" s="414">
        <f>BW85/BW69</f>
        <v>0.62878705277543745</v>
      </c>
      <c r="BW85" s="413">
        <f>+BW86*BW8/BW96</f>
        <v>4.6215848378994648</v>
      </c>
      <c r="BX85" s="414">
        <f>BY85/BY69</f>
        <v>0.59444216827918062</v>
      </c>
      <c r="BY85" s="413">
        <f>+BY86*BY8/BY96</f>
        <v>4.3691499368519775</v>
      </c>
      <c r="BZ85" s="414">
        <f>CA85/CA69</f>
        <v>0.61243424838525151</v>
      </c>
      <c r="CA85" s="413">
        <f>+CA86*CA8/CA96</f>
        <v>4.5013917256315983</v>
      </c>
      <c r="CB85" s="414">
        <f>CC85/CC69</f>
        <v>0.58007383736946938</v>
      </c>
      <c r="CC85" s="413">
        <f>+CC86*CC8/CC96</f>
        <v>4.2635427046655998</v>
      </c>
      <c r="CD85" s="414">
        <f>CE85/CE69</f>
        <v>0.59732160359451925</v>
      </c>
      <c r="CE85" s="413">
        <f>+CE86*CE8/CE96</f>
        <v>4.3903137864197159</v>
      </c>
      <c r="CF85" s="414">
        <f>CG85/CG69</f>
        <v>0.65223360026476285</v>
      </c>
      <c r="CG85" s="413">
        <f>+CG86*CG8/CG96</f>
        <v>4.7939169619460067</v>
      </c>
      <c r="CH85" s="414">
        <f>CI85/CI69</f>
        <v>0.64194345507013795</v>
      </c>
      <c r="CI85" s="413">
        <f>+CI86*CI8/CI96</f>
        <v>4.7182843947655133</v>
      </c>
      <c r="CJ85" s="414">
        <f>CK85/CK69</f>
        <v>0.63314215733720614</v>
      </c>
      <c r="CK85" s="413">
        <f>+CK86*CK8/CK96</f>
        <v>4.653594856428465</v>
      </c>
      <c r="CL85" s="414">
        <f>CM85/CM69</f>
        <v>0.62005971312386898</v>
      </c>
      <c r="CM85" s="413">
        <f>+CM86*CM8/CM96</f>
        <v>4.5574388914604365</v>
      </c>
      <c r="CN85" s="414">
        <f>CO85/CO69</f>
        <v>0.6189465935863534</v>
      </c>
      <c r="CO85" s="413">
        <f>+CO86*CO8/CO96</f>
        <v>4.5492574628596971</v>
      </c>
      <c r="CP85" s="414">
        <f>CQ85/CQ69</f>
        <v>0.6214831611657009</v>
      </c>
      <c r="CQ85" s="413">
        <f>+CQ86*CQ8/CQ96</f>
        <v>4.5679012345679011</v>
      </c>
      <c r="CR85" s="414">
        <f>CS85/CS69</f>
        <v>0.6214831611657009</v>
      </c>
      <c r="CS85" s="413">
        <f>+CS86*CS8/CS96</f>
        <v>4.5679012345679011</v>
      </c>
      <c r="CT85" s="365"/>
      <c r="CU85" s="415"/>
      <c r="CV85" s="413">
        <f>+CV86*CV8/CV96</f>
        <v>6.593417819030079</v>
      </c>
      <c r="CW85" s="415"/>
      <c r="CX85" s="413">
        <f>+CX86*CX8/CX96</f>
        <v>6.9890228881718839</v>
      </c>
      <c r="CY85" s="415"/>
      <c r="CZ85" s="413">
        <f>+CZ86*CZ8/CZ96</f>
        <v>6.9890228881718839</v>
      </c>
      <c r="DA85" s="415"/>
      <c r="DB85" s="413">
        <f>+DB86*DB8/DB96</f>
        <v>7.8881118881118883</v>
      </c>
      <c r="DC85" s="414">
        <f>DD85/DD69</f>
        <v>0.78381962864721488</v>
      </c>
      <c r="DD85" s="413">
        <f>+DD86*DD8/DD96</f>
        <v>8.1517241379310352</v>
      </c>
      <c r="DE85" s="415"/>
      <c r="DF85" s="413">
        <f>+DF86*DF8/DF96</f>
        <v>6.7236113679801459</v>
      </c>
      <c r="DG85" s="415"/>
      <c r="DH85" s="413">
        <f>+DH86*DH8/DH96</f>
        <v>7.2</v>
      </c>
      <c r="DI85" s="415"/>
      <c r="DJ85" s="413">
        <f>+DJ86*DJ8/DJ96</f>
        <v>6.5228219244295538</v>
      </c>
      <c r="DK85" s="415"/>
      <c r="DL85" s="413">
        <f>+DL86*DL8/DL96</f>
        <v>6.8904315777227723</v>
      </c>
      <c r="DM85" s="415"/>
      <c r="DN85" s="413">
        <f>+DN86*DN8/DN96</f>
        <v>6.8432686915996621</v>
      </c>
      <c r="DO85" s="415"/>
      <c r="DP85" s="413">
        <f>+DP86*DP8/DP96</f>
        <v>6.7794369945455459</v>
      </c>
      <c r="DQ85" s="414">
        <f>DR85/DR69</f>
        <v>0.71618037135278512</v>
      </c>
      <c r="DR85" s="413">
        <f>+DR86*DR8/DR96</f>
        <v>7.4482758620689653</v>
      </c>
      <c r="DS85" s="414">
        <f>DT85/DT69</f>
        <v>0.68020784128483702</v>
      </c>
      <c r="DT85" s="413">
        <f>+DT86*DT8/DT96</f>
        <v>7.4482758620689653</v>
      </c>
      <c r="DU85" s="414">
        <f>DV85/DV69</f>
        <v>0.64419806927373624</v>
      </c>
      <c r="DV85" s="413">
        <f>+DV86*DV8/DV96</f>
        <v>7.0539688585474112</v>
      </c>
      <c r="DW85" s="414">
        <f>DX85/DX69</f>
        <v>0.63931300677965019</v>
      </c>
      <c r="DX85" s="413">
        <f>+DX86*DX8/DX96</f>
        <v>7.000477424237169</v>
      </c>
      <c r="DY85" s="414">
        <f>DZ85/DZ69</f>
        <v>0.61391120292085988</v>
      </c>
      <c r="DZ85" s="413">
        <f>+DZ86*DZ8/DZ96</f>
        <v>6.7223276719834155</v>
      </c>
      <c r="EA85" s="414">
        <f>EB85/EB69</f>
        <v>0.63126319263555408</v>
      </c>
      <c r="EB85" s="413">
        <f>+EB86*EB8/EB96</f>
        <v>6.9123319593593173</v>
      </c>
      <c r="EC85" s="414">
        <f>ED85/ED69</f>
        <v>0.60521272655576464</v>
      </c>
      <c r="ED85" s="413">
        <f>+ED86*ED8/ED96</f>
        <v>6.6270793557856225</v>
      </c>
      <c r="EE85" s="414">
        <f>EF85/EF69</f>
        <v>0.59057326583641712</v>
      </c>
      <c r="EF85" s="413">
        <f>+EF86*EF8/EF96</f>
        <v>6.466777260908767</v>
      </c>
      <c r="EG85" s="414">
        <f>EH85/EH69</f>
        <v>0.59625410022747982</v>
      </c>
      <c r="EH85" s="413">
        <f>+EH86*EH8/EH96</f>
        <v>6.5289823974909034</v>
      </c>
      <c r="EI85" s="414">
        <f>EJ85/EJ69</f>
        <v>0.60038753596469319</v>
      </c>
      <c r="EJ85" s="413">
        <f>+EJ86*EJ8/EJ96</f>
        <v>6.5742435188133905</v>
      </c>
      <c r="EK85" s="414">
        <f>EL85/EL69</f>
        <v>0.61559845007497205</v>
      </c>
      <c r="EL85" s="413">
        <f>+EL86*EL8/EL96</f>
        <v>6.7408030283209435</v>
      </c>
      <c r="EM85" s="414">
        <f>EN85/EN69</f>
        <v>0.58139327733504453</v>
      </c>
      <c r="EN85" s="413">
        <f>+EN86*EN8/EN96</f>
        <v>6.366256386818737</v>
      </c>
      <c r="EO85" s="414">
        <f>EP85/EP69</f>
        <v>0.64484335676285376</v>
      </c>
      <c r="EP85" s="413">
        <f>+EP86*EP8/EP96</f>
        <v>7.0610347565532479</v>
      </c>
      <c r="EQ85" s="414">
        <f>ER85/ER69</f>
        <v>0.58254510535446924</v>
      </c>
      <c r="ER85" s="413">
        <f>+ER86*ER8/ER96</f>
        <v>6.3788689036314379</v>
      </c>
      <c r="ES85" s="414">
        <f>ET85/ET69</f>
        <v>0.60537420839132794</v>
      </c>
      <c r="ET85" s="413">
        <f>+ET86*ET8/ET96</f>
        <v>6.6288475818850401</v>
      </c>
      <c r="EU85" s="414">
        <f>EV85/EV69</f>
        <v>0.59672998452242842</v>
      </c>
      <c r="EV85" s="413">
        <f>+EV86*EV8/EV96</f>
        <v>6.5341933305205906</v>
      </c>
      <c r="EW85" s="414">
        <f>EX85/EX69</f>
        <v>0.58879538258363562</v>
      </c>
      <c r="EX85" s="413">
        <f>+EX86*EX8/EX96</f>
        <v>6.4473094392908097</v>
      </c>
      <c r="EY85" s="414">
        <f>EZ85/EZ69</f>
        <v>0.60516624456127077</v>
      </c>
      <c r="EZ85" s="413">
        <f>+EZ86*EZ8/EZ96</f>
        <v>6.6265703779459146</v>
      </c>
      <c r="FA85" s="414">
        <f>FB85/FB69</f>
        <v>0.64477672333884251</v>
      </c>
      <c r="FB85" s="413">
        <f>+FB86*FB8/FB96</f>
        <v>7.0603051205603249</v>
      </c>
      <c r="FC85" s="414">
        <f>FD85/FD69</f>
        <v>0.62464031928158825</v>
      </c>
      <c r="FD85" s="413">
        <f>+FD86*FD8/FD96</f>
        <v>6.8398114961333905</v>
      </c>
      <c r="FE85" s="414">
        <f>FF85/FF69</f>
        <v>0.56067558660087136</v>
      </c>
      <c r="FF85" s="413">
        <f>+FF86*FF8/FF96</f>
        <v>6.1393976732795412</v>
      </c>
      <c r="FG85" s="414">
        <f>FH85/FH69</f>
        <v>0.58714150850183144</v>
      </c>
      <c r="FH85" s="413">
        <f>+FH86*FH8/FH96</f>
        <v>6.4291995180950536</v>
      </c>
      <c r="FI85" s="414">
        <f>FJ85/FJ69</f>
        <v>0.59991974251746738</v>
      </c>
      <c r="FJ85" s="413">
        <f>+FJ86*FJ8/FJ96</f>
        <v>6.5691211805662668</v>
      </c>
      <c r="FK85" s="414">
        <f>FL85/FL69</f>
        <v>0.60178481406959905</v>
      </c>
      <c r="FL85" s="413">
        <f>+FL86*FL8/FL96</f>
        <v>6.5895437140621089</v>
      </c>
      <c r="FM85" s="414">
        <f>FN85/FN69</f>
        <v>0.60634309019973753</v>
      </c>
      <c r="FN85" s="413">
        <f>+FN86*FN8/FN96</f>
        <v>6.6394568376871259</v>
      </c>
      <c r="FO85" s="414">
        <f>FP85/FP69</f>
        <v>0.60634309019973753</v>
      </c>
      <c r="FP85" s="413">
        <f>+FP86*FP8/FP96</f>
        <v>6.6394568376871259</v>
      </c>
      <c r="FQ85" s="411"/>
      <c r="FR85" s="412"/>
      <c r="FS85" s="413">
        <f>+FS86*FS8/FS96</f>
        <v>4.9575213944132122</v>
      </c>
      <c r="FT85" s="412"/>
      <c r="FU85" s="413">
        <f>+FU86*FU8/FU96</f>
        <v>5.2478155672095612</v>
      </c>
      <c r="FV85" s="412"/>
      <c r="FW85" s="413">
        <f>+FW86*FW8/FW96</f>
        <v>5.5049754670890412</v>
      </c>
      <c r="FX85" s="412"/>
      <c r="FY85" s="413">
        <f>+FY86*FY8/FY96</f>
        <v>5.8352739951143837</v>
      </c>
      <c r="FZ85" s="412"/>
      <c r="GA85" s="413">
        <f>+GA86*GA8/GA96</f>
        <v>5.8352739951143837</v>
      </c>
      <c r="GB85" s="412"/>
      <c r="GC85" s="413">
        <f>+GC86*GC8/GC96</f>
        <v>5.8352739951143837</v>
      </c>
      <c r="GD85" s="412"/>
      <c r="GE85" s="413">
        <f>+GE86*GE8/GE96</f>
        <v>5.8352739951143837</v>
      </c>
      <c r="GF85" s="412"/>
      <c r="GG85" s="413">
        <f>+GG86*GG8/GG96</f>
        <v>5.7944678832604373</v>
      </c>
      <c r="GH85" s="412"/>
      <c r="GI85" s="413">
        <f>+GI86*GI8/GI96</f>
        <v>5.4713286713286715</v>
      </c>
      <c r="GJ85" s="414">
        <f>GK85/GK69</f>
        <v>0.81361850720209516</v>
      </c>
      <c r="GK85" s="413">
        <f>+GK86*GK8/GK96</f>
        <v>6.4275862068965521</v>
      </c>
      <c r="GL85" s="412"/>
      <c r="GM85" s="413">
        <f>+GM86*GM8/GM96</f>
        <v>5.3981486152738691</v>
      </c>
      <c r="GN85" s="412"/>
      <c r="GO85" s="413">
        <f>+GO86*GO8/GO96</f>
        <v>5.5354838709677416</v>
      </c>
      <c r="GP85" s="412"/>
      <c r="GQ85" s="413">
        <f>+GQ86*GQ8/GQ96</f>
        <v>5.3109091664365442</v>
      </c>
      <c r="GR85" s="412"/>
      <c r="GS85" s="413">
        <f>+GS86*GS8/GS96</f>
        <v>5.4573389062480171</v>
      </c>
      <c r="GT85" s="412"/>
      <c r="GU85" s="413">
        <f>+GU86*GU8/GU96</f>
        <v>5.3993546726730468</v>
      </c>
      <c r="GV85" s="412"/>
      <c r="GW85" s="413">
        <f>+GW86*GW8/GW96</f>
        <v>6.2407891422602013</v>
      </c>
      <c r="GX85" s="414">
        <f>GY85/GY69</f>
        <v>0.76822348319511125</v>
      </c>
      <c r="GY85" s="413">
        <f>+GY86*GY8/GY96</f>
        <v>6.068965517241379</v>
      </c>
      <c r="GZ85" s="414">
        <f>HA85/HA69</f>
        <v>0.73563218390804597</v>
      </c>
      <c r="HA85" s="413">
        <f>+HA86*HA8/HA96</f>
        <v>6.068965517241379</v>
      </c>
      <c r="HB85" s="414">
        <f>HC85/HC69</f>
        <v>0.73415749476949077</v>
      </c>
      <c r="HC85" s="413">
        <f>+HC86*HC8/HC96</f>
        <v>6.0567993318482989</v>
      </c>
      <c r="HD85" s="414">
        <f>HE85/HE69</f>
        <v>0.64867192730042667</v>
      </c>
      <c r="HE85" s="413">
        <f>+HE86*HE8/HE96</f>
        <v>5.35154340022852</v>
      </c>
      <c r="HF85" s="414">
        <f>HG85/HG69</f>
        <v>0.65575074356610585</v>
      </c>
      <c r="HG85" s="413">
        <f>+HG86*HG8/HG96</f>
        <v>5.4099436344203733</v>
      </c>
      <c r="HH85" s="414">
        <f>HI85/HI69</f>
        <v>0.64708583055542568</v>
      </c>
      <c r="HI85" s="413">
        <f>+HI86*HI8/HI96</f>
        <v>5.3384581020822619</v>
      </c>
      <c r="HJ85" s="414">
        <f>HK85/HK69</f>
        <v>0.64249964909576751</v>
      </c>
      <c r="HK85" s="413">
        <f>+HK86*HK8/HK96</f>
        <v>5.3006221050400821</v>
      </c>
      <c r="HL85" s="414">
        <f>HM85/HM69</f>
        <v>0.61858171870596834</v>
      </c>
      <c r="HM85" s="413">
        <f>+HM86*HM8/HM96</f>
        <v>5.1032991793242388</v>
      </c>
      <c r="HN85" s="414">
        <f>HO85/HO69</f>
        <v>0.62179674386680261</v>
      </c>
      <c r="HO85" s="413">
        <f>+HO86*HO8/HO96</f>
        <v>5.1298231369011216</v>
      </c>
      <c r="HP85" s="414">
        <f>HQ85/HQ69</f>
        <v>0.62610724987657507</v>
      </c>
      <c r="HQ85" s="413">
        <f>+HQ86*HQ8/HQ96</f>
        <v>5.1653848114817444</v>
      </c>
      <c r="HR85" s="414">
        <f>HS85/HS69</f>
        <v>0.65864776389990098</v>
      </c>
      <c r="HS85" s="413">
        <f>+HS86*HS8/HS96</f>
        <v>5.4338440521741829</v>
      </c>
      <c r="HT85" s="414">
        <f>HU85/HU69</f>
        <v>0.64884176576934205</v>
      </c>
      <c r="HU85" s="413">
        <f>+HU86*HU8/HU96</f>
        <v>5.3529445675970715</v>
      </c>
      <c r="HV85" s="414">
        <f>HW85/HW69</f>
        <v>0.67090270899482729</v>
      </c>
      <c r="HW85" s="413">
        <f>+HW86*HW8/HW96</f>
        <v>5.5349473492073251</v>
      </c>
      <c r="HX85" s="414">
        <f>HY85/HY69</f>
        <v>0.75081965270672812</v>
      </c>
      <c r="HY85" s="413">
        <f>+HY86*HY8/HY96</f>
        <v>6.1942621348305069</v>
      </c>
      <c r="HZ85" s="414">
        <f>IA85/IA69</f>
        <v>0.76676434857374864</v>
      </c>
      <c r="IA85" s="413">
        <f>+IA86*IA8/IA96</f>
        <v>6.3258058757334261</v>
      </c>
      <c r="IB85" s="414">
        <f>IC85/IC69</f>
        <v>0.64629112214603657</v>
      </c>
      <c r="IC85" s="413">
        <f>+IC86*IC8/IC96</f>
        <v>5.3319017577048013</v>
      </c>
      <c r="ID85" s="414">
        <f>IE85/IE69</f>
        <v>0.63515688789826152</v>
      </c>
      <c r="IE85" s="413">
        <f>+IE86*IE8/IE96</f>
        <v>5.2400443251606577</v>
      </c>
      <c r="IF85" s="414">
        <f>IG85/IG69</f>
        <v>0.63899670800754726</v>
      </c>
      <c r="IG85" s="413">
        <f>+IG86*IG8/IG96</f>
        <v>5.2717228410622647</v>
      </c>
      <c r="IH85" s="414">
        <f>II85/II69</f>
        <v>0.65773661559579499</v>
      </c>
      <c r="II85" s="413">
        <f>+II86*II8/II96</f>
        <v>5.4263270786653086</v>
      </c>
      <c r="IJ85" s="414">
        <f>IK85/IK69</f>
        <v>0.67729358688568631</v>
      </c>
      <c r="IK85" s="413">
        <f>+IK86*IK8/IK96</f>
        <v>5.5876720918069118</v>
      </c>
      <c r="IL85" s="414">
        <f>IM85/IM69</f>
        <v>0.66635998218022108</v>
      </c>
      <c r="IM85" s="413">
        <f>+IM86*IM8/IM96</f>
        <v>5.497469852986824</v>
      </c>
      <c r="IN85" s="414">
        <f>IO85/IO69</f>
        <v>0.65584696818379606</v>
      </c>
      <c r="IO85" s="413">
        <f>+IO86*IO8/IO96</f>
        <v>5.4107374875163172</v>
      </c>
      <c r="IP85" s="414">
        <f>IQ85/IQ69</f>
        <v>0.64685504780726455</v>
      </c>
      <c r="IQ85" s="413">
        <f>+IQ86*IQ8/IQ96</f>
        <v>5.3365541444099325</v>
      </c>
      <c r="IR85" s="414">
        <f>IS85/IS69</f>
        <v>0.65454850665836584</v>
      </c>
      <c r="IS85" s="413">
        <f>+IS86*IS8/IS96</f>
        <v>5.400025179931518</v>
      </c>
      <c r="IT85" s="414">
        <f>IU85/IU69</f>
        <v>0.67036802757032754</v>
      </c>
      <c r="IU85" s="413">
        <f>+IU86*IU8/IU96</f>
        <v>5.5305362274552019</v>
      </c>
      <c r="IV85" s="414">
        <f>IW85/IW69</f>
        <v>0.64084544112356101</v>
      </c>
      <c r="IW85" s="413">
        <f>+IW86*IW8/IW96</f>
        <v>5.286974889269378</v>
      </c>
      <c r="IX85" s="414">
        <f>IY85/IY69</f>
        <v>0.64347175458286565</v>
      </c>
      <c r="IY85" s="413">
        <f>+IY86*IY8/IY96</f>
        <v>5.3086419753086416</v>
      </c>
      <c r="IZ85" s="411"/>
      <c r="JA85" s="414">
        <f>JB85/JB69</f>
        <v>0.69696969696969702</v>
      </c>
      <c r="JB85" s="413">
        <f>+JB86*JB8/JB96</f>
        <v>5.75</v>
      </c>
      <c r="JC85" s="414">
        <f>JD85/JD69</f>
        <v>0.70579209819716149</v>
      </c>
      <c r="JD85" s="413">
        <f>+JD86*JD8/JD96</f>
        <v>5.8227848101265822</v>
      </c>
      <c r="JE85" s="411"/>
      <c r="JF85" s="412"/>
      <c r="JG85" s="413">
        <f>+JG86*JG8/JG96</f>
        <v>4.1192114683230159</v>
      </c>
      <c r="JH85" s="412"/>
      <c r="JI85" s="413">
        <f>+JI86*JI8/JI96</f>
        <v>4.3990967373680459</v>
      </c>
      <c r="JJ85" s="412"/>
      <c r="JK85" s="413">
        <f>+JK86*JK8/JK96</f>
        <v>4.6094132043044063</v>
      </c>
      <c r="JL85" s="412"/>
      <c r="JM85" s="413">
        <f>+JM86*JM8/JM96</f>
        <v>4.8859779965626711</v>
      </c>
      <c r="JN85" s="412"/>
      <c r="JO85" s="413">
        <f>+JO86*JO8/JO96</f>
        <v>4.8859779965626711</v>
      </c>
      <c r="JP85" s="412"/>
      <c r="JQ85" s="413">
        <f>+JQ86*JQ8/JQ96</f>
        <v>4.8518103182650298</v>
      </c>
      <c r="JR85" s="412"/>
      <c r="JS85" s="413">
        <f>+JS86*JS8/JS96</f>
        <v>5.3650349650349654</v>
      </c>
      <c r="JT85" s="414">
        <f>JU85/JU69</f>
        <v>0.81050903119868634</v>
      </c>
      <c r="JU85" s="413">
        <f>+JU86*JU8/JU96</f>
        <v>5.1062068965517238</v>
      </c>
      <c r="JV85" s="412"/>
      <c r="JW85" s="413">
        <f>+JW86*JW8/JW96</f>
        <v>4.4561241828582929</v>
      </c>
      <c r="JX85" s="412"/>
      <c r="JY85" s="413">
        <f>+JY86*JY8/JY96</f>
        <v>4.8103225806451615</v>
      </c>
      <c r="JZ85" s="412"/>
      <c r="KA85" s="413">
        <f>+KA86*KA8/KA96</f>
        <v>4.499360937772706</v>
      </c>
      <c r="KB85" s="412"/>
      <c r="KC85" s="413">
        <f>+KC86*KC8/KC96</f>
        <v>4.5759531964162754</v>
      </c>
      <c r="KD85" s="412"/>
      <c r="KE85" s="413">
        <f>+KE86*KE8/KE96</f>
        <v>4.5364678470821511</v>
      </c>
      <c r="KF85" s="412"/>
      <c r="KG85" s="413">
        <f>+KG86*KG8/KG96</f>
        <v>5.0105348614954615</v>
      </c>
      <c r="KH85" s="414">
        <f>KI85/KI69</f>
        <v>0.78817733990147787</v>
      </c>
      <c r="KI85" s="413">
        <f>+KI86*KI8/KI96</f>
        <v>4.9655172413793105</v>
      </c>
      <c r="KJ85" s="414">
        <f>KK85/KK69</f>
        <v>0.75235109717868343</v>
      </c>
      <c r="KK85" s="413">
        <f>+KK86*KK8/KK96</f>
        <v>4.9655172413793105</v>
      </c>
      <c r="KL85" s="414">
        <f>KM85/KM69</f>
        <v>0.74224975618470035</v>
      </c>
      <c r="KM85" s="413">
        <f>+KM86*KM8/KM96</f>
        <v>4.8988483908190217</v>
      </c>
      <c r="KN85" s="414">
        <f>KO85/KO69</f>
        <v>0.70553611864151589</v>
      </c>
      <c r="KO85" s="413">
        <f>+KO86*KO8/KO96</f>
        <v>4.6565383830340048</v>
      </c>
      <c r="KP85" s="414">
        <f>KQ85/KQ69</f>
        <v>0.73322814468158737</v>
      </c>
      <c r="KQ85" s="413">
        <f>+KQ86*KQ8/KQ96</f>
        <v>4.8393057548984766</v>
      </c>
      <c r="KR85" s="414">
        <f>KS85/KS69</f>
        <v>0.69725222545626564</v>
      </c>
      <c r="KS85" s="413">
        <f>+KS86*KS8/KS96</f>
        <v>4.6018646880113527</v>
      </c>
      <c r="KT85" s="414">
        <f>KU85/KU69</f>
        <v>0.69346413501372739</v>
      </c>
      <c r="KU85" s="413">
        <f>+KU86*KU8/KU96</f>
        <v>4.5768632910906009</v>
      </c>
      <c r="KV85" s="414">
        <f>KW85/KW69</f>
        <v>0.66921094760127009</v>
      </c>
      <c r="KW85" s="413">
        <f>+KW86*KW8/KW96</f>
        <v>4.4167922541683824</v>
      </c>
      <c r="KX85" s="414">
        <f>KY85/KY69</f>
        <v>0.6481242262905571</v>
      </c>
      <c r="KY85" s="413">
        <f>+KY86*KY8/KY96</f>
        <v>4.2776198935176764</v>
      </c>
      <c r="KZ85" s="414">
        <f>LA85/LA69</f>
        <v>0.62919559695609473</v>
      </c>
      <c r="LA85" s="413">
        <f>+LA86*LA8/LA96</f>
        <v>4.152690939910225</v>
      </c>
      <c r="LB85" s="414">
        <f>LC85/LC69</f>
        <v>0.69444021414547075</v>
      </c>
      <c r="LC85" s="413">
        <f>+LC86*LC8/LC96</f>
        <v>4.5833054133601063</v>
      </c>
      <c r="LD85" s="414">
        <f>LE85/LE69</f>
        <v>0.70154622068994965</v>
      </c>
      <c r="LE85" s="413">
        <f>+LE86*LE8/LE96</f>
        <v>4.6302050565536677</v>
      </c>
      <c r="LF85" s="414">
        <f>LG85/LG69</f>
        <v>0.7716117104857575</v>
      </c>
      <c r="LG85" s="413">
        <f>+LG86*LG8/LG96</f>
        <v>5.0926372892059995</v>
      </c>
      <c r="LH85" s="414">
        <f>LI85/LI69</f>
        <v>0.67889644453333675</v>
      </c>
      <c r="LI85" s="413">
        <f>+LI86*LI8/LI96</f>
        <v>4.4807165339200221</v>
      </c>
      <c r="LJ85" s="414">
        <f>LK85/LK69</f>
        <v>0.72450721375995586</v>
      </c>
      <c r="LK85" s="413">
        <f>+LK86*LK8/LK96</f>
        <v>4.7817476108157084</v>
      </c>
      <c r="LL85" s="414">
        <f>LM85/LM69</f>
        <v>0.67629140117427322</v>
      </c>
      <c r="LM85" s="413">
        <f>+LM86*LM8/LM96</f>
        <v>4.4635232477502029</v>
      </c>
      <c r="LN85" s="414">
        <f>LO85/LO69</f>
        <v>0.66273372756891435</v>
      </c>
      <c r="LO85" s="413">
        <f>+LO86*LO8/LO96</f>
        <v>4.3740426019548346</v>
      </c>
      <c r="LP85" s="414">
        <f>LQ85/LQ69</f>
        <v>0.68277484381525388</v>
      </c>
      <c r="LQ85" s="413">
        <f>+LQ86*LQ8/LQ96</f>
        <v>4.5063139691806757</v>
      </c>
      <c r="LR85" s="414">
        <f>LS85/LS69</f>
        <v>0.71508129951853772</v>
      </c>
      <c r="LS85" s="413">
        <f>+LS86*LS8/LS96</f>
        <v>4.7195365768223487</v>
      </c>
      <c r="LT85" s="414">
        <f>LU85/LU69</f>
        <v>0.73634334288517367</v>
      </c>
      <c r="LU85" s="413">
        <f>+LU86*LU8/LU96</f>
        <v>4.859866063042146</v>
      </c>
      <c r="LV85" s="414">
        <f>LW85/LW69</f>
        <v>0.72479486618504907</v>
      </c>
      <c r="LW85" s="413">
        <f>+LW86*LW8/LW96</f>
        <v>4.7836461168213233</v>
      </c>
      <c r="LX85" s="414">
        <f>LY85/LY69</f>
        <v>0.71335993795329988</v>
      </c>
      <c r="LY85" s="413">
        <f>+LY86*LY8/LY96</f>
        <v>4.7081755904917788</v>
      </c>
      <c r="LZ85" s="414">
        <f>MA85/MA69</f>
        <v>0.7035794920976961</v>
      </c>
      <c r="MA85" s="413">
        <f>+MA86*MA8/MA96</f>
        <v>4.6436246478447938</v>
      </c>
      <c r="MB85" s="414">
        <f>MC85/MC69</f>
        <v>0.70729570756962179</v>
      </c>
      <c r="MC85" s="413">
        <f>+MC86*MC8/MC96</f>
        <v>4.6681516699595038</v>
      </c>
      <c r="MD85" s="414">
        <f>ME85/ME69</f>
        <v>0.62705981244822862</v>
      </c>
      <c r="ME85" s="413">
        <f>+ME86*ME8/ME96</f>
        <v>4.1385947621583083</v>
      </c>
      <c r="MF85" s="414">
        <f>MG85/MG69</f>
        <v>0.69210624766180329</v>
      </c>
      <c r="MG85" s="413">
        <f>+MG86*MG8/MG96</f>
        <v>4.5679012345679011</v>
      </c>
      <c r="MH85" s="411"/>
      <c r="MI85" s="412"/>
      <c r="MJ85" s="413">
        <f>+MJ86*MJ8/MJ96</f>
        <v>3.4583948997042357</v>
      </c>
      <c r="MK85" s="412"/>
      <c r="ML85" s="413">
        <f>+ML86*ML8/ML96</f>
        <v>3.6265077258389349</v>
      </c>
      <c r="MM85" s="412"/>
      <c r="MN85" s="413">
        <f>+MN86*MN8/MN96</f>
        <v>3.8644837174381874</v>
      </c>
      <c r="MO85" s="412"/>
      <c r="MP85" s="413">
        <f>+MP86*MP8/MP96</f>
        <v>4.0963527404844786</v>
      </c>
      <c r="MQ85" s="412"/>
      <c r="MR85" s="413">
        <f>+MR86*MR8/MR96</f>
        <v>4.0963527404844786</v>
      </c>
      <c r="MS85" s="412"/>
      <c r="MT85" s="413">
        <f>+MT86*MT8/MT96</f>
        <v>4.0677069171244469</v>
      </c>
      <c r="MU85" s="412"/>
      <c r="MV85" s="413">
        <f>+MV86*MV8/MV96</f>
        <v>4.3440559440559436</v>
      </c>
      <c r="MW85" s="414">
        <f>MX85/MX69</f>
        <v>0.71461412151067327</v>
      </c>
      <c r="MX85" s="413">
        <f>+MX86*MX8/MX96</f>
        <v>4.5020689655172417</v>
      </c>
      <c r="MY85" s="412"/>
      <c r="MZ85" s="413">
        <f>+MZ86*MZ8/MZ96</f>
        <v>3.8272313371050659</v>
      </c>
      <c r="NA85" s="412"/>
      <c r="NB85" s="413">
        <f>+NB86*NB8/NB96</f>
        <v>4.0696774193548384</v>
      </c>
      <c r="NC85" s="412"/>
      <c r="ND85" s="413">
        <f>+ND86*ND8/ND96</f>
        <v>3.8548006782356077</v>
      </c>
      <c r="NE85" s="412"/>
      <c r="NF85" s="413">
        <f>+NF86*NF8/NF96</f>
        <v>3.8271972044278626</v>
      </c>
      <c r="NG85" s="412"/>
      <c r="NH85" s="413">
        <f>+NH86*NH8/NH96</f>
        <v>3.8313963392648502</v>
      </c>
      <c r="NI85" s="412"/>
      <c r="NJ85" s="413">
        <f>+NJ86*NJ8/NJ96</f>
        <v>4.1927660136941531</v>
      </c>
      <c r="NK85" s="414">
        <f>NL85/NL69</f>
        <v>0.67870826491516145</v>
      </c>
      <c r="NL85" s="413">
        <f>+NL86*NL8/NL96</f>
        <v>4.2758620689655169</v>
      </c>
      <c r="NM85" s="414">
        <f>NN85/NN69</f>
        <v>0.64785788923719956</v>
      </c>
      <c r="NN85" s="413">
        <f>+NN86*NN8/NN96</f>
        <v>4.2758620689655169</v>
      </c>
      <c r="NO85" s="414">
        <f>NP85/NP69</f>
        <v>0.62254642159958706</v>
      </c>
      <c r="NP85" s="413">
        <f>+NP86*NP8/NP96</f>
        <v>4.1088063825572743</v>
      </c>
      <c r="NQ85" s="414">
        <f>NR85/NR69</f>
        <v>0.58538251615038761</v>
      </c>
      <c r="NR85" s="413">
        <f>+NR86*NR8/NR96</f>
        <v>3.8635246065925584</v>
      </c>
      <c r="NS85" s="414">
        <f>NT85/NT69</f>
        <v>0.57531938761010049</v>
      </c>
      <c r="NT85" s="413">
        <f>+NT86*NT8/NT96</f>
        <v>3.7971079582266634</v>
      </c>
      <c r="NU85" s="414">
        <f>NV85/NV69</f>
        <v>0.66058912194886943</v>
      </c>
      <c r="NV85" s="413">
        <f>+NV86*NV8/NV96</f>
        <v>4.3598882048625383</v>
      </c>
      <c r="NW85" s="414">
        <f>NX85/NX69</f>
        <v>0.57907016507403408</v>
      </c>
      <c r="NX85" s="413">
        <f>+NX86*NX8/NX96</f>
        <v>3.821863089488625</v>
      </c>
      <c r="NY85" s="414">
        <f>NZ85/NZ69</f>
        <v>0.60920302045934982</v>
      </c>
      <c r="NZ85" s="413">
        <f>+NZ86*NZ8/NZ96</f>
        <v>4.0207399350317088</v>
      </c>
      <c r="OA85" s="414">
        <f>OB85/OB69</f>
        <v>0.54643471337262006</v>
      </c>
      <c r="OB85" s="413">
        <f>+OB86*OB8/OB96</f>
        <v>3.6064691082592923</v>
      </c>
      <c r="OC85" s="414">
        <f>OD85/OD69</f>
        <v>0.53997500093194051</v>
      </c>
      <c r="OD85" s="413">
        <f>+OD86*OD8/OD96</f>
        <v>3.5638350061508071</v>
      </c>
      <c r="OE85" s="414">
        <f>OF85/OF69</f>
        <v>0.59149682894560629</v>
      </c>
      <c r="OF85" s="413">
        <f>+OF86*OF8/OF96</f>
        <v>3.9038790710410014</v>
      </c>
      <c r="OG85" s="414">
        <f>OH85/OH69</f>
        <v>0.60505139361557569</v>
      </c>
      <c r="OH85" s="413">
        <f>+OH86*OH8/OH96</f>
        <v>3.9933391978627992</v>
      </c>
      <c r="OI85" s="414">
        <f>OJ85/OJ69</f>
        <v>0.63285818398859028</v>
      </c>
      <c r="OJ85" s="413">
        <f>+OJ86*OJ8/OJ96</f>
        <v>4.1768640143246953</v>
      </c>
      <c r="OK85" s="414">
        <f>OL85/OL69</f>
        <v>0.60112038320215266</v>
      </c>
      <c r="OL85" s="413">
        <f>+OL86*OL8/OL96</f>
        <v>3.9673945291342076</v>
      </c>
      <c r="OM85" s="414">
        <f>ON85/ON69</f>
        <v>0.63526757783244747</v>
      </c>
      <c r="ON85" s="413">
        <f>+ON86*ON8/ON96</f>
        <v>4.1927660136941531</v>
      </c>
      <c r="OO85" s="414">
        <f>OP85/OP69</f>
        <v>0.6131911890961852</v>
      </c>
      <c r="OP85" s="413">
        <f>+OP86*OP8/OP96</f>
        <v>4.0470618480348222</v>
      </c>
      <c r="OQ85" s="414">
        <f>OR85/OR69</f>
        <v>0.60977559211109578</v>
      </c>
      <c r="OR85" s="413">
        <f>+OR86*OR8/OR96</f>
        <v>4.0245189079332322</v>
      </c>
      <c r="OS85" s="414">
        <f>OT85/OT69</f>
        <v>0.62124679945178207</v>
      </c>
      <c r="OT85" s="413">
        <f>+OT86*OT8/OT96</f>
        <v>4.1002288763817614</v>
      </c>
      <c r="OU85" s="414">
        <f>OV85/OV69</f>
        <v>0.70817230145555654</v>
      </c>
      <c r="OV85" s="413">
        <f>+OV86*OV8/OV96</f>
        <v>4.673937189606673</v>
      </c>
      <c r="OW85" s="414">
        <f>OX85/OX69</f>
        <v>0.7292289144515004</v>
      </c>
      <c r="OX85" s="413">
        <f>+OX86*OX8/OX96</f>
        <v>4.8129108353799026</v>
      </c>
      <c r="OY85" s="414">
        <f>OZ85/OZ69</f>
        <v>0.71779201723640129</v>
      </c>
      <c r="OZ85" s="413">
        <f>+OZ86*OZ8/OZ96</f>
        <v>4.7374273137602483</v>
      </c>
      <c r="PA85" s="414">
        <f>PB85/PB69</f>
        <v>0.70646757140302652</v>
      </c>
      <c r="PB85" s="413">
        <f>+PB86*PB8/PB96</f>
        <v>4.6626859712599744</v>
      </c>
      <c r="PC85" s="414">
        <f>PD85/PD69</f>
        <v>0.69678162260882948</v>
      </c>
      <c r="PD85" s="413">
        <f>+PD86*PD8/PD96</f>
        <v>4.5987587092182745</v>
      </c>
      <c r="PE85" s="414">
        <f>PF85/PF69</f>
        <v>0.65600374701079911</v>
      </c>
      <c r="PF85" s="413">
        <f>+PF86*PF8/PF96</f>
        <v>4.3296247302712736</v>
      </c>
      <c r="PG85" s="414">
        <f>PH85/PH69</f>
        <v>0.56670111392380018</v>
      </c>
      <c r="PH85" s="413">
        <f>+PH86*PH8/PH96</f>
        <v>3.7402273518970808</v>
      </c>
      <c r="PI85" s="414">
        <f>PJ85/PJ69</f>
        <v>0.57545738578247185</v>
      </c>
      <c r="PJ85" s="413">
        <f>+PJ86*PJ8/PJ96</f>
        <v>3.7980187461643138</v>
      </c>
      <c r="PK85" s="414">
        <f>PL85/PL69</f>
        <v>0.58532695374800636</v>
      </c>
      <c r="PL85" s="413">
        <f>+PL86*PL8/PL96</f>
        <v>3.8631578947368421</v>
      </c>
      <c r="PM85" s="414"/>
      <c r="PN85" s="413">
        <f>+PN86*PN8/PN96</f>
        <v>3.7037037037037037</v>
      </c>
      <c r="PO85" s="414"/>
      <c r="PP85" s="413">
        <f>+PP86*PP8/PP96</f>
        <v>3.7037037037037037</v>
      </c>
      <c r="PQ85" s="366"/>
      <c r="PR85" s="414">
        <f>PS85/PS69</f>
        <v>0.44055711351607202</v>
      </c>
      <c r="PS85" s="413">
        <f>+PS86*PS8/PS96</f>
        <v>3.3922897740737548</v>
      </c>
      <c r="PT85" s="414">
        <f>PU85/PU69</f>
        <v>0.40243706910373578</v>
      </c>
      <c r="PU85" s="413">
        <f>+PU86*PU8/PU96</f>
        <v>3.0987654320987654</v>
      </c>
      <c r="PV85" s="414">
        <f>PW85/PW69</f>
        <v>0.44055711351607202</v>
      </c>
      <c r="PW85" s="413">
        <f>+PW86*PW8/PW96</f>
        <v>3.3922897740737548</v>
      </c>
      <c r="PX85" s="414">
        <f>PY85/PY69</f>
        <v>0.40243706910373578</v>
      </c>
      <c r="PY85" s="413">
        <f>+PY86*PY8/PY96</f>
        <v>3.0987654320987654</v>
      </c>
      <c r="PZ85" s="414">
        <f>QA85/QA69</f>
        <v>0.44606407743502297</v>
      </c>
      <c r="QA85" s="413">
        <f>+QA86*QA8/QA96</f>
        <v>3.4346933962496768</v>
      </c>
      <c r="QB85" s="414">
        <f>QC85/QC69</f>
        <v>0.40746753246753248</v>
      </c>
      <c r="QC85" s="413">
        <f>+QC86*QC8/QC96</f>
        <v>3.1375000000000002</v>
      </c>
      <c r="QD85" s="366"/>
      <c r="QE85" s="366"/>
      <c r="QF85" s="414">
        <f>QG85/QG69</f>
        <v>0.51883918550585217</v>
      </c>
      <c r="QG85" s="413">
        <f>+QG86*QG8/QG96</f>
        <v>3.9950617283950618</v>
      </c>
      <c r="QH85" s="414">
        <f>QI85/QI69</f>
        <v>0.48356581689915024</v>
      </c>
      <c r="QI85" s="413">
        <f>+QI86*QI8/QI96</f>
        <v>3.723456790123457</v>
      </c>
      <c r="QJ85" s="414">
        <f>QK85/QK69</f>
        <v>0.51883918550585217</v>
      </c>
      <c r="QK85" s="413">
        <f>+QK86*QK8/QK96</f>
        <v>3.9950617283950618</v>
      </c>
      <c r="QL85" s="414">
        <f>QM85/QM69</f>
        <v>0.48356581689915024</v>
      </c>
      <c r="QM85" s="413">
        <f>+QM86*QM8/QM96</f>
        <v>3.723456790123457</v>
      </c>
      <c r="QN85" s="414">
        <f>QO85/QO69</f>
        <v>0.57899445339058864</v>
      </c>
      <c r="QO85" s="413">
        <f>+QO86*QO8/QO96</f>
        <v>3.9950617283950618</v>
      </c>
      <c r="QP85" s="414">
        <f>QQ85/QQ69</f>
        <v>0.53963141885847199</v>
      </c>
      <c r="QQ85" s="413">
        <f>+QQ86*QQ8/QQ96</f>
        <v>3.723456790123457</v>
      </c>
    </row>
    <row r="86" spans="1:459" x14ac:dyDescent="0.45">
      <c r="A86" s="871"/>
      <c r="B86" s="272" t="s">
        <v>389</v>
      </c>
      <c r="C86" s="360"/>
      <c r="D86" s="361" t="s">
        <v>390</v>
      </c>
      <c r="E86" s="362"/>
      <c r="F86" s="416"/>
      <c r="G86" s="364">
        <v>1553.6962230958202</v>
      </c>
      <c r="H86" s="416"/>
      <c r="I86" s="364">
        <v>1553.6962230958202</v>
      </c>
      <c r="J86" s="416"/>
      <c r="K86" s="364">
        <v>1553.6962230958202</v>
      </c>
      <c r="L86" s="416"/>
      <c r="M86" s="364">
        <v>1553.6962230958202</v>
      </c>
      <c r="N86" s="416"/>
      <c r="O86" s="364">
        <v>1571.2753534014794</v>
      </c>
      <c r="P86" s="416"/>
      <c r="Q86" s="417">
        <v>1631.2828947857211</v>
      </c>
      <c r="R86" s="418"/>
      <c r="S86" s="417">
        <f>Q86*1.06</f>
        <v>1729.1598684728644</v>
      </c>
      <c r="T86" s="418"/>
      <c r="U86" s="419">
        <f>Q86*1.06</f>
        <v>1729.1598684728644</v>
      </c>
      <c r="V86" s="418"/>
      <c r="W86" s="419">
        <f>Q86*1.06</f>
        <v>1729.1598684728644</v>
      </c>
      <c r="X86" s="418"/>
      <c r="Y86" s="419">
        <f>Q86*1.06</f>
        <v>1729.1598684728644</v>
      </c>
      <c r="Z86" s="418"/>
      <c r="AA86" s="419">
        <f>Q86*1.06</f>
        <v>1729.1598684728644</v>
      </c>
      <c r="AB86" s="418"/>
      <c r="AC86" s="417">
        <v>1853</v>
      </c>
      <c r="AD86" s="418"/>
      <c r="AE86" s="417">
        <v>2009</v>
      </c>
      <c r="AF86" s="418"/>
      <c r="AG86" s="417">
        <v>1790.4855603149608</v>
      </c>
      <c r="AH86" s="418"/>
      <c r="AI86" s="417">
        <v>1832</v>
      </c>
      <c r="AJ86" s="418"/>
      <c r="AK86" s="417">
        <v>1721.429384546416</v>
      </c>
      <c r="AL86" s="418"/>
      <c r="AM86" s="417">
        <v>1756.4447601908537</v>
      </c>
      <c r="AN86" s="418"/>
      <c r="AO86" s="417">
        <v>1818.4514623807386</v>
      </c>
      <c r="AP86" s="418"/>
      <c r="AQ86" s="417">
        <v>1826.9288810036751</v>
      </c>
      <c r="AR86" s="418"/>
      <c r="AS86" s="417">
        <v>1850</v>
      </c>
      <c r="AT86" s="418"/>
      <c r="AU86" s="417">
        <v>1850</v>
      </c>
      <c r="AV86" s="418"/>
      <c r="AW86" s="417">
        <v>1800.7072989555836</v>
      </c>
      <c r="AX86" s="418"/>
      <c r="AY86" s="417">
        <v>1720.5339733089386</v>
      </c>
      <c r="AZ86" s="418"/>
      <c r="BA86" s="417">
        <v>1704.5419263716431</v>
      </c>
      <c r="BB86" s="418"/>
      <c r="BC86" s="417">
        <v>1726.8211316864376</v>
      </c>
      <c r="BD86" s="418"/>
      <c r="BE86" s="417">
        <v>1734</v>
      </c>
      <c r="BF86" s="418"/>
      <c r="BG86" s="417">
        <v>1689.093415506278</v>
      </c>
      <c r="BH86" s="418"/>
      <c r="BI86" s="417">
        <v>1595.1251018697635</v>
      </c>
      <c r="BJ86" s="418"/>
      <c r="BK86" s="417">
        <v>1572.2216747304815</v>
      </c>
      <c r="BL86" s="418"/>
      <c r="BM86" s="417">
        <f>AVERAGE(BK86,BI86,BG86,BE86,BC86,BA86,AY86,AW86,AQ86,AO86,AM86,AK86)</f>
        <v>1722.1915842125672</v>
      </c>
      <c r="BN86" s="418"/>
      <c r="BO86" s="417">
        <v>1803.4453591671379</v>
      </c>
      <c r="BP86" s="418"/>
      <c r="BQ86" s="417">
        <v>1862.9621890530218</v>
      </c>
      <c r="BR86" s="418"/>
      <c r="BS86" s="417">
        <v>1729.6108701100404</v>
      </c>
      <c r="BT86" s="418"/>
      <c r="BU86" s="417">
        <v>1848.5195841827656</v>
      </c>
      <c r="BV86" s="418"/>
      <c r="BW86" s="417">
        <v>1856.6423712656731</v>
      </c>
      <c r="BX86" s="418"/>
      <c r="BY86" s="417">
        <v>1786</v>
      </c>
      <c r="BZ86" s="418"/>
      <c r="CA86" s="417">
        <v>1829</v>
      </c>
      <c r="CB86" s="418"/>
      <c r="CC86" s="417">
        <v>1683</v>
      </c>
      <c r="CD86" s="418"/>
      <c r="CE86" s="417">
        <v>1683</v>
      </c>
      <c r="CF86" s="418"/>
      <c r="CG86" s="417">
        <v>1867</v>
      </c>
      <c r="CH86" s="418"/>
      <c r="CI86" s="417">
        <v>1867</v>
      </c>
      <c r="CJ86" s="418"/>
      <c r="CK86" s="417">
        <v>1867</v>
      </c>
      <c r="CL86" s="418"/>
      <c r="CM86" s="420">
        <f>AVERAGE(BO86,BQ86,BS86,BU86,BW86,BY86,CA86,CC86,CE86,CG86,CI86,CK86)</f>
        <v>1806.9316978148865</v>
      </c>
      <c r="CN86" s="418"/>
      <c r="CO86" s="417">
        <v>1850</v>
      </c>
      <c r="CP86" s="418"/>
      <c r="CQ86" s="417">
        <v>1850</v>
      </c>
      <c r="CR86" s="418"/>
      <c r="CS86" s="417">
        <v>1850</v>
      </c>
      <c r="CT86" s="421"/>
      <c r="CU86" s="418"/>
      <c r="CV86" s="417">
        <v>1560.4422171704521</v>
      </c>
      <c r="CW86" s="418"/>
      <c r="CX86" s="417">
        <f>CV86*1.06</f>
        <v>1654.0687502006792</v>
      </c>
      <c r="CY86" s="418"/>
      <c r="CZ86" s="419">
        <f>CV86*1.06</f>
        <v>1654.0687502006792</v>
      </c>
      <c r="DA86" s="418"/>
      <c r="DB86" s="417">
        <v>1880</v>
      </c>
      <c r="DC86" s="418"/>
      <c r="DD86" s="417">
        <v>1970</v>
      </c>
      <c r="DE86" s="418"/>
      <c r="DF86" s="417">
        <v>1753.4057845797556</v>
      </c>
      <c r="DG86" s="418"/>
      <c r="DH86" s="417">
        <v>1860</v>
      </c>
      <c r="DI86" s="418"/>
      <c r="DJ86" s="417">
        <v>1659.2647117466065</v>
      </c>
      <c r="DK86" s="418"/>
      <c r="DL86" s="417">
        <v>1739.1288236037337</v>
      </c>
      <c r="DM86" s="418"/>
      <c r="DN86" s="417">
        <v>1745.7738712348871</v>
      </c>
      <c r="DO86" s="418"/>
      <c r="DP86" s="417">
        <v>1681.0699999999997</v>
      </c>
      <c r="DQ86" s="418"/>
      <c r="DR86" s="417">
        <v>1800</v>
      </c>
      <c r="DS86" s="418"/>
      <c r="DT86" s="417">
        <v>1800</v>
      </c>
      <c r="DU86" s="418"/>
      <c r="DV86" s="417">
        <v>1743.3854549485761</v>
      </c>
      <c r="DW86" s="418"/>
      <c r="DX86" s="417">
        <v>1743.3854549485761</v>
      </c>
      <c r="DY86" s="418"/>
      <c r="DZ86" s="417">
        <v>1686.6052667755305</v>
      </c>
      <c r="EA86" s="418"/>
      <c r="EB86" s="417">
        <v>1757.4997124814258</v>
      </c>
      <c r="EC86" s="418"/>
      <c r="ED86" s="417">
        <v>1697</v>
      </c>
      <c r="EE86" s="418"/>
      <c r="EF86" s="417">
        <v>1697</v>
      </c>
      <c r="EG86" s="418"/>
      <c r="EH86" s="417">
        <v>1697</v>
      </c>
      <c r="EI86" s="418"/>
      <c r="EJ86" s="417">
        <v>1697</v>
      </c>
      <c r="EK86" s="418"/>
      <c r="EL86" s="417">
        <f>AVERAGE(EJ86,EH86,EF86,ED86,EB86,DZ86,DX86,DV86,DP86,DN86,DL86,DJ86)</f>
        <v>1712.0094413116112</v>
      </c>
      <c r="EM86" s="418"/>
      <c r="EN86" s="417">
        <v>1656.2983138374236</v>
      </c>
      <c r="EO86" s="418"/>
      <c r="EP86" s="417">
        <v>1842.9879999541727</v>
      </c>
      <c r="EQ86" s="418"/>
      <c r="ER86" s="417">
        <v>1670.1480199429636</v>
      </c>
      <c r="ES86" s="418"/>
      <c r="ET86" s="417">
        <v>1776.5246384395568</v>
      </c>
      <c r="EU86" s="418"/>
      <c r="EV86" s="417">
        <v>1750</v>
      </c>
      <c r="EW86" s="418"/>
      <c r="EX86" s="417">
        <v>1757</v>
      </c>
      <c r="EY86" s="418"/>
      <c r="EZ86" s="417">
        <v>1795</v>
      </c>
      <c r="FA86" s="418"/>
      <c r="FB86" s="417">
        <v>1858</v>
      </c>
      <c r="FC86" s="418"/>
      <c r="FD86" s="417">
        <v>1748</v>
      </c>
      <c r="FE86" s="418"/>
      <c r="FF86" s="417">
        <v>1594</v>
      </c>
      <c r="FG86" s="418"/>
      <c r="FH86" s="417">
        <v>1696</v>
      </c>
      <c r="FI86" s="418"/>
      <c r="FJ86" s="417">
        <v>1757</v>
      </c>
      <c r="FK86" s="418"/>
      <c r="FL86" s="417">
        <f>AVERAGE(EN86,EP86,ER86,ET86,EV86,EX86,EZ86,FB86,FD86,FF86,FH86,FJ86)</f>
        <v>1741.7465810145097</v>
      </c>
      <c r="FM86" s="418"/>
      <c r="FN86" s="417">
        <v>1800</v>
      </c>
      <c r="FO86" s="418"/>
      <c r="FP86" s="417">
        <v>1800</v>
      </c>
      <c r="FQ86" s="422"/>
      <c r="FR86" s="418"/>
      <c r="FS86" s="419">
        <v>1735.1324880446241</v>
      </c>
      <c r="FT86" s="418"/>
      <c r="FU86" s="419">
        <v>1836.7354485233463</v>
      </c>
      <c r="FV86" s="418"/>
      <c r="FW86" s="417">
        <v>1954.2662908166096</v>
      </c>
      <c r="FX86" s="418"/>
      <c r="FY86" s="417">
        <f>FW86*1.06</f>
        <v>2071.5222682656063</v>
      </c>
      <c r="FZ86" s="418"/>
      <c r="GA86" s="419">
        <f>FY86</f>
        <v>2071.5222682656063</v>
      </c>
      <c r="GB86" s="418"/>
      <c r="GC86" s="419">
        <f>GA86</f>
        <v>2071.5222682656063</v>
      </c>
      <c r="GD86" s="418"/>
      <c r="GE86" s="419">
        <f>GA86</f>
        <v>2071.5222682656063</v>
      </c>
      <c r="GF86" s="418"/>
      <c r="GG86" s="419">
        <f>FW86*1.06</f>
        <v>2071.5222682656063</v>
      </c>
      <c r="GH86" s="418"/>
      <c r="GI86" s="417">
        <v>1956</v>
      </c>
      <c r="GJ86" s="418"/>
      <c r="GK86" s="417">
        <v>2330</v>
      </c>
      <c r="GL86" s="418"/>
      <c r="GM86" s="417">
        <v>2111.6207845797558</v>
      </c>
      <c r="GN86" s="418"/>
      <c r="GO86" s="417">
        <v>2145</v>
      </c>
      <c r="GP86" s="418"/>
      <c r="GQ86" s="417">
        <v>2026.4705067654604</v>
      </c>
      <c r="GR86" s="418"/>
      <c r="GS86" s="417">
        <v>2066.1293748380926</v>
      </c>
      <c r="GT86" s="418"/>
      <c r="GU86" s="417">
        <v>2066.1293748380926</v>
      </c>
      <c r="GV86" s="418"/>
      <c r="GW86" s="417">
        <v>2321.2554549485767</v>
      </c>
      <c r="GX86" s="418"/>
      <c r="GY86" s="417">
        <v>2200</v>
      </c>
      <c r="GZ86" s="418"/>
      <c r="HA86" s="417">
        <v>2200</v>
      </c>
      <c r="HB86" s="418"/>
      <c r="HC86" s="417">
        <v>2245.4031348376998</v>
      </c>
      <c r="HD86" s="418"/>
      <c r="HE86" s="417">
        <v>1999.1071380037558</v>
      </c>
      <c r="HF86" s="418"/>
      <c r="HG86" s="417">
        <v>2036</v>
      </c>
      <c r="HH86" s="418"/>
      <c r="HI86" s="417">
        <v>2036</v>
      </c>
      <c r="HJ86" s="418"/>
      <c r="HK86" s="417">
        <v>2036</v>
      </c>
      <c r="HL86" s="418"/>
      <c r="HM86" s="417">
        <v>2008.7978195099179</v>
      </c>
      <c r="HN86" s="418"/>
      <c r="HO86" s="417">
        <v>2000</v>
      </c>
      <c r="HP86" s="418"/>
      <c r="HQ86" s="417">
        <v>2000</v>
      </c>
      <c r="HR86" s="418"/>
      <c r="HS86" s="423">
        <f>AVERAGE(HQ86,HO86,HM86,HK86,HI86,HG86,HE86,HC86,GW86,GU86,GS86,GQ86)</f>
        <v>2070.1077336451331</v>
      </c>
      <c r="HT86" s="418"/>
      <c r="HU86" s="417">
        <v>2089</v>
      </c>
      <c r="HV86" s="418"/>
      <c r="HW86" s="417">
        <v>2167</v>
      </c>
      <c r="HX86" s="418"/>
      <c r="HY86" s="417">
        <v>2432.7199999999998</v>
      </c>
      <c r="HZ86" s="418"/>
      <c r="IA86" s="417">
        <v>2542.9646384395569</v>
      </c>
      <c r="IB86" s="418"/>
      <c r="IC86" s="417">
        <v>2142</v>
      </c>
      <c r="ID86" s="418"/>
      <c r="IE86" s="417">
        <v>2142</v>
      </c>
      <c r="IF86" s="418"/>
      <c r="IG86" s="417">
        <v>2142</v>
      </c>
      <c r="IH86" s="418"/>
      <c r="II86" s="417">
        <v>2142</v>
      </c>
      <c r="IJ86" s="418"/>
      <c r="IK86" s="417">
        <v>2142</v>
      </c>
      <c r="IL86" s="418"/>
      <c r="IM86" s="417">
        <v>2141</v>
      </c>
      <c r="IN86" s="418"/>
      <c r="IO86" s="417">
        <v>2141</v>
      </c>
      <c r="IP86" s="418"/>
      <c r="IQ86" s="417">
        <v>2141</v>
      </c>
      <c r="IR86" s="418"/>
      <c r="IS86" s="417">
        <v>2141</v>
      </c>
      <c r="IT86" s="418"/>
      <c r="IU86" s="417">
        <f>AVERAGE(HT86:IS86)</f>
        <v>2192.7449721876578</v>
      </c>
      <c r="IV86" s="418"/>
      <c r="IW86" s="417">
        <v>2150</v>
      </c>
      <c r="IX86" s="418"/>
      <c r="IY86" s="417">
        <v>2150</v>
      </c>
      <c r="IZ86" s="422"/>
      <c r="JA86" s="418"/>
      <c r="JB86" s="417">
        <v>2300</v>
      </c>
      <c r="JC86" s="418"/>
      <c r="JD86" s="417">
        <v>2300</v>
      </c>
      <c r="JE86" s="362"/>
      <c r="JF86" s="416"/>
      <c r="JG86" s="364">
        <v>1462.3200712546707</v>
      </c>
      <c r="JH86" s="416"/>
      <c r="JI86" s="364">
        <v>1561.6793417656561</v>
      </c>
      <c r="JJ86" s="416"/>
      <c r="JK86" s="424">
        <v>1636.3416875280643</v>
      </c>
      <c r="JL86" s="416"/>
      <c r="JM86" s="424">
        <f>JK86*1.06</f>
        <v>1734.5221887797481</v>
      </c>
      <c r="JN86" s="416"/>
      <c r="JO86" s="364">
        <f>JM86</f>
        <v>1734.5221887797481</v>
      </c>
      <c r="JP86" s="416"/>
      <c r="JQ86" s="364">
        <f>JK86*1.06</f>
        <v>1734.5221887797481</v>
      </c>
      <c r="JR86" s="416"/>
      <c r="JS86" s="424">
        <v>1918</v>
      </c>
      <c r="JT86" s="416"/>
      <c r="JU86" s="424">
        <v>1851</v>
      </c>
      <c r="JV86" s="416"/>
      <c r="JW86" s="424">
        <v>1743.1243772295925</v>
      </c>
      <c r="JX86" s="416"/>
      <c r="JY86" s="424">
        <v>1864</v>
      </c>
      <c r="JZ86" s="416"/>
      <c r="KA86" s="424">
        <v>1716.8100515277215</v>
      </c>
      <c r="KB86" s="416"/>
      <c r="KC86" s="424">
        <v>1732.4398354985092</v>
      </c>
      <c r="KD86" s="416"/>
      <c r="KE86" s="424">
        <v>1735.9351339342038</v>
      </c>
      <c r="KF86" s="416"/>
      <c r="KG86" s="424">
        <v>1863.6635711175616</v>
      </c>
      <c r="KH86" s="416"/>
      <c r="KI86" s="424">
        <v>1800</v>
      </c>
      <c r="KJ86" s="416"/>
      <c r="KK86" s="424">
        <v>1800</v>
      </c>
      <c r="KL86" s="416"/>
      <c r="KM86" s="424">
        <v>1816.1224982309122</v>
      </c>
      <c r="KN86" s="416"/>
      <c r="KO86" s="424">
        <v>1739.4830656730242</v>
      </c>
      <c r="KP86" s="416"/>
      <c r="KQ86" s="424">
        <v>1821.2438396373313</v>
      </c>
      <c r="KR86" s="416"/>
      <c r="KS86" s="424">
        <v>1755.0754029776101</v>
      </c>
      <c r="KT86" s="416"/>
      <c r="KU86" s="424">
        <v>1758</v>
      </c>
      <c r="KV86" s="416"/>
      <c r="KW86" s="424">
        <v>1738.5699598698816</v>
      </c>
      <c r="KX86" s="416"/>
      <c r="KY86" s="424">
        <v>1667.7455652405772</v>
      </c>
      <c r="KZ86" s="416"/>
      <c r="LA86" s="424">
        <v>1607.8921867271229</v>
      </c>
      <c r="LB86" s="416"/>
      <c r="LC86" s="424">
        <f>AVERAGE(KL86:LA86,JZ86:KG86)</f>
        <v>1746.0817592028714</v>
      </c>
      <c r="LD86" s="416"/>
      <c r="LE86" s="424">
        <v>1806.9490989484652</v>
      </c>
      <c r="LF86" s="416"/>
      <c r="LG86" s="424">
        <v>1993.830168463998</v>
      </c>
      <c r="LH86" s="416"/>
      <c r="LI86" s="424">
        <v>1759.7461148931791</v>
      </c>
      <c r="LJ86" s="416"/>
      <c r="LK86" s="424">
        <v>1922.2554917301111</v>
      </c>
      <c r="LL86" s="416"/>
      <c r="LM86" s="424">
        <v>1793.143840819107</v>
      </c>
      <c r="LN86" s="416"/>
      <c r="LO86" s="424">
        <v>1788</v>
      </c>
      <c r="LP86" s="416"/>
      <c r="LQ86" s="424">
        <v>1831</v>
      </c>
      <c r="LR86" s="416"/>
      <c r="LS86" s="424">
        <v>1863</v>
      </c>
      <c r="LT86" s="416"/>
      <c r="LU86" s="424">
        <v>1863</v>
      </c>
      <c r="LV86" s="416"/>
      <c r="LW86" s="424">
        <v>1863</v>
      </c>
      <c r="LX86" s="416"/>
      <c r="LY86" s="424">
        <v>1863</v>
      </c>
      <c r="LZ86" s="416"/>
      <c r="MA86" s="424">
        <v>1863</v>
      </c>
      <c r="MB86" s="416"/>
      <c r="MC86" s="424">
        <f>AVERAGE(LD86:MA86)</f>
        <v>1850.8270595712384</v>
      </c>
      <c r="MD86" s="416"/>
      <c r="ME86" s="424">
        <v>1683</v>
      </c>
      <c r="MF86" s="416"/>
      <c r="MG86" s="424">
        <v>1850</v>
      </c>
      <c r="MH86" s="362"/>
      <c r="MI86" s="416"/>
      <c r="MJ86" s="364">
        <v>1227.7301893950037</v>
      </c>
      <c r="MK86" s="416"/>
      <c r="ML86" s="364">
        <v>1287.4102426728218</v>
      </c>
      <c r="MM86" s="416"/>
      <c r="MN86" s="424">
        <v>1371.8917196905566</v>
      </c>
      <c r="MO86" s="416"/>
      <c r="MP86" s="424">
        <f>MN86*1.06</f>
        <v>1454.2052228719899</v>
      </c>
      <c r="MQ86" s="416"/>
      <c r="MR86" s="364">
        <f>MP86</f>
        <v>1454.2052228719899</v>
      </c>
      <c r="MS86" s="416"/>
      <c r="MT86" s="364">
        <f>MN86*1.06</f>
        <v>1454.2052228719899</v>
      </c>
      <c r="MU86" s="416"/>
      <c r="MV86" s="424">
        <v>1553</v>
      </c>
      <c r="MW86" s="416"/>
      <c r="MX86" s="424">
        <v>1632</v>
      </c>
      <c r="MY86" s="416"/>
      <c r="MZ86" s="424">
        <v>1497.1172182920741</v>
      </c>
      <c r="NA86" s="416"/>
      <c r="NB86" s="424">
        <v>1577</v>
      </c>
      <c r="NC86" s="416"/>
      <c r="ND86" s="424">
        <v>1504.3456017795115</v>
      </c>
      <c r="NE86" s="416"/>
      <c r="NF86" s="424">
        <v>1498.3948028309462</v>
      </c>
      <c r="NG86" s="416"/>
      <c r="NH86" s="424">
        <v>1504.7336227580279</v>
      </c>
      <c r="NI86" s="416"/>
      <c r="NJ86" s="424">
        <v>1685.4857577872219</v>
      </c>
      <c r="NK86" s="416"/>
      <c r="NL86" s="424">
        <v>1550</v>
      </c>
      <c r="NM86" s="416"/>
      <c r="NN86" s="424">
        <v>1550</v>
      </c>
      <c r="NO86" s="416"/>
      <c r="NP86" s="424">
        <v>1523.2346700546636</v>
      </c>
      <c r="NQ86" s="416"/>
      <c r="NR86" s="424">
        <v>1443.2471235424393</v>
      </c>
      <c r="NS86" s="416"/>
      <c r="NT86" s="424">
        <v>1429.0189187484546</v>
      </c>
      <c r="NU86" s="416"/>
      <c r="NV86" s="424">
        <v>1662.7895574637485</v>
      </c>
      <c r="NW86" s="416"/>
      <c r="NX86" s="424">
        <v>1468</v>
      </c>
      <c r="NY86" s="416"/>
      <c r="NZ86" s="424">
        <v>1582.6729592948641</v>
      </c>
      <c r="OA86" s="416"/>
      <c r="OB86" s="424">
        <v>1406.0793177512653</v>
      </c>
      <c r="OC86" s="416"/>
      <c r="OD86" s="424">
        <v>1379.8913870769229</v>
      </c>
      <c r="OE86" s="416"/>
      <c r="OF86" s="424">
        <f>AVERAGE(OD86,OB86,NZ86,NX86,NV86,NT86,NR86,NP86,NJ86,NH86,NF86,ND86)</f>
        <v>1507.3244765906722</v>
      </c>
      <c r="OG86" s="416"/>
      <c r="OH86" s="424">
        <v>1558.4106054137856</v>
      </c>
      <c r="OI86" s="416"/>
      <c r="OJ86" s="424">
        <v>1635.2936618878352</v>
      </c>
      <c r="OK86" s="416"/>
      <c r="OL86" s="424">
        <v>1558.1452332545598</v>
      </c>
      <c r="OM86" s="416"/>
      <c r="ON86" s="424">
        <v>1685.4857577872219</v>
      </c>
      <c r="OO86" s="416"/>
      <c r="OP86" s="424">
        <v>1625.8376227513631</v>
      </c>
      <c r="OQ86" s="416"/>
      <c r="OR86" s="424">
        <v>1645.1233932126486</v>
      </c>
      <c r="OS86" s="416"/>
      <c r="OT86" s="424">
        <v>1666</v>
      </c>
      <c r="OU86" s="416"/>
      <c r="OV86" s="424">
        <v>1845</v>
      </c>
      <c r="OW86" s="416"/>
      <c r="OX86" s="424">
        <v>1845</v>
      </c>
      <c r="OY86" s="416"/>
      <c r="OZ86" s="424">
        <v>1845</v>
      </c>
      <c r="PA86" s="416"/>
      <c r="PB86" s="424">
        <v>1845</v>
      </c>
      <c r="PC86" s="416"/>
      <c r="PD86" s="424">
        <v>1845</v>
      </c>
      <c r="PE86" s="416"/>
      <c r="PF86" s="424">
        <f>AVERAGE(OG86:PD86)</f>
        <v>1716.6080228589515</v>
      </c>
      <c r="PG86" s="416"/>
      <c r="PH86" s="424">
        <v>1521</v>
      </c>
      <c r="PI86" s="416"/>
      <c r="PJ86" s="424">
        <f>NR86</f>
        <v>1443.2471235424393</v>
      </c>
      <c r="PK86" s="416"/>
      <c r="PL86" s="424">
        <f>NX86</f>
        <v>1468</v>
      </c>
      <c r="PM86" s="416"/>
      <c r="PN86" s="424">
        <v>1500</v>
      </c>
      <c r="PO86" s="416"/>
      <c r="PP86" s="424">
        <v>1500</v>
      </c>
      <c r="PQ86" s="366"/>
      <c r="PR86" s="416"/>
      <c r="PS86" s="424">
        <v>2747.7547169997415</v>
      </c>
      <c r="PT86" s="416"/>
      <c r="PU86" s="424">
        <v>2510</v>
      </c>
      <c r="PV86" s="416"/>
      <c r="PW86" s="424">
        <v>2747.7547169997415</v>
      </c>
      <c r="PX86" s="416"/>
      <c r="PY86" s="424">
        <v>2510</v>
      </c>
      <c r="PZ86" s="416"/>
      <c r="QA86" s="424">
        <v>2747.7547169997415</v>
      </c>
      <c r="QB86" s="416"/>
      <c r="QC86" s="424">
        <v>2510</v>
      </c>
      <c r="QD86" s="366"/>
      <c r="QE86" s="366"/>
      <c r="QF86" s="416"/>
      <c r="QG86" s="424">
        <v>3236</v>
      </c>
      <c r="QH86" s="416"/>
      <c r="QI86" s="424">
        <v>3016</v>
      </c>
      <c r="QJ86" s="416"/>
      <c r="QK86" s="424">
        <v>3236</v>
      </c>
      <c r="QL86" s="416"/>
      <c r="QM86" s="424">
        <v>3016</v>
      </c>
      <c r="QN86" s="416"/>
      <c r="QO86" s="424">
        <v>3236</v>
      </c>
      <c r="QP86" s="416"/>
      <c r="QQ86" s="424">
        <v>3016</v>
      </c>
    </row>
    <row r="87" spans="1:459" x14ac:dyDescent="0.45">
      <c r="A87" s="871"/>
      <c r="B87" s="180"/>
      <c r="C87" s="181"/>
      <c r="D87" s="199"/>
      <c r="E87" s="177"/>
      <c r="F87" s="285"/>
      <c r="G87" s="357"/>
      <c r="H87" s="285"/>
      <c r="I87" s="357"/>
      <c r="J87" s="285"/>
      <c r="K87" s="357"/>
      <c r="L87" s="285"/>
      <c r="M87" s="357"/>
      <c r="N87" s="285"/>
      <c r="O87" s="357"/>
      <c r="P87" s="285"/>
      <c r="Q87" s="357"/>
      <c r="R87" s="285"/>
      <c r="S87" s="357"/>
      <c r="T87" s="285"/>
      <c r="U87" s="357"/>
      <c r="V87" s="285"/>
      <c r="W87" s="357"/>
      <c r="X87" s="285"/>
      <c r="Y87" s="357"/>
      <c r="Z87" s="285"/>
      <c r="AA87" s="357"/>
      <c r="AB87" s="285"/>
      <c r="AC87" s="357"/>
      <c r="AD87" s="285"/>
      <c r="AE87" s="425"/>
      <c r="AF87" s="285"/>
      <c r="AG87" s="425"/>
      <c r="AH87" s="285"/>
      <c r="AI87" s="425"/>
      <c r="AJ87" s="285"/>
      <c r="AK87" s="425"/>
      <c r="AL87" s="285"/>
      <c r="AM87" s="425"/>
      <c r="AN87" s="285"/>
      <c r="AO87" s="425"/>
      <c r="AP87" s="285"/>
      <c r="AQ87" s="425"/>
      <c r="AR87" s="285"/>
      <c r="AS87" s="425"/>
      <c r="AT87" s="285"/>
      <c r="AU87" s="425"/>
      <c r="AV87" s="285"/>
      <c r="AW87" s="425"/>
      <c r="AX87" s="285"/>
      <c r="AY87" s="425"/>
      <c r="AZ87" s="285"/>
      <c r="BA87" s="425"/>
      <c r="BB87" s="285"/>
      <c r="BC87" s="425"/>
      <c r="BD87" s="285"/>
      <c r="BE87" s="425"/>
      <c r="BF87" s="285"/>
      <c r="BG87" s="425"/>
      <c r="BH87" s="285"/>
      <c r="BI87" s="425"/>
      <c r="BJ87" s="285"/>
      <c r="BK87" s="425"/>
      <c r="BL87" s="285"/>
      <c r="BM87" s="357"/>
      <c r="BN87" s="285"/>
      <c r="BO87" s="425"/>
      <c r="BP87" s="285"/>
      <c r="BQ87" s="425"/>
      <c r="BR87" s="285"/>
      <c r="BS87" s="425"/>
      <c r="BT87" s="285"/>
      <c r="BU87" s="425"/>
      <c r="BV87" s="285"/>
      <c r="BW87" s="425"/>
      <c r="BX87" s="285"/>
      <c r="BY87" s="425"/>
      <c r="BZ87" s="285"/>
      <c r="CA87" s="425"/>
      <c r="CB87" s="285"/>
      <c r="CC87" s="425"/>
      <c r="CD87" s="285"/>
      <c r="CE87" s="425"/>
      <c r="CF87" s="285"/>
      <c r="CG87" s="425"/>
      <c r="CH87" s="285"/>
      <c r="CI87" s="425"/>
      <c r="CJ87" s="285"/>
      <c r="CK87" s="425"/>
      <c r="CL87" s="285"/>
      <c r="CM87" s="357"/>
      <c r="CN87" s="285"/>
      <c r="CO87" s="425"/>
      <c r="CP87" s="285"/>
      <c r="CQ87" s="425"/>
      <c r="CR87" s="285"/>
      <c r="CS87" s="425"/>
      <c r="CT87" s="201"/>
      <c r="CU87" s="285"/>
      <c r="CV87" s="357"/>
      <c r="CW87" s="285"/>
      <c r="CX87" s="357"/>
      <c r="CY87" s="285"/>
      <c r="CZ87" s="357"/>
      <c r="DA87" s="285"/>
      <c r="DB87" s="357"/>
      <c r="DC87" s="285"/>
      <c r="DD87" s="357"/>
      <c r="DE87" s="285"/>
      <c r="DF87" s="357"/>
      <c r="DG87" s="285"/>
      <c r="DH87" s="357"/>
      <c r="DI87" s="285"/>
      <c r="DJ87" s="357"/>
      <c r="DK87" s="285"/>
      <c r="DL87" s="357"/>
      <c r="DM87" s="285"/>
      <c r="DN87" s="357"/>
      <c r="DO87" s="285"/>
      <c r="DP87" s="357"/>
      <c r="DQ87" s="285"/>
      <c r="DR87" s="357"/>
      <c r="DS87" s="285"/>
      <c r="DT87" s="357"/>
      <c r="DU87" s="285"/>
      <c r="DV87" s="357"/>
      <c r="DW87" s="285"/>
      <c r="DX87" s="357"/>
      <c r="DY87" s="285"/>
      <c r="DZ87" s="357"/>
      <c r="EA87" s="285"/>
      <c r="EB87" s="357"/>
      <c r="EC87" s="285"/>
      <c r="ED87" s="357"/>
      <c r="EE87" s="285"/>
      <c r="EF87" s="357"/>
      <c r="EG87" s="285"/>
      <c r="EH87" s="357"/>
      <c r="EI87" s="285"/>
      <c r="EJ87" s="357"/>
      <c r="EK87" s="285"/>
      <c r="EL87" s="357"/>
      <c r="EM87" s="285"/>
      <c r="EN87" s="357"/>
      <c r="EO87" s="285"/>
      <c r="EP87" s="357"/>
      <c r="EQ87" s="285"/>
      <c r="ER87" s="357"/>
      <c r="ES87" s="285"/>
      <c r="ET87" s="357"/>
      <c r="EU87" s="285"/>
      <c r="EV87" s="357"/>
      <c r="EW87" s="285"/>
      <c r="EX87" s="357"/>
      <c r="EY87" s="285"/>
      <c r="EZ87" s="357"/>
      <c r="FA87" s="285"/>
      <c r="FB87" s="357"/>
      <c r="FC87" s="285"/>
      <c r="FD87" s="357"/>
      <c r="FE87" s="285"/>
      <c r="FF87" s="357"/>
      <c r="FG87" s="285"/>
      <c r="FH87" s="357"/>
      <c r="FI87" s="285"/>
      <c r="FJ87" s="357"/>
      <c r="FK87" s="285"/>
      <c r="FL87" s="357"/>
      <c r="FM87" s="285"/>
      <c r="FN87" s="357"/>
      <c r="FO87" s="285"/>
      <c r="FP87" s="357"/>
      <c r="FQ87" s="177"/>
      <c r="FR87" s="285"/>
      <c r="FS87" s="357"/>
      <c r="FT87" s="285"/>
      <c r="FU87" s="357"/>
      <c r="FV87" s="285"/>
      <c r="FW87" s="357"/>
      <c r="FX87" s="285"/>
      <c r="FY87" s="357"/>
      <c r="FZ87" s="285"/>
      <c r="GA87" s="357"/>
      <c r="GB87" s="285"/>
      <c r="GC87" s="357"/>
      <c r="GD87" s="285"/>
      <c r="GE87" s="357"/>
      <c r="GF87" s="285"/>
      <c r="GG87" s="357"/>
      <c r="GH87" s="285"/>
      <c r="GI87" s="357"/>
      <c r="GJ87" s="285"/>
      <c r="GK87" s="357"/>
      <c r="GL87" s="285"/>
      <c r="GM87" s="357"/>
      <c r="GN87" s="285"/>
      <c r="GO87" s="357"/>
      <c r="GP87" s="285"/>
      <c r="GQ87" s="357"/>
      <c r="GR87" s="285"/>
      <c r="GS87" s="357"/>
      <c r="GT87" s="285"/>
      <c r="GU87" s="357"/>
      <c r="GV87" s="285"/>
      <c r="GW87" s="357"/>
      <c r="GX87" s="285"/>
      <c r="GY87" s="357"/>
      <c r="GZ87" s="285"/>
      <c r="HA87" s="357"/>
      <c r="HB87" s="285"/>
      <c r="HC87" s="357"/>
      <c r="HD87" s="285"/>
      <c r="HE87" s="357"/>
      <c r="HF87" s="285"/>
      <c r="HG87" s="357"/>
      <c r="HH87" s="285"/>
      <c r="HI87" s="357"/>
      <c r="HJ87" s="285"/>
      <c r="HK87" s="357"/>
      <c r="HL87" s="285"/>
      <c r="HM87" s="357"/>
      <c r="HN87" s="285"/>
      <c r="HO87" s="357"/>
      <c r="HP87" s="285"/>
      <c r="HQ87" s="357"/>
      <c r="HR87" s="285"/>
      <c r="HS87" s="357"/>
      <c r="HT87" s="285"/>
      <c r="HU87" s="357"/>
      <c r="HV87" s="285"/>
      <c r="HW87" s="357"/>
      <c r="HX87" s="285"/>
      <c r="HY87" s="357"/>
      <c r="HZ87" s="285"/>
      <c r="IA87" s="357"/>
      <c r="IB87" s="285"/>
      <c r="IC87" s="357"/>
      <c r="ID87" s="285"/>
      <c r="IE87" s="357"/>
      <c r="IF87" s="285"/>
      <c r="IG87" s="357"/>
      <c r="IH87" s="285"/>
      <c r="II87" s="357"/>
      <c r="IJ87" s="285"/>
      <c r="IK87" s="357"/>
      <c r="IL87" s="285"/>
      <c r="IM87" s="357"/>
      <c r="IN87" s="285"/>
      <c r="IO87" s="357"/>
      <c r="IP87" s="285"/>
      <c r="IQ87" s="357"/>
      <c r="IR87" s="285"/>
      <c r="IS87" s="357"/>
      <c r="IT87" s="285"/>
      <c r="IU87" s="357"/>
      <c r="IV87" s="285"/>
      <c r="IW87" s="357"/>
      <c r="IX87" s="285"/>
      <c r="IY87" s="357"/>
      <c r="IZ87" s="177"/>
      <c r="JA87" s="285"/>
      <c r="JB87" s="357"/>
      <c r="JC87" s="285"/>
      <c r="JD87" s="357"/>
      <c r="JE87" s="177"/>
      <c r="JF87" s="285"/>
      <c r="JG87" s="357"/>
      <c r="JH87" s="285"/>
      <c r="JI87" s="357"/>
      <c r="JJ87" s="285"/>
      <c r="JK87" s="357"/>
      <c r="JL87" s="285"/>
      <c r="JM87" s="357"/>
      <c r="JN87" s="285"/>
      <c r="JO87" s="357"/>
      <c r="JP87" s="285"/>
      <c r="JQ87" s="357"/>
      <c r="JR87" s="285"/>
      <c r="JS87" s="357"/>
      <c r="JT87" s="285"/>
      <c r="JU87" s="357"/>
      <c r="JV87" s="285"/>
      <c r="JW87" s="357"/>
      <c r="JX87" s="285"/>
      <c r="JY87" s="357"/>
      <c r="JZ87" s="285"/>
      <c r="KA87" s="357"/>
      <c r="KB87" s="285"/>
      <c r="KC87" s="357"/>
      <c r="KD87" s="285"/>
      <c r="KE87" s="357"/>
      <c r="KF87" s="285"/>
      <c r="KG87" s="357"/>
      <c r="KH87" s="285"/>
      <c r="KI87" s="357"/>
      <c r="KJ87" s="285"/>
      <c r="KK87" s="357"/>
      <c r="KL87" s="285"/>
      <c r="KM87" s="357"/>
      <c r="KN87" s="285"/>
      <c r="KO87" s="357"/>
      <c r="KP87" s="285"/>
      <c r="KQ87" s="357"/>
      <c r="KR87" s="285"/>
      <c r="KS87" s="357"/>
      <c r="KT87" s="285"/>
      <c r="KU87" s="357"/>
      <c r="KV87" s="285"/>
      <c r="KW87" s="357"/>
      <c r="KX87" s="285"/>
      <c r="KY87" s="357"/>
      <c r="KZ87" s="285"/>
      <c r="LA87" s="357"/>
      <c r="LB87" s="285"/>
      <c r="LC87" s="357"/>
      <c r="LD87" s="285"/>
      <c r="LE87" s="357"/>
      <c r="LF87" s="285"/>
      <c r="LG87" s="357"/>
      <c r="LH87" s="285"/>
      <c r="LI87" s="357"/>
      <c r="LJ87" s="285"/>
      <c r="LK87" s="357"/>
      <c r="LL87" s="285"/>
      <c r="LM87" s="357"/>
      <c r="LN87" s="285"/>
      <c r="LO87" s="357"/>
      <c r="LP87" s="285"/>
      <c r="LQ87" s="357"/>
      <c r="LR87" s="285"/>
      <c r="LS87" s="357"/>
      <c r="LT87" s="285"/>
      <c r="LU87" s="357"/>
      <c r="LV87" s="285"/>
      <c r="LW87" s="357"/>
      <c r="LX87" s="285"/>
      <c r="LY87" s="357"/>
      <c r="LZ87" s="285"/>
      <c r="MA87" s="357"/>
      <c r="MB87" s="285"/>
      <c r="MC87" s="357"/>
      <c r="MD87" s="285"/>
      <c r="ME87" s="357"/>
      <c r="MF87" s="285"/>
      <c r="MG87" s="357"/>
      <c r="MH87" s="177"/>
      <c r="MI87" s="285"/>
      <c r="MJ87" s="357"/>
      <c r="MK87" s="285"/>
      <c r="ML87" s="357"/>
      <c r="MM87" s="285"/>
      <c r="MN87" s="357"/>
      <c r="MO87" s="285"/>
      <c r="MP87" s="357"/>
      <c r="MQ87" s="285"/>
      <c r="MR87" s="357"/>
      <c r="MS87" s="285"/>
      <c r="MT87" s="357"/>
      <c r="MU87" s="285"/>
      <c r="MV87" s="357"/>
      <c r="MW87" s="285"/>
      <c r="MX87" s="357"/>
      <c r="MY87" s="285"/>
      <c r="MZ87" s="357"/>
      <c r="NA87" s="285"/>
      <c r="NB87" s="357"/>
      <c r="NC87" s="285"/>
      <c r="ND87" s="357"/>
      <c r="NE87" s="285"/>
      <c r="NF87" s="357"/>
      <c r="NG87" s="285"/>
      <c r="NH87" s="357"/>
      <c r="NI87" s="285"/>
      <c r="NJ87" s="357"/>
      <c r="NK87" s="285"/>
      <c r="NL87" s="357"/>
      <c r="NM87" s="285"/>
      <c r="NN87" s="357"/>
      <c r="NO87" s="285"/>
      <c r="NP87" s="357"/>
      <c r="NQ87" s="285"/>
      <c r="NR87" s="357"/>
      <c r="NS87" s="285"/>
      <c r="NT87" s="357"/>
      <c r="NU87" s="285"/>
      <c r="NV87" s="357"/>
      <c r="NW87" s="285"/>
      <c r="NX87" s="357"/>
      <c r="NY87" s="285"/>
      <c r="NZ87" s="357"/>
      <c r="OA87" s="285"/>
      <c r="OB87" s="357"/>
      <c r="OC87" s="285"/>
      <c r="OD87" s="357"/>
      <c r="OE87" s="285"/>
      <c r="OF87" s="357"/>
      <c r="OG87" s="285"/>
      <c r="OH87" s="357"/>
      <c r="OI87" s="285"/>
      <c r="OJ87" s="357"/>
      <c r="OK87" s="285"/>
      <c r="OL87" s="357"/>
      <c r="OM87" s="285"/>
      <c r="ON87" s="357"/>
      <c r="OO87" s="285"/>
      <c r="OP87" s="357"/>
      <c r="OQ87" s="285"/>
      <c r="OR87" s="357"/>
      <c r="OS87" s="285"/>
      <c r="OT87" s="357"/>
      <c r="OU87" s="285"/>
      <c r="OV87" s="357"/>
      <c r="OW87" s="285"/>
      <c r="OX87" s="357"/>
      <c r="OY87" s="285"/>
      <c r="OZ87" s="357"/>
      <c r="PA87" s="285"/>
      <c r="PB87" s="357"/>
      <c r="PC87" s="285"/>
      <c r="PD87" s="357"/>
      <c r="PE87" s="285"/>
      <c r="PF87" s="357"/>
      <c r="PG87" s="285"/>
      <c r="PH87" s="357"/>
      <c r="PI87" s="285"/>
      <c r="PJ87" s="357"/>
      <c r="PK87" s="285"/>
      <c r="PL87" s="357"/>
      <c r="PM87" s="285"/>
      <c r="PN87" s="357"/>
      <c r="PO87" s="285"/>
      <c r="PP87" s="357"/>
      <c r="PR87" s="285"/>
      <c r="PS87" s="357"/>
      <c r="PT87" s="285"/>
      <c r="PU87" s="357"/>
      <c r="PV87" s="285"/>
      <c r="PW87" s="357"/>
      <c r="PX87" s="285"/>
      <c r="PY87" s="357"/>
      <c r="PZ87" s="285"/>
      <c r="QA87" s="357"/>
      <c r="QB87" s="285"/>
      <c r="QC87" s="357"/>
      <c r="QF87" s="285"/>
      <c r="QG87" s="357"/>
      <c r="QH87" s="285"/>
      <c r="QI87" s="357"/>
      <c r="QJ87" s="285"/>
      <c r="QK87" s="357"/>
      <c r="QL87" s="285"/>
      <c r="QM87" s="357"/>
      <c r="QN87" s="285"/>
      <c r="QO87" s="357"/>
      <c r="QP87" s="285"/>
      <c r="QQ87" s="357"/>
    </row>
    <row r="88" spans="1:459" x14ac:dyDescent="0.45">
      <c r="A88" s="871"/>
      <c r="B88" s="174" t="s">
        <v>391</v>
      </c>
      <c r="C88" s="181"/>
      <c r="D88" s="199"/>
      <c r="E88" s="186"/>
      <c r="F88" s="292"/>
      <c r="G88" s="308">
        <f>G69-G85</f>
        <v>0.49645563527164338</v>
      </c>
      <c r="H88" s="292"/>
      <c r="I88" s="308">
        <f>I69-I85</f>
        <v>1.9964556352716434</v>
      </c>
      <c r="J88" s="292"/>
      <c r="K88" s="308">
        <f>K69-K85</f>
        <v>2.2233909208568443</v>
      </c>
      <c r="L88" s="292"/>
      <c r="M88" s="308">
        <f>M69-M85</f>
        <v>2.2233909208568443</v>
      </c>
      <c r="N88" s="292"/>
      <c r="O88" s="308">
        <f>O69-O85</f>
        <v>2.1106418474243442</v>
      </c>
      <c r="P88" s="292"/>
      <c r="Q88" s="308">
        <f>Q69-Q85</f>
        <v>2.0048369160965596</v>
      </c>
      <c r="R88" s="292"/>
      <c r="S88" s="308">
        <f>S69-S85</f>
        <v>1.7291271310623531</v>
      </c>
      <c r="T88" s="292"/>
      <c r="U88" s="308">
        <f>U69-U85</f>
        <v>1.8291271310623536</v>
      </c>
      <c r="V88" s="292"/>
      <c r="W88" s="308">
        <f>W69-W85</f>
        <v>1.8291271310623536</v>
      </c>
      <c r="X88" s="292"/>
      <c r="Y88" s="308">
        <f>Y69-Y85</f>
        <v>1.7291271310623531</v>
      </c>
      <c r="Z88" s="292"/>
      <c r="AA88" s="308">
        <f>AA69-AA85</f>
        <v>1.9131891790968831</v>
      </c>
      <c r="AB88" s="292"/>
      <c r="AC88" s="308">
        <f>AC69-AC85</f>
        <v>1.5667832167832172</v>
      </c>
      <c r="AD88" s="292"/>
      <c r="AE88" s="308">
        <f>AE69-AE85</f>
        <v>1.5079310344827581</v>
      </c>
      <c r="AF88" s="292"/>
      <c r="AG88" s="308">
        <f>AG69-AG85</f>
        <v>2.4728016608552164</v>
      </c>
      <c r="AH88" s="292"/>
      <c r="AI88" s="308">
        <f>AI69-AI85</f>
        <v>2.322258064516129</v>
      </c>
      <c r="AJ88" s="292"/>
      <c r="AK88" s="308">
        <f>AK69-AK85</f>
        <v>2.5385328618212668</v>
      </c>
      <c r="AL88" s="292"/>
      <c r="AM88" s="308">
        <f>AM69-AM85</f>
        <v>2.4106417665804871</v>
      </c>
      <c r="AN88" s="292"/>
      <c r="AO88" s="308">
        <f>AO69-AO85</f>
        <v>2.2978946768742503</v>
      </c>
      <c r="AP88" s="292"/>
      <c r="AQ88" s="308">
        <f>AQ69-AQ85</f>
        <v>2.1382278381110389</v>
      </c>
      <c r="AR88" s="292"/>
      <c r="AS88" s="308">
        <f>AS69-AS85</f>
        <v>1.9465517241379304</v>
      </c>
      <c r="AT88" s="292"/>
      <c r="AU88" s="308">
        <f>AU69-AU85</f>
        <v>2.2465517241379303</v>
      </c>
      <c r="AV88" s="292"/>
      <c r="AW88" s="308">
        <f>AW69-AW85</f>
        <v>2.4927329035251971</v>
      </c>
      <c r="AX88" s="292"/>
      <c r="AY88" s="308">
        <f>AY69-AY85</f>
        <v>2.7441877077560086</v>
      </c>
      <c r="AZ88" s="292"/>
      <c r="BA88" s="308">
        <f>BA69-BA85</f>
        <v>2.8207879449032855</v>
      </c>
      <c r="BB88" s="292"/>
      <c r="BC88" s="308">
        <f>BC69-BC85</f>
        <v>2.8222189286354</v>
      </c>
      <c r="BD88" s="292"/>
      <c r="BE88" s="308">
        <f>BE69-BE85</f>
        <v>2.8356194842143898</v>
      </c>
      <c r="BF88" s="292"/>
      <c r="BG88" s="308">
        <f>BG69-BG85</f>
        <v>3.0589016338846111</v>
      </c>
      <c r="BH88" s="292"/>
      <c r="BI88" s="308">
        <f>BI69-BI85</f>
        <v>3.2586451730883637</v>
      </c>
      <c r="BJ88" s="292"/>
      <c r="BK88" s="308">
        <f>BK69-BK85</f>
        <v>3.2894350205323892</v>
      </c>
      <c r="BL88" s="292"/>
      <c r="BM88" s="308">
        <f>BM69-BM85</f>
        <v>2.8294041177268969</v>
      </c>
      <c r="BN88" s="292"/>
      <c r="BO88" s="308">
        <f>BO69-BO85</f>
        <v>2.7287730788358635</v>
      </c>
      <c r="BP88" s="292"/>
      <c r="BQ88" s="308">
        <f>BQ69-BQ85</f>
        <v>2.5916254591728194</v>
      </c>
      <c r="BR88" s="292"/>
      <c r="BS88" s="308">
        <f>BS69-BS85</f>
        <v>2.9460146993020677</v>
      </c>
      <c r="BT88" s="292"/>
      <c r="BU88" s="308">
        <f>BU69-BU85</f>
        <v>2.7516757172812785</v>
      </c>
      <c r="BV88" s="292"/>
      <c r="BW88" s="308">
        <f>BW69-BW85</f>
        <v>2.7284151621005348</v>
      </c>
      <c r="BX88" s="292"/>
      <c r="BY88" s="308">
        <f>BY69-BY85</f>
        <v>2.9808500631480221</v>
      </c>
      <c r="BZ88" s="292"/>
      <c r="CA88" s="308">
        <f>CA69-CA85</f>
        <v>2.8486082743684014</v>
      </c>
      <c r="CB88" s="292"/>
      <c r="CC88" s="308">
        <f>CC69-CC85</f>
        <v>3.0864572953343998</v>
      </c>
      <c r="CD88" s="292"/>
      <c r="CE88" s="308">
        <f>CE69-CE85</f>
        <v>2.9596862135802837</v>
      </c>
      <c r="CF88" s="292"/>
      <c r="CG88" s="308">
        <f>CG69-CG85</f>
        <v>2.556083038053993</v>
      </c>
      <c r="CH88" s="292"/>
      <c r="CI88" s="308">
        <f>CI69-CI85</f>
        <v>2.6317156052344863</v>
      </c>
      <c r="CJ88" s="292"/>
      <c r="CK88" s="308">
        <f>CK69-CK85</f>
        <v>2.6964051435715346</v>
      </c>
      <c r="CL88" s="292"/>
      <c r="CM88" s="308">
        <f>CM69-CM85</f>
        <v>2.7925611085395632</v>
      </c>
      <c r="CN88" s="292"/>
      <c r="CO88" s="308">
        <f>CO69-CO85</f>
        <v>2.8007425371403025</v>
      </c>
      <c r="CP88" s="292"/>
      <c r="CQ88" s="308">
        <f>CQ69-CQ85</f>
        <v>2.7820987654320986</v>
      </c>
      <c r="CR88" s="292"/>
      <c r="CS88" s="308">
        <f>CS69-CS85</f>
        <v>2.7820987654320986</v>
      </c>
      <c r="CT88" s="201"/>
      <c r="CU88" s="292"/>
      <c r="CV88" s="308">
        <f>CV69-CV85</f>
        <v>3.156582180969921</v>
      </c>
      <c r="CW88" s="292"/>
      <c r="CX88" s="308">
        <f>CX69-CX85</f>
        <v>2.7609771118281161</v>
      </c>
      <c r="CY88" s="292"/>
      <c r="CZ88" s="308">
        <f>CZ69-CZ85</f>
        <v>2.8109771118281168</v>
      </c>
      <c r="DA88" s="292"/>
      <c r="DB88" s="308">
        <f>DB69-DB85</f>
        <v>1.9118881118881124</v>
      </c>
      <c r="DC88" s="292"/>
      <c r="DD88" s="308">
        <f>DD69-DD85</f>
        <v>2.2482758620689651</v>
      </c>
      <c r="DE88" s="292"/>
      <c r="DF88" s="308">
        <f>DF69-DF85</f>
        <v>3.6763886320198544</v>
      </c>
      <c r="DG88" s="292"/>
      <c r="DH88" s="308">
        <f>DH69-DH85</f>
        <v>3.2</v>
      </c>
      <c r="DI88" s="292"/>
      <c r="DJ88" s="308">
        <f>DJ69-DJ85</f>
        <v>3.8771780755704466</v>
      </c>
      <c r="DK88" s="292"/>
      <c r="DL88" s="308">
        <f>DL69-DL85</f>
        <v>3.5095684222772281</v>
      </c>
      <c r="DM88" s="292"/>
      <c r="DN88" s="308">
        <f>DN69-DN85</f>
        <v>3.5567313084003382</v>
      </c>
      <c r="DO88" s="292"/>
      <c r="DP88" s="308">
        <f>DP69-DP85</f>
        <v>3.6205630054544544</v>
      </c>
      <c r="DQ88" s="292"/>
      <c r="DR88" s="308">
        <f>DR69-DR85</f>
        <v>2.9517241379310351</v>
      </c>
      <c r="DS88" s="292"/>
      <c r="DT88" s="308">
        <f>DT69-DT85</f>
        <v>3.501724137931034</v>
      </c>
      <c r="DU88" s="292"/>
      <c r="DV88" s="308">
        <f>DV69-DV85</f>
        <v>3.8960311414525881</v>
      </c>
      <c r="DW88" s="292"/>
      <c r="DX88" s="308">
        <f>DX69-DX85</f>
        <v>3.9495225757628303</v>
      </c>
      <c r="DY88" s="292"/>
      <c r="DZ88" s="308">
        <f>DZ69-DZ85</f>
        <v>4.2276723280165838</v>
      </c>
      <c r="EA88" s="292"/>
      <c r="EB88" s="308">
        <f>EB69-EB85</f>
        <v>4.037668040640682</v>
      </c>
      <c r="EC88" s="292"/>
      <c r="ED88" s="308">
        <f>ED69-ED85</f>
        <v>4.3229206442143768</v>
      </c>
      <c r="EE88" s="292"/>
      <c r="EF88" s="308">
        <f>EF69-EF85</f>
        <v>4.4832227390912323</v>
      </c>
      <c r="EG88" s="292"/>
      <c r="EH88" s="308">
        <f>EH69-EH85</f>
        <v>4.4210176025090959</v>
      </c>
      <c r="EI88" s="292"/>
      <c r="EJ88" s="308">
        <f>EJ69-EJ85</f>
        <v>4.3757564811866088</v>
      </c>
      <c r="EK88" s="292"/>
      <c r="EL88" s="308">
        <f>EL69-EL85</f>
        <v>4.2091969716790558</v>
      </c>
      <c r="EM88" s="292"/>
      <c r="EN88" s="308">
        <f>EN69-EN85</f>
        <v>4.5837436131812623</v>
      </c>
      <c r="EO88" s="292"/>
      <c r="EP88" s="308">
        <f>EP69-EP85</f>
        <v>3.8889652434467514</v>
      </c>
      <c r="EQ88" s="292"/>
      <c r="ER88" s="308">
        <f>ER69-ER85</f>
        <v>4.5711310963685614</v>
      </c>
      <c r="ES88" s="292"/>
      <c r="ET88" s="308">
        <f>ET69-ET85</f>
        <v>4.3211524181149592</v>
      </c>
      <c r="EU88" s="292"/>
      <c r="EV88" s="308">
        <f>EV69-EV85</f>
        <v>4.4158066694794087</v>
      </c>
      <c r="EW88" s="292"/>
      <c r="EX88" s="308">
        <f>EX69-EX85</f>
        <v>4.5026905607091896</v>
      </c>
      <c r="EY88" s="292"/>
      <c r="EZ88" s="308">
        <f>EZ69-EZ85</f>
        <v>4.3234296220540847</v>
      </c>
      <c r="FA88" s="292"/>
      <c r="FB88" s="308">
        <f>FB69-FB85</f>
        <v>3.8896948794396744</v>
      </c>
      <c r="FC88" s="292"/>
      <c r="FD88" s="308">
        <f>FD69-FD85</f>
        <v>4.1101885038666088</v>
      </c>
      <c r="FE88" s="292"/>
      <c r="FF88" s="308">
        <f>FF69-FF85</f>
        <v>4.8106023267204581</v>
      </c>
      <c r="FG88" s="292"/>
      <c r="FH88" s="308">
        <f>FH69-FH85</f>
        <v>4.5208004819049457</v>
      </c>
      <c r="FI88" s="292"/>
      <c r="FJ88" s="308">
        <f>FJ69-FJ85</f>
        <v>4.3808788194337325</v>
      </c>
      <c r="FK88" s="292"/>
      <c r="FL88" s="308">
        <f>FL69-FL85</f>
        <v>4.3604562859378904</v>
      </c>
      <c r="FM88" s="292"/>
      <c r="FN88" s="308">
        <f>FN69-FN85</f>
        <v>4.3105431623128734</v>
      </c>
      <c r="FO88" s="292"/>
      <c r="FP88" s="308">
        <f>FP69-FP85</f>
        <v>4.3105431623128734</v>
      </c>
      <c r="FQ88" s="186"/>
      <c r="FR88" s="292"/>
      <c r="FS88" s="308">
        <f>FS69-FS85</f>
        <v>1.6424786055867875</v>
      </c>
      <c r="FT88" s="292"/>
      <c r="FU88" s="308">
        <f>FU69-FU85</f>
        <v>1.3521844327904384</v>
      </c>
      <c r="FV88" s="292"/>
      <c r="FW88" s="308">
        <f>FW69-FW85</f>
        <v>1.0950245329109585</v>
      </c>
      <c r="FX88" s="292"/>
      <c r="FY88" s="308">
        <f>FY69-FY85</f>
        <v>0.76472600488561593</v>
      </c>
      <c r="FZ88" s="292"/>
      <c r="GA88" s="308">
        <f>GA69-GA85</f>
        <v>0.86472600488561646</v>
      </c>
      <c r="GB88" s="292"/>
      <c r="GC88" s="308">
        <f>GC69-GC85</f>
        <v>0.86472600488561646</v>
      </c>
      <c r="GD88" s="292"/>
      <c r="GE88" s="308">
        <f>GE69-GE85</f>
        <v>0.76472600488561593</v>
      </c>
      <c r="GF88" s="292"/>
      <c r="GG88" s="308">
        <f>GG69-GG85</f>
        <v>0.95553211673956273</v>
      </c>
      <c r="GH88" s="292"/>
      <c r="GI88" s="308">
        <f>GI69-GI85</f>
        <v>1.2786713286713285</v>
      </c>
      <c r="GJ88" s="292"/>
      <c r="GK88" s="308">
        <f>GK69-GK85</f>
        <v>1.4724137931034482</v>
      </c>
      <c r="GL88" s="292"/>
      <c r="GM88" s="308">
        <f>GM69-GM85</f>
        <v>2.5018513847261312</v>
      </c>
      <c r="GN88" s="292"/>
      <c r="GO88" s="308">
        <f>GO69-GO85</f>
        <v>2.3645161290322587</v>
      </c>
      <c r="GP88" s="292"/>
      <c r="GQ88" s="308">
        <f>GQ69-GQ85</f>
        <v>2.5890908335634562</v>
      </c>
      <c r="GR88" s="292"/>
      <c r="GS88" s="308">
        <f>GS69-GS85</f>
        <v>2.4426610937519833</v>
      </c>
      <c r="GT88" s="292"/>
      <c r="GU88" s="308">
        <f>GU69-GU85</f>
        <v>2.5006453273269535</v>
      </c>
      <c r="GV88" s="292"/>
      <c r="GW88" s="308">
        <f>GW69-GW85</f>
        <v>1.659210857739799</v>
      </c>
      <c r="GX88" s="292"/>
      <c r="GY88" s="308">
        <f>GY69-GY85</f>
        <v>1.8310344827586214</v>
      </c>
      <c r="GZ88" s="292"/>
      <c r="HA88" s="308">
        <f>HA69-HA85</f>
        <v>2.181034482758621</v>
      </c>
      <c r="HB88" s="292"/>
      <c r="HC88" s="308">
        <f>HC69-HC85</f>
        <v>2.1932006681517011</v>
      </c>
      <c r="HD88" s="292"/>
      <c r="HE88" s="308">
        <f>HE69-HE85</f>
        <v>2.89845659977148</v>
      </c>
      <c r="HF88" s="292"/>
      <c r="HG88" s="308">
        <f>HG69-HG85</f>
        <v>2.8400563655796267</v>
      </c>
      <c r="HH88" s="292"/>
      <c r="HI88" s="308">
        <f>HI69-HI85</f>
        <v>2.9115418979177381</v>
      </c>
      <c r="HJ88" s="292"/>
      <c r="HK88" s="308">
        <f>HK69-HK85</f>
        <v>2.9493778949599179</v>
      </c>
      <c r="HL88" s="292"/>
      <c r="HM88" s="308">
        <f>HM69-HM85</f>
        <v>3.1467008206757612</v>
      </c>
      <c r="HN88" s="292"/>
      <c r="HO88" s="308">
        <f>HO69-HO85</f>
        <v>3.1201768630988784</v>
      </c>
      <c r="HP88" s="292"/>
      <c r="HQ88" s="308">
        <f>HQ69-HQ85</f>
        <v>3.0846151885182556</v>
      </c>
      <c r="HR88" s="292"/>
      <c r="HS88" s="308">
        <f>HS69-HS85</f>
        <v>2.8161559478258171</v>
      </c>
      <c r="HT88" s="292"/>
      <c r="HU88" s="308">
        <f>HU69-HU85</f>
        <v>2.8970554324029285</v>
      </c>
      <c r="HV88" s="292"/>
      <c r="HW88" s="308">
        <f>HW69-HW85</f>
        <v>2.7150526507926749</v>
      </c>
      <c r="HX88" s="292"/>
      <c r="HY88" s="308">
        <f>HY69-HY85</f>
        <v>2.0557378651694931</v>
      </c>
      <c r="HZ88" s="292"/>
      <c r="IA88" s="308">
        <f>IA69-IA85</f>
        <v>1.9241941242665739</v>
      </c>
      <c r="IB88" s="292"/>
      <c r="IC88" s="308">
        <f>IC69-IC85</f>
        <v>2.9180982422951987</v>
      </c>
      <c r="ID88" s="292"/>
      <c r="IE88" s="308">
        <f>IE69-IE85</f>
        <v>3.0099556748393423</v>
      </c>
      <c r="IF88" s="292"/>
      <c r="IG88" s="308">
        <f>IG69-IG85</f>
        <v>2.9782771589377353</v>
      </c>
      <c r="IH88" s="292"/>
      <c r="II88" s="308">
        <f>II69-II85</f>
        <v>2.8236729213346914</v>
      </c>
      <c r="IJ88" s="292"/>
      <c r="IK88" s="308">
        <f>IK69-IK85</f>
        <v>2.6623279081930882</v>
      </c>
      <c r="IL88" s="292"/>
      <c r="IM88" s="308">
        <f>IM69-IM85</f>
        <v>2.752530147013176</v>
      </c>
      <c r="IN88" s="292"/>
      <c r="IO88" s="308">
        <f>IO69-IO85</f>
        <v>2.8392625124836828</v>
      </c>
      <c r="IP88" s="292"/>
      <c r="IQ88" s="308">
        <f>IQ69-IQ85</f>
        <v>2.9134458555900675</v>
      </c>
      <c r="IR88" s="292"/>
      <c r="IS88" s="308">
        <f>IS69-IS85</f>
        <v>2.849974820068482</v>
      </c>
      <c r="IT88" s="292"/>
      <c r="IU88" s="308">
        <f>IU69-IU85</f>
        <v>2.7194637725447981</v>
      </c>
      <c r="IV88" s="292"/>
      <c r="IW88" s="308">
        <f>IW69-IW85</f>
        <v>2.963025110730622</v>
      </c>
      <c r="IX88" s="292"/>
      <c r="IY88" s="308">
        <f>IY69-IY85</f>
        <v>2.9413580246913584</v>
      </c>
      <c r="IZ88" s="186"/>
      <c r="JA88" s="292"/>
      <c r="JB88" s="308">
        <f>JB69-JB85</f>
        <v>2.5</v>
      </c>
      <c r="JC88" s="292"/>
      <c r="JD88" s="308">
        <f>JD69-JD85</f>
        <v>2.4272151898734178</v>
      </c>
      <c r="JE88" s="186"/>
      <c r="JF88" s="292"/>
      <c r="JG88" s="308">
        <f>JG69-JG85</f>
        <v>1.8807885316769841</v>
      </c>
      <c r="JH88" s="292"/>
      <c r="JI88" s="308">
        <f>JI69-JI85</f>
        <v>1.6009032626319541</v>
      </c>
      <c r="JJ88" s="292"/>
      <c r="JK88" s="308">
        <f>JK69-JK85</f>
        <v>1.3905867956955937</v>
      </c>
      <c r="JL88" s="292"/>
      <c r="JM88" s="308">
        <f>JM69-JM85</f>
        <v>1.1140220034373289</v>
      </c>
      <c r="JN88" s="292"/>
      <c r="JO88" s="308">
        <f>JO69-JO85</f>
        <v>1.4140220034373288</v>
      </c>
      <c r="JP88" s="292"/>
      <c r="JQ88" s="308">
        <f>JQ69-JQ85</f>
        <v>1.44818968173497</v>
      </c>
      <c r="JR88" s="292"/>
      <c r="JS88" s="308">
        <f>JS69-JS85</f>
        <v>0.93496503496503447</v>
      </c>
      <c r="JT88" s="292"/>
      <c r="JU88" s="308">
        <f>JU69-JU85</f>
        <v>1.193793103448276</v>
      </c>
      <c r="JV88" s="292"/>
      <c r="JW88" s="308">
        <f>JW69-JW85</f>
        <v>1.8438758171417069</v>
      </c>
      <c r="JX88" s="292"/>
      <c r="JY88" s="308">
        <f>JY69-JY85</f>
        <v>1.4896774193548383</v>
      </c>
      <c r="JZ88" s="292"/>
      <c r="KA88" s="308">
        <f>KA69-KA85</f>
        <v>1.8006390622272939</v>
      </c>
      <c r="KB88" s="292"/>
      <c r="KC88" s="308">
        <f>KC69-KC85</f>
        <v>1.7240468035837244</v>
      </c>
      <c r="KD88" s="292"/>
      <c r="KE88" s="308">
        <f>KE69-KE85</f>
        <v>1.7635321529178487</v>
      </c>
      <c r="KF88" s="292"/>
      <c r="KG88" s="308">
        <f>KG69-KG85</f>
        <v>1.2894651385045384</v>
      </c>
      <c r="KH88" s="292"/>
      <c r="KI88" s="308">
        <f>KI69-KI85</f>
        <v>1.3344827586206893</v>
      </c>
      <c r="KJ88" s="292"/>
      <c r="KK88" s="308">
        <f>KK69-KK85</f>
        <v>1.6344827586206891</v>
      </c>
      <c r="KL88" s="292"/>
      <c r="KM88" s="308">
        <f>KM69-KM85</f>
        <v>1.701151609180978</v>
      </c>
      <c r="KN88" s="292"/>
      <c r="KO88" s="308">
        <f>KO69-KO85</f>
        <v>1.9434616169659948</v>
      </c>
      <c r="KP88" s="292"/>
      <c r="KQ88" s="308">
        <f>KQ69-KQ85</f>
        <v>1.7606942451015231</v>
      </c>
      <c r="KR88" s="292"/>
      <c r="KS88" s="308">
        <f>KS69-KS85</f>
        <v>1.9981353119886469</v>
      </c>
      <c r="KT88" s="292"/>
      <c r="KU88" s="308">
        <f>KU69-KU85</f>
        <v>2.0231367089093988</v>
      </c>
      <c r="KV88" s="292"/>
      <c r="KW88" s="308">
        <f>KW69-KW85</f>
        <v>2.1832077458316173</v>
      </c>
      <c r="KX88" s="292"/>
      <c r="KY88" s="308">
        <f>KY69-KY85</f>
        <v>2.3223801064823233</v>
      </c>
      <c r="KZ88" s="292"/>
      <c r="LA88" s="308">
        <f>LA69-LA85</f>
        <v>2.4473090600897747</v>
      </c>
      <c r="LB88" s="292"/>
      <c r="LC88" s="308">
        <f>LC69-LC85</f>
        <v>2.0166945866398933</v>
      </c>
      <c r="LD88" s="292"/>
      <c r="LE88" s="308">
        <f>LE69-LE85</f>
        <v>1.969794943446332</v>
      </c>
      <c r="LF88" s="292"/>
      <c r="LG88" s="308">
        <f>LG69-LG85</f>
        <v>1.5073627107940002</v>
      </c>
      <c r="LH88" s="292"/>
      <c r="LI88" s="308">
        <f>LI69-LI85</f>
        <v>2.1192834660799775</v>
      </c>
      <c r="LJ88" s="292"/>
      <c r="LK88" s="308">
        <f>LK69-LK85</f>
        <v>1.8182523891842912</v>
      </c>
      <c r="LL88" s="292"/>
      <c r="LM88" s="308">
        <f>LM69-LM85</f>
        <v>2.1364767522497967</v>
      </c>
      <c r="LN88" s="292"/>
      <c r="LO88" s="308">
        <f>LO69-LO85</f>
        <v>2.225957398045165</v>
      </c>
      <c r="LP88" s="292"/>
      <c r="LQ88" s="308">
        <f>LQ69-LQ85</f>
        <v>2.0936860308193239</v>
      </c>
      <c r="LR88" s="292"/>
      <c r="LS88" s="308">
        <f>LS69-LS85</f>
        <v>1.8804634231776509</v>
      </c>
      <c r="LT88" s="292"/>
      <c r="LU88" s="308">
        <f>LU69-LU85</f>
        <v>1.7401339369578537</v>
      </c>
      <c r="LV88" s="292"/>
      <c r="LW88" s="308">
        <f>LW69-LW85</f>
        <v>1.8163538831786763</v>
      </c>
      <c r="LX88" s="292"/>
      <c r="LY88" s="308">
        <f>LY69-LY85</f>
        <v>1.8918244095082208</v>
      </c>
      <c r="LZ88" s="292"/>
      <c r="MA88" s="308">
        <f>MA69-MA85</f>
        <v>1.9563753521552059</v>
      </c>
      <c r="MB88" s="292"/>
      <c r="MC88" s="308">
        <f>MC69-MC85</f>
        <v>1.9318483300404958</v>
      </c>
      <c r="MD88" s="292"/>
      <c r="ME88" s="308">
        <f>ME69-ME85</f>
        <v>2.4614052378416913</v>
      </c>
      <c r="MF88" s="292"/>
      <c r="MG88" s="308">
        <f>MG69-MG85</f>
        <v>2.0320987654320986</v>
      </c>
      <c r="MH88" s="186"/>
      <c r="MI88" s="292"/>
      <c r="MJ88" s="308">
        <f>MJ69-MJ85</f>
        <v>1.9416051002957646</v>
      </c>
      <c r="MK88" s="292"/>
      <c r="ML88" s="308">
        <f>ML69-ML85</f>
        <v>1.7734922741610655</v>
      </c>
      <c r="MM88" s="292"/>
      <c r="MN88" s="308">
        <f>MN69-MN85</f>
        <v>1.5355162825618129</v>
      </c>
      <c r="MO88" s="292"/>
      <c r="MP88" s="308">
        <f>MP69-MP85</f>
        <v>1.3036472595155217</v>
      </c>
      <c r="MQ88" s="292"/>
      <c r="MR88" s="308">
        <f>MR69-MR85</f>
        <v>1.503647259515521</v>
      </c>
      <c r="MS88" s="292"/>
      <c r="MT88" s="308">
        <f>MT69-MT85</f>
        <v>1.4322930828755531</v>
      </c>
      <c r="MU88" s="292"/>
      <c r="MV88" s="308">
        <f>MV69-MV85</f>
        <v>1.255944055944056</v>
      </c>
      <c r="MW88" s="292"/>
      <c r="MX88" s="308">
        <f>MX69-MX85</f>
        <v>1.7979310344827582</v>
      </c>
      <c r="MY88" s="292"/>
      <c r="MZ88" s="308">
        <f>MZ69-MZ85</f>
        <v>2.4727686628949339</v>
      </c>
      <c r="NA88" s="292"/>
      <c r="NB88" s="308">
        <f>NB69-NB85</f>
        <v>2.2303225806451614</v>
      </c>
      <c r="NC88" s="292"/>
      <c r="ND88" s="308">
        <f>ND69-ND85</f>
        <v>2.4451993217643921</v>
      </c>
      <c r="NE88" s="292"/>
      <c r="NF88" s="308">
        <f>NF69-NF85</f>
        <v>2.4728027955721372</v>
      </c>
      <c r="NG88" s="292"/>
      <c r="NH88" s="308">
        <f>NH69-NH85</f>
        <v>2.4686036607351496</v>
      </c>
      <c r="NI88" s="292"/>
      <c r="NJ88" s="308">
        <f>NJ69-NJ85</f>
        <v>2.1072339863058467</v>
      </c>
      <c r="NK88" s="292"/>
      <c r="NL88" s="308">
        <f>NL69-NL85</f>
        <v>2.0241379310344829</v>
      </c>
      <c r="NM88" s="292"/>
      <c r="NN88" s="308">
        <f>NN69-NN85</f>
        <v>2.3241379310344827</v>
      </c>
      <c r="NO88" s="292"/>
      <c r="NP88" s="308">
        <f>NP69-NP85</f>
        <v>2.4911936174427254</v>
      </c>
      <c r="NQ88" s="292"/>
      <c r="NR88" s="308">
        <f>NR69-NR85</f>
        <v>2.7364753934074413</v>
      </c>
      <c r="NS88" s="292"/>
      <c r="NT88" s="308">
        <f>NT69-NT85</f>
        <v>2.8028920417733363</v>
      </c>
      <c r="NU88" s="292"/>
      <c r="NV88" s="308">
        <f>NV69-NV85</f>
        <v>2.2401117951374614</v>
      </c>
      <c r="NW88" s="292"/>
      <c r="NX88" s="308">
        <f>NX69-NX85</f>
        <v>2.7781369105113747</v>
      </c>
      <c r="NY88" s="292"/>
      <c r="NZ88" s="308">
        <f>NZ69-NZ85</f>
        <v>2.5792600649682909</v>
      </c>
      <c r="OA88" s="292"/>
      <c r="OB88" s="308">
        <f>OB69-OB85</f>
        <v>2.9935308917407073</v>
      </c>
      <c r="OC88" s="292"/>
      <c r="OD88" s="308">
        <f>OD69-OD85</f>
        <v>3.0361649938491926</v>
      </c>
      <c r="OE88" s="292"/>
      <c r="OF88" s="308">
        <f>OF69-OF85</f>
        <v>2.6961209289589982</v>
      </c>
      <c r="OG88" s="292"/>
      <c r="OH88" s="308">
        <f>OH69-OH85</f>
        <v>2.6066608021372004</v>
      </c>
      <c r="OI88" s="292"/>
      <c r="OJ88" s="308">
        <f>OJ69-OJ85</f>
        <v>2.4231359856753043</v>
      </c>
      <c r="OK88" s="292"/>
      <c r="OL88" s="308">
        <f>OL69-OL85</f>
        <v>2.632605470865792</v>
      </c>
      <c r="OM88" s="292"/>
      <c r="ON88" s="308">
        <f>ON69-ON85</f>
        <v>2.4072339863058465</v>
      </c>
      <c r="OO88" s="292"/>
      <c r="OP88" s="308">
        <f>OP69-OP85</f>
        <v>2.5529381519651775</v>
      </c>
      <c r="OQ88" s="292"/>
      <c r="OR88" s="308">
        <f>OR69-OR85</f>
        <v>2.5754810920667675</v>
      </c>
      <c r="OS88" s="292"/>
      <c r="OT88" s="308">
        <f>OT69-OT85</f>
        <v>2.4997711236182383</v>
      </c>
      <c r="OU88" s="292"/>
      <c r="OV88" s="308">
        <f>OV69-OV85</f>
        <v>1.9260628103933266</v>
      </c>
      <c r="OW88" s="292"/>
      <c r="OX88" s="308">
        <f>OX69-OX85</f>
        <v>1.787089164620097</v>
      </c>
      <c r="OY88" s="292"/>
      <c r="OZ88" s="308">
        <f>OZ69-OZ85</f>
        <v>1.8625726862397514</v>
      </c>
      <c r="PA88" s="292"/>
      <c r="PB88" s="308">
        <f>PB69-PB85</f>
        <v>1.9373140287400252</v>
      </c>
      <c r="PC88" s="292"/>
      <c r="PD88" s="308">
        <f>PD69-PD85</f>
        <v>2.0012412907817252</v>
      </c>
      <c r="PE88" s="292"/>
      <c r="PF88" s="308">
        <f>PF69-PF85</f>
        <v>2.2703752697287261</v>
      </c>
      <c r="PG88" s="292"/>
      <c r="PH88" s="308">
        <f>PH69-PH85</f>
        <v>2.8597726481029189</v>
      </c>
      <c r="PI88" s="292"/>
      <c r="PJ88" s="308">
        <f>PJ69-PJ85</f>
        <v>2.8019812538356859</v>
      </c>
      <c r="PK88" s="292"/>
      <c r="PL88" s="308">
        <f>PL69-PL85</f>
        <v>2.7368421052631575</v>
      </c>
      <c r="PM88" s="292"/>
      <c r="PN88" s="308">
        <f>PN69-PN85</f>
        <v>2.8962962962962959</v>
      </c>
      <c r="PO88" s="292"/>
      <c r="PP88" s="308">
        <f>PP69-PP85</f>
        <v>2.8962962962962959</v>
      </c>
      <c r="PR88" s="292"/>
      <c r="PS88" s="308">
        <f>PS69-PS85</f>
        <v>4.307710225926245</v>
      </c>
      <c r="PT88" s="292"/>
      <c r="PU88" s="308">
        <f>PU69-PU85</f>
        <v>4.6012345679012352</v>
      </c>
      <c r="PV88" s="292"/>
      <c r="PW88" s="308">
        <f>PW69-PW85</f>
        <v>4.307710225926245</v>
      </c>
      <c r="PX88" s="292"/>
      <c r="PY88" s="308">
        <f>PY69-PY85</f>
        <v>4.6012345679012352</v>
      </c>
      <c r="PZ88" s="292"/>
      <c r="QA88" s="308">
        <f>QA69-QA85</f>
        <v>4.2653066037503233</v>
      </c>
      <c r="QB88" s="292"/>
      <c r="QC88" s="308">
        <f>QC69-QC85</f>
        <v>4.5625</v>
      </c>
      <c r="QF88" s="292"/>
      <c r="QG88" s="308">
        <f>QG69-QG85</f>
        <v>3.7049382716049384</v>
      </c>
      <c r="QH88" s="292"/>
      <c r="QI88" s="308">
        <f>QI69-QI85</f>
        <v>3.9765432098765432</v>
      </c>
      <c r="QJ88" s="292"/>
      <c r="QK88" s="308">
        <f>QK69-QK85</f>
        <v>3.7049382716049384</v>
      </c>
      <c r="QL88" s="292"/>
      <c r="QM88" s="308">
        <f>QM69-QM85</f>
        <v>3.9765432098765432</v>
      </c>
      <c r="QN88" s="292"/>
      <c r="QO88" s="308">
        <f>QO69-QO85</f>
        <v>2.9049382716049386</v>
      </c>
      <c r="QP88" s="292"/>
      <c r="QQ88" s="308">
        <f>QQ69-QQ85</f>
        <v>3.1765432098765434</v>
      </c>
    </row>
    <row r="89" spans="1:459" x14ac:dyDescent="0.45">
      <c r="A89" s="871"/>
      <c r="B89" s="426" t="s">
        <v>392</v>
      </c>
      <c r="C89" s="427"/>
      <c r="D89" s="428"/>
      <c r="E89" s="231"/>
      <c r="F89" s="429"/>
      <c r="G89" s="430">
        <f>G88/G69</f>
        <v>9.7344242210126164E-2</v>
      </c>
      <c r="H89" s="429"/>
      <c r="I89" s="430">
        <f>I88/I69</f>
        <v>0.30249327807146115</v>
      </c>
      <c r="J89" s="429"/>
      <c r="K89" s="430">
        <f>K88/K69</f>
        <v>0.33687741225103701</v>
      </c>
      <c r="L89" s="429"/>
      <c r="M89" s="430">
        <f>M88/M69</f>
        <v>0.33687741225103701</v>
      </c>
      <c r="N89" s="429"/>
      <c r="O89" s="430">
        <f>O88/O69</f>
        <v>0.31979421930671886</v>
      </c>
      <c r="P89" s="429"/>
      <c r="Q89" s="430">
        <f>Q88/Q69</f>
        <v>0.30376316910553935</v>
      </c>
      <c r="R89" s="429"/>
      <c r="S89" s="430">
        <f>S88/S69</f>
        <v>0.26198895925187171</v>
      </c>
      <c r="T89" s="429"/>
      <c r="U89" s="430">
        <f>U88/U69</f>
        <v>0.27300404941229156</v>
      </c>
      <c r="V89" s="429"/>
      <c r="W89" s="430">
        <f>W88/W69</f>
        <v>0.27300404941229156</v>
      </c>
      <c r="X89" s="429"/>
      <c r="Y89" s="430">
        <f>Y88/Y69</f>
        <v>0.26198895925187171</v>
      </c>
      <c r="Z89" s="429"/>
      <c r="AA89" s="430">
        <f>AA88/AA69</f>
        <v>0.28343543394027898</v>
      </c>
      <c r="AB89" s="429"/>
      <c r="AC89" s="430">
        <f>AC88/AC69</f>
        <v>0.23211603211603218</v>
      </c>
      <c r="AD89" s="429"/>
      <c r="AE89" s="430">
        <f>AE88/AE69</f>
        <v>0.21389092687698696</v>
      </c>
      <c r="AF89" s="429"/>
      <c r="AG89" s="430">
        <f>AG88/AG69</f>
        <v>0.35075200863194561</v>
      </c>
      <c r="AH89" s="429"/>
      <c r="AI89" s="430">
        <f>AI88/AI69</f>
        <v>0.32939830702356443</v>
      </c>
      <c r="AJ89" s="429"/>
      <c r="AK89" s="430">
        <f>AK88/AK69</f>
        <v>0.36007558323705913</v>
      </c>
      <c r="AL89" s="429"/>
      <c r="AM89" s="430">
        <f>AM88/AM69</f>
        <v>0.34193500235184215</v>
      </c>
      <c r="AN89" s="429"/>
      <c r="AO89" s="430">
        <f>AO88/AO69</f>
        <v>0.32594250735804969</v>
      </c>
      <c r="AP89" s="429"/>
      <c r="AQ89" s="430">
        <f>AQ88/AQ69</f>
        <v>0.30329472881007646</v>
      </c>
      <c r="AR89" s="429"/>
      <c r="AS89" s="430">
        <f>AS88/AS69</f>
        <v>0.27610662753729509</v>
      </c>
      <c r="AT89" s="429"/>
      <c r="AU89" s="430">
        <f>AU88/AU69</f>
        <v>0.30565329580107897</v>
      </c>
      <c r="AV89" s="429"/>
      <c r="AW89" s="430">
        <f>AW88/AW69</f>
        <v>0.33914733381295198</v>
      </c>
      <c r="AX89" s="429"/>
      <c r="AY89" s="430">
        <f>AY88/AY69</f>
        <v>0.37335887180353861</v>
      </c>
      <c r="AZ89" s="429"/>
      <c r="BA89" s="430">
        <f>BA88/BA69</f>
        <v>0.38378067277595723</v>
      </c>
      <c r="BB89" s="429"/>
      <c r="BC89" s="430">
        <f>BC88/BC69</f>
        <v>0.38397536444019048</v>
      </c>
      <c r="BD89" s="429"/>
      <c r="BE89" s="430">
        <f>BE88/BE69</f>
        <v>0.38579856928086936</v>
      </c>
      <c r="BF89" s="429"/>
      <c r="BG89" s="430">
        <f>BG88/BG69</f>
        <v>0.41617709304552536</v>
      </c>
      <c r="BH89" s="429"/>
      <c r="BI89" s="430">
        <f>BI88/BI69</f>
        <v>0.44335308477392704</v>
      </c>
      <c r="BJ89" s="429"/>
      <c r="BK89" s="430">
        <f>BK88/BK69</f>
        <v>0.44754217966427068</v>
      </c>
      <c r="BL89" s="429"/>
      <c r="BM89" s="430">
        <f>BM88/BM69</f>
        <v>0.38495294118733292</v>
      </c>
      <c r="BN89" s="429"/>
      <c r="BO89" s="430">
        <f>BO88/BO69</f>
        <v>0.37126164337902906</v>
      </c>
      <c r="BP89" s="429"/>
      <c r="BQ89" s="430">
        <f>BQ88/BQ69</f>
        <v>0.35260210328881897</v>
      </c>
      <c r="BR89" s="429"/>
      <c r="BS89" s="430">
        <f>BS88/BS69</f>
        <v>0.40081832643565551</v>
      </c>
      <c r="BT89" s="429"/>
      <c r="BU89" s="430">
        <f>BU88/BU69</f>
        <v>0.37437764860969774</v>
      </c>
      <c r="BV89" s="429"/>
      <c r="BW89" s="430">
        <f>BW88/BW69</f>
        <v>0.37121294722456255</v>
      </c>
      <c r="BX89" s="429"/>
      <c r="BY89" s="430">
        <f>BY88/BY69</f>
        <v>0.40555783172081938</v>
      </c>
      <c r="BZ89" s="429"/>
      <c r="CA89" s="430">
        <f>CA88/CA69</f>
        <v>0.38756575161474849</v>
      </c>
      <c r="CB89" s="429"/>
      <c r="CC89" s="430">
        <f>CC88/CC69</f>
        <v>0.41992616263053062</v>
      </c>
      <c r="CD89" s="429"/>
      <c r="CE89" s="430">
        <f>CE88/CE69</f>
        <v>0.40267839640548081</v>
      </c>
      <c r="CF89" s="429"/>
      <c r="CG89" s="430">
        <f>CG88/CG69</f>
        <v>0.34776639973523715</v>
      </c>
      <c r="CH89" s="429"/>
      <c r="CI89" s="430">
        <f>CI88/CI69</f>
        <v>0.35805654492986211</v>
      </c>
      <c r="CJ89" s="429"/>
      <c r="CK89" s="430">
        <f>CK88/CK69</f>
        <v>0.36685784266279386</v>
      </c>
      <c r="CL89" s="429"/>
      <c r="CM89" s="430">
        <f>CM88/CM69</f>
        <v>0.37994028687613107</v>
      </c>
      <c r="CN89" s="429"/>
      <c r="CO89" s="430">
        <f>CO88/CO69</f>
        <v>0.3810534064136466</v>
      </c>
      <c r="CP89" s="429"/>
      <c r="CQ89" s="430">
        <f>CQ88/CQ69</f>
        <v>0.37851683883429915</v>
      </c>
      <c r="CR89" s="429"/>
      <c r="CS89" s="430">
        <f>CS88/CS69</f>
        <v>0.37851683883429915</v>
      </c>
      <c r="CT89" s="427"/>
      <c r="CU89" s="429"/>
      <c r="CV89" s="430">
        <f>CV88/CV69</f>
        <v>0.32375201856101754</v>
      </c>
      <c r="CW89" s="429"/>
      <c r="CX89" s="430">
        <f>CX88/CX69</f>
        <v>0.28317713967467856</v>
      </c>
      <c r="CY89" s="429"/>
      <c r="CZ89" s="430">
        <f>CZ88/CZ69</f>
        <v>0.28683439916613435</v>
      </c>
      <c r="DA89" s="429"/>
      <c r="DB89" s="430">
        <f>DB88/DB69</f>
        <v>0.19509062366205226</v>
      </c>
      <c r="DC89" s="429"/>
      <c r="DD89" s="430">
        <f>DD88/DD69</f>
        <v>0.21618037135278509</v>
      </c>
      <c r="DE89" s="429"/>
      <c r="DF89" s="430">
        <f>DF88/DF69</f>
        <v>0.35349890692498598</v>
      </c>
      <c r="DG89" s="429"/>
      <c r="DH89" s="430">
        <f>DH88/DH69</f>
        <v>0.30769230769230771</v>
      </c>
      <c r="DI89" s="429"/>
      <c r="DJ89" s="430">
        <f>DJ88/DJ69</f>
        <v>0.37280558418946602</v>
      </c>
      <c r="DK89" s="429"/>
      <c r="DL89" s="430">
        <f>DL88/DL69</f>
        <v>0.33745850214204115</v>
      </c>
      <c r="DM89" s="429"/>
      <c r="DN89" s="430">
        <f>DN88/DN69</f>
        <v>0.34199339503849407</v>
      </c>
      <c r="DO89" s="429"/>
      <c r="DP89" s="430">
        <f>DP88/DP69</f>
        <v>0.34813105821677442</v>
      </c>
      <c r="DQ89" s="429"/>
      <c r="DR89" s="430">
        <f>DR88/DR69</f>
        <v>0.28381962864721488</v>
      </c>
      <c r="DS89" s="429"/>
      <c r="DT89" s="430">
        <f>DT88/DT69</f>
        <v>0.31979215871516292</v>
      </c>
      <c r="DU89" s="429"/>
      <c r="DV89" s="430">
        <f>DV88/DV69</f>
        <v>0.35580193072626376</v>
      </c>
      <c r="DW89" s="429"/>
      <c r="DX89" s="430">
        <f>DX88/DX69</f>
        <v>0.36068699322034981</v>
      </c>
      <c r="DY89" s="429"/>
      <c r="DZ89" s="430">
        <f>DZ88/DZ69</f>
        <v>0.38608879707914012</v>
      </c>
      <c r="EA89" s="429"/>
      <c r="EB89" s="430">
        <f>EB88/EB69</f>
        <v>0.36873680736444586</v>
      </c>
      <c r="EC89" s="429"/>
      <c r="ED89" s="430">
        <f>ED88/ED69</f>
        <v>0.39478727344423536</v>
      </c>
      <c r="EE89" s="429"/>
      <c r="EF89" s="430">
        <f>EF88/EF69</f>
        <v>0.40942673416358288</v>
      </c>
      <c r="EG89" s="429"/>
      <c r="EH89" s="430">
        <f>EH88/EH69</f>
        <v>0.40374589977252018</v>
      </c>
      <c r="EI89" s="429"/>
      <c r="EJ89" s="430">
        <f>EJ88/EJ69</f>
        <v>0.39961246403530676</v>
      </c>
      <c r="EK89" s="429"/>
      <c r="EL89" s="430">
        <f>EL88/EL69</f>
        <v>0.38440154992502795</v>
      </c>
      <c r="EM89" s="429"/>
      <c r="EN89" s="430">
        <f>EN88/EN69</f>
        <v>0.41860672266495547</v>
      </c>
      <c r="EO89" s="429"/>
      <c r="EP89" s="430">
        <f>EP88/EP69</f>
        <v>0.3551566432371463</v>
      </c>
      <c r="EQ89" s="429"/>
      <c r="ER89" s="430">
        <f>ER88/ER69</f>
        <v>0.41745489464553076</v>
      </c>
      <c r="ES89" s="429"/>
      <c r="ET89" s="430">
        <f>ET88/ET69</f>
        <v>0.39462579160867212</v>
      </c>
      <c r="EU89" s="429"/>
      <c r="EV89" s="430">
        <f>EV88/EV69</f>
        <v>0.40327001547757158</v>
      </c>
      <c r="EW89" s="429"/>
      <c r="EX89" s="430">
        <f>EX88/EX69</f>
        <v>0.41120461741636438</v>
      </c>
      <c r="EY89" s="429"/>
      <c r="EZ89" s="430">
        <f>EZ88/EZ69</f>
        <v>0.39483375543872923</v>
      </c>
      <c r="FA89" s="429"/>
      <c r="FB89" s="430">
        <f>FB88/FB69</f>
        <v>0.35522327666115749</v>
      </c>
      <c r="FC89" s="429"/>
      <c r="FD89" s="430">
        <f>FD88/FD69</f>
        <v>0.3753596807184118</v>
      </c>
      <c r="FE89" s="429"/>
      <c r="FF89" s="430">
        <f>FF88/FF69</f>
        <v>0.43932441339912864</v>
      </c>
      <c r="FG89" s="429"/>
      <c r="FH89" s="430">
        <f>FH88/FH69</f>
        <v>0.41285849149816856</v>
      </c>
      <c r="FI89" s="429"/>
      <c r="FJ89" s="430">
        <f>FJ88/FJ69</f>
        <v>0.40008025748253268</v>
      </c>
      <c r="FK89" s="429"/>
      <c r="FL89" s="430">
        <f>FL88/FL69</f>
        <v>0.39821518593040095</v>
      </c>
      <c r="FM89" s="429"/>
      <c r="FN89" s="430">
        <f>FN88/FN69</f>
        <v>0.39365690980026241</v>
      </c>
      <c r="FO89" s="429"/>
      <c r="FP89" s="430">
        <f>FP88/FP69</f>
        <v>0.39365690980026241</v>
      </c>
      <c r="FQ89" s="231"/>
      <c r="FR89" s="429"/>
      <c r="FS89" s="430">
        <f>FS88/FS69</f>
        <v>0.2488603947858769</v>
      </c>
      <c r="FT89" s="429"/>
      <c r="FU89" s="430">
        <f>FU88/FU69</f>
        <v>0.20487642921067251</v>
      </c>
      <c r="FV89" s="429"/>
      <c r="FW89" s="430">
        <f>FW88/FW69</f>
        <v>0.16591280801681191</v>
      </c>
      <c r="FX89" s="429"/>
      <c r="FY89" s="430">
        <f>FY88/FY69</f>
        <v>0.1158675764978206</v>
      </c>
      <c r="FZ89" s="429"/>
      <c r="GA89" s="430">
        <f>GA88/GA69</f>
        <v>0.12906358281874872</v>
      </c>
      <c r="GB89" s="429"/>
      <c r="GC89" s="430">
        <f>GC88/GC69</f>
        <v>0.12906358281874872</v>
      </c>
      <c r="GD89" s="429"/>
      <c r="GE89" s="430">
        <f>GE88/GE69</f>
        <v>0.1158675764978206</v>
      </c>
      <c r="GF89" s="429"/>
      <c r="GG89" s="430">
        <f>GG88/GG69</f>
        <v>0.14156031359104634</v>
      </c>
      <c r="GH89" s="429"/>
      <c r="GI89" s="430">
        <f>GI88/GI69</f>
        <v>0.18943278943278941</v>
      </c>
      <c r="GJ89" s="429"/>
      <c r="GK89" s="430">
        <f>GK88/GK69</f>
        <v>0.18638149279790484</v>
      </c>
      <c r="GL89" s="429"/>
      <c r="GM89" s="430">
        <f>GM88/GM69</f>
        <v>0.31669004869951028</v>
      </c>
      <c r="GN89" s="429"/>
      <c r="GO89" s="430">
        <f>GO88/GO69</f>
        <v>0.2993058391180074</v>
      </c>
      <c r="GP89" s="429"/>
      <c r="GQ89" s="430">
        <f>GQ88/GQ69</f>
        <v>0.32773301690676659</v>
      </c>
      <c r="GR89" s="429"/>
      <c r="GS89" s="430">
        <f>GS88/GS69</f>
        <v>0.30919760680404851</v>
      </c>
      <c r="GT89" s="429"/>
      <c r="GU89" s="430">
        <f>GU88/GU69</f>
        <v>0.31653738320594349</v>
      </c>
      <c r="GV89" s="429"/>
      <c r="GW89" s="430">
        <f>GW88/GW69</f>
        <v>0.2100266908531391</v>
      </c>
      <c r="GX89" s="429"/>
      <c r="GY89" s="430">
        <f>GY88/GY69</f>
        <v>0.23177651680488875</v>
      </c>
      <c r="GZ89" s="429"/>
      <c r="HA89" s="430">
        <f>HA88/HA69</f>
        <v>0.26436781609195403</v>
      </c>
      <c r="HB89" s="429"/>
      <c r="HC89" s="430">
        <f>HC88/HC69</f>
        <v>0.26584250523050923</v>
      </c>
      <c r="HD89" s="429"/>
      <c r="HE89" s="430">
        <f>HE88/HE69</f>
        <v>0.35132807269957333</v>
      </c>
      <c r="HF89" s="429"/>
      <c r="HG89" s="430">
        <f>HG88/HG69</f>
        <v>0.34424925643389415</v>
      </c>
      <c r="HH89" s="429"/>
      <c r="HI89" s="430">
        <f>HI88/HI69</f>
        <v>0.35291416944457432</v>
      </c>
      <c r="HJ89" s="429"/>
      <c r="HK89" s="430">
        <f>HK88/HK69</f>
        <v>0.35750035090423249</v>
      </c>
      <c r="HL89" s="429"/>
      <c r="HM89" s="430">
        <f>HM88/HM69</f>
        <v>0.38141828129403166</v>
      </c>
      <c r="HN89" s="429"/>
      <c r="HO89" s="430">
        <f>HO88/HO69</f>
        <v>0.37820325613319739</v>
      </c>
      <c r="HP89" s="429"/>
      <c r="HQ89" s="430">
        <f>HQ88/HQ69</f>
        <v>0.37389275012342493</v>
      </c>
      <c r="HR89" s="429"/>
      <c r="HS89" s="430">
        <f>HS88/HS69</f>
        <v>0.34135223610009907</v>
      </c>
      <c r="HT89" s="429"/>
      <c r="HU89" s="430">
        <f>HU88/HU69</f>
        <v>0.35115823423065801</v>
      </c>
      <c r="HV89" s="429"/>
      <c r="HW89" s="430">
        <f>HW88/HW69</f>
        <v>0.32909729100517271</v>
      </c>
      <c r="HX89" s="429"/>
      <c r="HY89" s="430">
        <f>HY88/HY69</f>
        <v>0.24918034729327188</v>
      </c>
      <c r="HZ89" s="429"/>
      <c r="IA89" s="430">
        <f>IA88/IA69</f>
        <v>0.23323565142625138</v>
      </c>
      <c r="IB89" s="429"/>
      <c r="IC89" s="430">
        <f>IC88/IC69</f>
        <v>0.35370887785396349</v>
      </c>
      <c r="ID89" s="429"/>
      <c r="IE89" s="430">
        <f>IE88/IE69</f>
        <v>0.36484311210173848</v>
      </c>
      <c r="IF89" s="429"/>
      <c r="IG89" s="430">
        <f>IG88/IG69</f>
        <v>0.36100329199245274</v>
      </c>
      <c r="IH89" s="429"/>
      <c r="II89" s="430">
        <f>II88/II69</f>
        <v>0.34226338440420501</v>
      </c>
      <c r="IJ89" s="429"/>
      <c r="IK89" s="430">
        <f>IK88/IK69</f>
        <v>0.32270641311431369</v>
      </c>
      <c r="IL89" s="429"/>
      <c r="IM89" s="430">
        <f>IM88/IM69</f>
        <v>0.33364001781977892</v>
      </c>
      <c r="IN89" s="429"/>
      <c r="IO89" s="430">
        <f>IO88/IO69</f>
        <v>0.34415303181620399</v>
      </c>
      <c r="IP89" s="429"/>
      <c r="IQ89" s="430">
        <f>IQ88/IQ69</f>
        <v>0.35314495219273545</v>
      </c>
      <c r="IR89" s="429"/>
      <c r="IS89" s="430">
        <f>IS88/IS69</f>
        <v>0.34545149334163416</v>
      </c>
      <c r="IT89" s="429"/>
      <c r="IU89" s="430">
        <f>IU88/IU69</f>
        <v>0.32963197242967252</v>
      </c>
      <c r="IV89" s="429"/>
      <c r="IW89" s="430">
        <f>IW88/IW69</f>
        <v>0.35915455887643905</v>
      </c>
      <c r="IX89" s="429"/>
      <c r="IY89" s="430">
        <f>IY88/IY69</f>
        <v>0.35652824541713435</v>
      </c>
      <c r="IZ89" s="231"/>
      <c r="JA89" s="429"/>
      <c r="JB89" s="430">
        <f>JB88/JB69</f>
        <v>0.30303030303030304</v>
      </c>
      <c r="JC89" s="429"/>
      <c r="JD89" s="430">
        <f>JD88/JD69</f>
        <v>0.29420790180283851</v>
      </c>
      <c r="JE89" s="231"/>
      <c r="JF89" s="429"/>
      <c r="JG89" s="430">
        <f>JG88/JG69</f>
        <v>0.31346475527949735</v>
      </c>
      <c r="JH89" s="429"/>
      <c r="JI89" s="430">
        <f>JI88/JI69</f>
        <v>0.26681721043865902</v>
      </c>
      <c r="JJ89" s="429"/>
      <c r="JK89" s="430">
        <f>JK88/JK69</f>
        <v>0.23176446594926561</v>
      </c>
      <c r="JL89" s="429"/>
      <c r="JM89" s="430">
        <f>JM88/JM69</f>
        <v>0.18567033390622148</v>
      </c>
      <c r="JN89" s="429"/>
      <c r="JO89" s="430">
        <f>JO88/JO69</f>
        <v>0.22444793705354427</v>
      </c>
      <c r="JP89" s="429"/>
      <c r="JQ89" s="430">
        <f>JQ88/JQ69</f>
        <v>0.22987137805316984</v>
      </c>
      <c r="JR89" s="429"/>
      <c r="JS89" s="430">
        <f>JS88/JS69</f>
        <v>0.14840714840714833</v>
      </c>
      <c r="JT89" s="429"/>
      <c r="JU89" s="430">
        <f>JU88/JU69</f>
        <v>0.18949096880131366</v>
      </c>
      <c r="JV89" s="429"/>
      <c r="JW89" s="430">
        <f>JW88/JW69</f>
        <v>0.29267870113360428</v>
      </c>
      <c r="JX89" s="429"/>
      <c r="JY89" s="430">
        <f>JY88/JY69</f>
        <v>0.23645673323092672</v>
      </c>
      <c r="JZ89" s="429"/>
      <c r="KA89" s="430">
        <f>KA88/KA69</f>
        <v>0.2858157241630625</v>
      </c>
      <c r="KB89" s="429"/>
      <c r="KC89" s="430">
        <f>KC88/KC69</f>
        <v>0.27365822279106738</v>
      </c>
      <c r="KD89" s="429"/>
      <c r="KE89" s="430">
        <f>KE88/KE69</f>
        <v>0.2799257385583887</v>
      </c>
      <c r="KF89" s="429"/>
      <c r="KG89" s="430">
        <f>KG88/KG69</f>
        <v>0.20467700611183148</v>
      </c>
      <c r="KH89" s="429"/>
      <c r="KI89" s="430">
        <f>KI88/KI69</f>
        <v>0.21182266009852213</v>
      </c>
      <c r="KJ89" s="429"/>
      <c r="KK89" s="430">
        <f>KK88/KK69</f>
        <v>0.24764890282131655</v>
      </c>
      <c r="KL89" s="429"/>
      <c r="KM89" s="430">
        <f>KM88/KM69</f>
        <v>0.25775024381529971</v>
      </c>
      <c r="KN89" s="429"/>
      <c r="KO89" s="430">
        <f>KO88/KO69</f>
        <v>0.29446388135848406</v>
      </c>
      <c r="KP89" s="429"/>
      <c r="KQ89" s="430">
        <f>KQ88/KQ69</f>
        <v>0.26677185531841258</v>
      </c>
      <c r="KR89" s="429"/>
      <c r="KS89" s="430">
        <f>KS88/KS69</f>
        <v>0.30274777454373442</v>
      </c>
      <c r="KT89" s="429"/>
      <c r="KU89" s="430">
        <f>KU88/KU69</f>
        <v>0.30653586498627255</v>
      </c>
      <c r="KV89" s="429"/>
      <c r="KW89" s="430">
        <f>KW88/KW69</f>
        <v>0.33078905239872991</v>
      </c>
      <c r="KX89" s="429"/>
      <c r="KY89" s="430">
        <f>KY88/KY69</f>
        <v>0.35187577370944295</v>
      </c>
      <c r="KZ89" s="429"/>
      <c r="LA89" s="430">
        <f>LA88/LA69</f>
        <v>0.37080440304390527</v>
      </c>
      <c r="LB89" s="429"/>
      <c r="LC89" s="430">
        <f>LC88/LC69</f>
        <v>0.30555978585452931</v>
      </c>
      <c r="LD89" s="429"/>
      <c r="LE89" s="430">
        <f>LE88/LE69</f>
        <v>0.29845377931005029</v>
      </c>
      <c r="LF89" s="429"/>
      <c r="LG89" s="430">
        <f>LG88/LG69</f>
        <v>0.22838828951424248</v>
      </c>
      <c r="LH89" s="429"/>
      <c r="LI89" s="430">
        <f>LI88/LI69</f>
        <v>0.3211035554666633</v>
      </c>
      <c r="LJ89" s="429"/>
      <c r="LK89" s="430">
        <f>LK88/LK69</f>
        <v>0.27549278624004414</v>
      </c>
      <c r="LL89" s="429"/>
      <c r="LM89" s="430">
        <f>LM88/LM69</f>
        <v>0.32370859882572678</v>
      </c>
      <c r="LN89" s="429"/>
      <c r="LO89" s="430">
        <f>LO88/LO69</f>
        <v>0.33726627243108565</v>
      </c>
      <c r="LP89" s="429"/>
      <c r="LQ89" s="430">
        <f>LQ88/LQ69</f>
        <v>0.31722515618474606</v>
      </c>
      <c r="LR89" s="429"/>
      <c r="LS89" s="430">
        <f>LS88/LS69</f>
        <v>0.28491870048146228</v>
      </c>
      <c r="LT89" s="429"/>
      <c r="LU89" s="430">
        <f>LU88/LU69</f>
        <v>0.26365665711482633</v>
      </c>
      <c r="LV89" s="429"/>
      <c r="LW89" s="430">
        <f>LW88/LW69</f>
        <v>0.27520513381495099</v>
      </c>
      <c r="LX89" s="429"/>
      <c r="LY89" s="430">
        <f>LY88/LY69</f>
        <v>0.28664006204670012</v>
      </c>
      <c r="LZ89" s="429"/>
      <c r="MA89" s="430">
        <f>MA88/MA69</f>
        <v>0.29642050790230395</v>
      </c>
      <c r="MB89" s="429"/>
      <c r="MC89" s="430">
        <f>MC88/MC69</f>
        <v>0.29270429243037815</v>
      </c>
      <c r="MD89" s="429"/>
      <c r="ME89" s="430">
        <f>ME88/ME69</f>
        <v>0.37294018755177144</v>
      </c>
      <c r="MF89" s="429"/>
      <c r="MG89" s="430">
        <f>MG88/MG69</f>
        <v>0.30789375233819677</v>
      </c>
      <c r="MH89" s="231"/>
      <c r="MI89" s="429"/>
      <c r="MJ89" s="430">
        <f>MJ88/MJ69</f>
        <v>0.35955650005477119</v>
      </c>
      <c r="MK89" s="429"/>
      <c r="ML89" s="430">
        <f>ML88/ML69</f>
        <v>0.3284244952150121</v>
      </c>
      <c r="MM89" s="429"/>
      <c r="MN89" s="430">
        <f>MN88/MN69</f>
        <v>0.28435486714107644</v>
      </c>
      <c r="MO89" s="429"/>
      <c r="MP89" s="430">
        <f>MP88/MP69</f>
        <v>0.24141615916954104</v>
      </c>
      <c r="MQ89" s="429"/>
      <c r="MR89" s="430">
        <f>MR88/MR69</f>
        <v>0.2685084391992002</v>
      </c>
      <c r="MS89" s="429"/>
      <c r="MT89" s="430">
        <f>MT88/MT69</f>
        <v>0.26041692415919149</v>
      </c>
      <c r="MU89" s="429"/>
      <c r="MV89" s="430">
        <f>MV88/MV69</f>
        <v>0.22427572427572431</v>
      </c>
      <c r="MW89" s="429"/>
      <c r="MX89" s="430">
        <f>MX88/MX69</f>
        <v>0.28538587848932667</v>
      </c>
      <c r="MY89" s="429"/>
      <c r="MZ89" s="430">
        <f>MZ88/MZ69</f>
        <v>0.39250296236427523</v>
      </c>
      <c r="NA89" s="429"/>
      <c r="NB89" s="430">
        <f>NB88/NB69</f>
        <v>0.35401945724526374</v>
      </c>
      <c r="NC89" s="429"/>
      <c r="ND89" s="430">
        <f>ND88/ND69</f>
        <v>0.38812687647053845</v>
      </c>
      <c r="NE89" s="429"/>
      <c r="NF89" s="430">
        <f>NF88/NF69</f>
        <v>0.3925083802495456</v>
      </c>
      <c r="NG89" s="429"/>
      <c r="NH89" s="430">
        <f>NH88/NH69</f>
        <v>0.39184185091034124</v>
      </c>
      <c r="NI89" s="429"/>
      <c r="NJ89" s="430">
        <f>NJ88/NJ69</f>
        <v>0.33448158512791221</v>
      </c>
      <c r="NK89" s="429"/>
      <c r="NL89" s="430">
        <f>NL88/NL69</f>
        <v>0.32129173508483855</v>
      </c>
      <c r="NM89" s="429"/>
      <c r="NN89" s="430">
        <f>NN88/NN69</f>
        <v>0.35214211076280044</v>
      </c>
      <c r="NO89" s="429"/>
      <c r="NP89" s="430">
        <f>NP88/NP69</f>
        <v>0.37745357840041294</v>
      </c>
      <c r="NQ89" s="429"/>
      <c r="NR89" s="430">
        <f>NR88/NR69</f>
        <v>0.41461748384961233</v>
      </c>
      <c r="NS89" s="429"/>
      <c r="NT89" s="430">
        <f>NT88/NT69</f>
        <v>0.42468061238989946</v>
      </c>
      <c r="NU89" s="429"/>
      <c r="NV89" s="430">
        <f>NV88/NV69</f>
        <v>0.33941087805113052</v>
      </c>
      <c r="NW89" s="429"/>
      <c r="NX89" s="430">
        <f>NX88/NX69</f>
        <v>0.42092983492596586</v>
      </c>
      <c r="NY89" s="429"/>
      <c r="NZ89" s="430">
        <f>NZ88/NZ69</f>
        <v>0.39079697954065012</v>
      </c>
      <c r="OA89" s="429"/>
      <c r="OB89" s="430">
        <f>OB88/OB69</f>
        <v>0.45356528662737994</v>
      </c>
      <c r="OC89" s="429"/>
      <c r="OD89" s="430">
        <f>OD88/OD69</f>
        <v>0.46002499906805949</v>
      </c>
      <c r="OE89" s="429"/>
      <c r="OF89" s="430">
        <f>OF88/OF69</f>
        <v>0.40850317105439371</v>
      </c>
      <c r="OG89" s="429"/>
      <c r="OH89" s="430">
        <f>OH88/OH69</f>
        <v>0.39494860638442431</v>
      </c>
      <c r="OI89" s="429"/>
      <c r="OJ89" s="430">
        <f>OJ88/OJ69</f>
        <v>0.36714181601140977</v>
      </c>
      <c r="OK89" s="429"/>
      <c r="OL89" s="430">
        <f>OL88/OL69</f>
        <v>0.39887961679784728</v>
      </c>
      <c r="OM89" s="429"/>
      <c r="ON89" s="430">
        <f>ON88/ON69</f>
        <v>0.36473242216755253</v>
      </c>
      <c r="OO89" s="429"/>
      <c r="OP89" s="430">
        <f>OP88/OP69</f>
        <v>0.3868088109038148</v>
      </c>
      <c r="OQ89" s="429"/>
      <c r="OR89" s="430">
        <f>OR88/OR69</f>
        <v>0.39022440788890417</v>
      </c>
      <c r="OS89" s="429"/>
      <c r="OT89" s="430">
        <f>OT88/OT69</f>
        <v>0.37875320054821793</v>
      </c>
      <c r="OU89" s="429"/>
      <c r="OV89" s="430">
        <f>OV88/OV69</f>
        <v>0.29182769854444346</v>
      </c>
      <c r="OW89" s="429"/>
      <c r="OX89" s="430">
        <f>OX88/OX69</f>
        <v>0.27077108554849955</v>
      </c>
      <c r="OY89" s="429"/>
      <c r="OZ89" s="430">
        <f>OZ88/OZ69</f>
        <v>0.28220798276359871</v>
      </c>
      <c r="PA89" s="429"/>
      <c r="PB89" s="430">
        <f>PB88/PB69</f>
        <v>0.29353242859697354</v>
      </c>
      <c r="PC89" s="429"/>
      <c r="PD89" s="430">
        <f>PD88/PD69</f>
        <v>0.30321837739117052</v>
      </c>
      <c r="PE89" s="429"/>
      <c r="PF89" s="430">
        <f>PF88/PF69</f>
        <v>0.34399625298920095</v>
      </c>
      <c r="PG89" s="429"/>
      <c r="PH89" s="430">
        <f>PH88/PH69</f>
        <v>0.43329888607619987</v>
      </c>
      <c r="PI89" s="429"/>
      <c r="PJ89" s="430">
        <f>PJ88/PJ69</f>
        <v>0.4245426142175282</v>
      </c>
      <c r="PK89" s="429"/>
      <c r="PL89" s="430">
        <f>PL88/PL69</f>
        <v>0.41467304625199358</v>
      </c>
      <c r="PM89" s="429"/>
      <c r="PN89" s="430">
        <f>PN88/PN69</f>
        <v>0.43883277216610544</v>
      </c>
      <c r="PO89" s="429"/>
      <c r="PP89" s="430">
        <f>PP88/PP69</f>
        <v>0.43883277216610544</v>
      </c>
      <c r="PQ89" s="431"/>
      <c r="PR89" s="429"/>
      <c r="PS89" s="430">
        <f>PS88/PS69</f>
        <v>0.55944288648392793</v>
      </c>
      <c r="PT89" s="429"/>
      <c r="PU89" s="430">
        <f>PU88/PU69</f>
        <v>0.59756293089626433</v>
      </c>
      <c r="PV89" s="429"/>
      <c r="PW89" s="430">
        <f>PW88/PW69</f>
        <v>0.55944288648392793</v>
      </c>
      <c r="PX89" s="429"/>
      <c r="PY89" s="430">
        <f>PY88/PY69</f>
        <v>0.59756293089626433</v>
      </c>
      <c r="PZ89" s="429"/>
      <c r="QA89" s="430">
        <f>QA88/QA69</f>
        <v>0.55393592256497703</v>
      </c>
      <c r="QB89" s="429"/>
      <c r="QC89" s="430">
        <f>QC88/QC69</f>
        <v>0.59253246753246747</v>
      </c>
      <c r="QD89" s="431"/>
      <c r="QE89" s="431"/>
      <c r="QF89" s="429"/>
      <c r="QG89" s="430">
        <f>QG88/QG69</f>
        <v>0.48116081449414783</v>
      </c>
      <c r="QH89" s="429"/>
      <c r="QI89" s="430">
        <f>QI88/QI69</f>
        <v>0.51643418310084976</v>
      </c>
      <c r="QJ89" s="429"/>
      <c r="QK89" s="430">
        <f>QK88/QK69</f>
        <v>0.48116081449414783</v>
      </c>
      <c r="QL89" s="429"/>
      <c r="QM89" s="430">
        <f>QM88/QM69</f>
        <v>0.51643418310084976</v>
      </c>
      <c r="QN89" s="429"/>
      <c r="QO89" s="430">
        <f>QO88/QO69</f>
        <v>0.42100554660941136</v>
      </c>
      <c r="QP89" s="429"/>
      <c r="QQ89" s="430">
        <f>QQ88/QQ69</f>
        <v>0.46036858114152801</v>
      </c>
    </row>
    <row r="90" spans="1:459" x14ac:dyDescent="0.45">
      <c r="A90" s="871"/>
      <c r="B90" s="146"/>
      <c r="C90" s="147"/>
      <c r="D90" s="148"/>
      <c r="E90" s="432"/>
      <c r="F90" s="433"/>
      <c r="G90" s="434"/>
      <c r="H90" s="433"/>
      <c r="I90" s="434"/>
      <c r="J90" s="433"/>
      <c r="K90" s="434"/>
      <c r="L90" s="433"/>
      <c r="M90" s="434"/>
      <c r="N90" s="433"/>
      <c r="O90" s="434"/>
      <c r="P90" s="433"/>
      <c r="Q90" s="434"/>
      <c r="R90" s="433"/>
      <c r="S90" s="434"/>
      <c r="T90" s="433"/>
      <c r="U90" s="434"/>
      <c r="V90" s="433"/>
      <c r="W90" s="434"/>
      <c r="X90" s="433"/>
      <c r="Y90" s="434"/>
      <c r="Z90" s="433"/>
      <c r="AA90" s="434"/>
      <c r="AB90" s="433"/>
      <c r="AC90" s="434"/>
      <c r="AD90" s="433"/>
      <c r="AE90" s="434"/>
      <c r="AF90" s="433"/>
      <c r="AG90" s="434"/>
      <c r="AH90" s="433"/>
      <c r="AI90" s="434"/>
      <c r="AJ90" s="433"/>
      <c r="AK90" s="434"/>
      <c r="AL90" s="433"/>
      <c r="AM90" s="434"/>
      <c r="AN90" s="433"/>
      <c r="AO90" s="434"/>
      <c r="AP90" s="433"/>
      <c r="AQ90" s="434"/>
      <c r="AR90" s="433"/>
      <c r="AS90" s="434"/>
      <c r="AT90" s="433"/>
      <c r="AU90" s="434"/>
      <c r="AV90" s="433"/>
      <c r="AW90" s="434"/>
      <c r="AX90" s="433"/>
      <c r="AY90" s="434"/>
      <c r="AZ90" s="433"/>
      <c r="BA90" s="434"/>
      <c r="BB90" s="433"/>
      <c r="BC90" s="434"/>
      <c r="BD90" s="433"/>
      <c r="BE90" s="434"/>
      <c r="BF90" s="433"/>
      <c r="BG90" s="434"/>
      <c r="BH90" s="433"/>
      <c r="BI90" s="434"/>
      <c r="BJ90" s="433"/>
      <c r="BK90" s="434"/>
      <c r="BL90" s="433"/>
      <c r="BM90" s="434"/>
      <c r="BN90" s="433"/>
      <c r="BO90" s="434"/>
      <c r="BP90" s="433"/>
      <c r="BQ90" s="434"/>
      <c r="BR90" s="433"/>
      <c r="BS90" s="434"/>
      <c r="BT90" s="433"/>
      <c r="BU90" s="434"/>
      <c r="BV90" s="433"/>
      <c r="BW90" s="434"/>
      <c r="BX90" s="433"/>
      <c r="BY90" s="434"/>
      <c r="BZ90" s="433"/>
      <c r="CA90" s="434"/>
      <c r="CB90" s="433"/>
      <c r="CC90" s="434"/>
      <c r="CD90" s="433"/>
      <c r="CE90" s="434"/>
      <c r="CF90" s="433"/>
      <c r="CG90" s="434"/>
      <c r="CH90" s="433"/>
      <c r="CI90" s="434"/>
      <c r="CJ90" s="433"/>
      <c r="CK90" s="434"/>
      <c r="CL90" s="433"/>
      <c r="CM90" s="434"/>
      <c r="CN90" s="433"/>
      <c r="CO90" s="434"/>
      <c r="CP90" s="433"/>
      <c r="CQ90" s="434"/>
      <c r="CR90" s="433"/>
      <c r="CS90" s="434"/>
      <c r="CT90" s="145"/>
      <c r="CU90" s="433"/>
      <c r="CV90" s="434"/>
      <c r="CW90" s="433"/>
      <c r="CX90" s="434"/>
      <c r="CY90" s="433"/>
      <c r="CZ90" s="434"/>
      <c r="DA90" s="433"/>
      <c r="DB90" s="434"/>
      <c r="DC90" s="433"/>
      <c r="DD90" s="434"/>
      <c r="DE90" s="433"/>
      <c r="DF90" s="434"/>
      <c r="DG90" s="433"/>
      <c r="DH90" s="434"/>
      <c r="DI90" s="433"/>
      <c r="DJ90" s="434"/>
      <c r="DK90" s="433"/>
      <c r="DL90" s="434"/>
      <c r="DM90" s="433"/>
      <c r="DN90" s="434"/>
      <c r="DO90" s="433"/>
      <c r="DP90" s="434"/>
      <c r="DQ90" s="433"/>
      <c r="DR90" s="434"/>
      <c r="DS90" s="433"/>
      <c r="DT90" s="434"/>
      <c r="DU90" s="433"/>
      <c r="DV90" s="434"/>
      <c r="DW90" s="433"/>
      <c r="DX90" s="434"/>
      <c r="DY90" s="433"/>
      <c r="DZ90" s="434"/>
      <c r="EA90" s="433"/>
      <c r="EB90" s="434"/>
      <c r="EC90" s="433"/>
      <c r="ED90" s="434"/>
      <c r="EE90" s="433"/>
      <c r="EF90" s="434"/>
      <c r="EG90" s="433"/>
      <c r="EH90" s="434"/>
      <c r="EI90" s="433"/>
      <c r="EJ90" s="434"/>
      <c r="EK90" s="433"/>
      <c r="EL90" s="434"/>
      <c r="EM90" s="433"/>
      <c r="EN90" s="434"/>
      <c r="EO90" s="433"/>
      <c r="EP90" s="434"/>
      <c r="EQ90" s="433"/>
      <c r="ER90" s="434"/>
      <c r="ES90" s="433"/>
      <c r="ET90" s="434"/>
      <c r="EU90" s="433"/>
      <c r="EV90" s="434"/>
      <c r="EW90" s="433"/>
      <c r="EX90" s="434"/>
      <c r="EY90" s="433"/>
      <c r="EZ90" s="434"/>
      <c r="FA90" s="433"/>
      <c r="FB90" s="434"/>
      <c r="FC90" s="433"/>
      <c r="FD90" s="434"/>
      <c r="FE90" s="433"/>
      <c r="FF90" s="434"/>
      <c r="FG90" s="433"/>
      <c r="FH90" s="434"/>
      <c r="FI90" s="433"/>
      <c r="FJ90" s="434"/>
      <c r="FK90" s="433"/>
      <c r="FL90" s="434"/>
      <c r="FM90" s="433"/>
      <c r="FN90" s="434"/>
      <c r="FO90" s="433"/>
      <c r="FP90" s="434"/>
      <c r="FQ90" s="432"/>
      <c r="FR90" s="433"/>
      <c r="FS90" s="434"/>
      <c r="FT90" s="433"/>
      <c r="FU90" s="434"/>
      <c r="FV90" s="433"/>
      <c r="FW90" s="434"/>
      <c r="FX90" s="433"/>
      <c r="FY90" s="434"/>
      <c r="FZ90" s="433"/>
      <c r="GA90" s="434"/>
      <c r="GB90" s="433"/>
      <c r="GC90" s="434"/>
      <c r="GD90" s="433"/>
      <c r="GE90" s="434"/>
      <c r="GF90" s="433"/>
      <c r="GG90" s="434"/>
      <c r="GH90" s="433"/>
      <c r="GI90" s="434"/>
      <c r="GJ90" s="433"/>
      <c r="GK90" s="434"/>
      <c r="GL90" s="433"/>
      <c r="GM90" s="434"/>
      <c r="GN90" s="433"/>
      <c r="GO90" s="434"/>
      <c r="GP90" s="433"/>
      <c r="GQ90" s="434"/>
      <c r="GR90" s="433"/>
      <c r="GS90" s="434"/>
      <c r="GT90" s="433"/>
      <c r="GU90" s="434"/>
      <c r="GV90" s="433"/>
      <c r="GW90" s="434"/>
      <c r="GX90" s="433"/>
      <c r="GY90" s="434"/>
      <c r="GZ90" s="433"/>
      <c r="HA90" s="434"/>
      <c r="HB90" s="433"/>
      <c r="HC90" s="434"/>
      <c r="HD90" s="433"/>
      <c r="HE90" s="434"/>
      <c r="HF90" s="433"/>
      <c r="HG90" s="434"/>
      <c r="HH90" s="433"/>
      <c r="HI90" s="434"/>
      <c r="HJ90" s="433"/>
      <c r="HK90" s="434"/>
      <c r="HL90" s="433"/>
      <c r="HM90" s="434"/>
      <c r="HN90" s="433"/>
      <c r="HO90" s="434"/>
      <c r="HP90" s="433"/>
      <c r="HQ90" s="434"/>
      <c r="HR90" s="433"/>
      <c r="HS90" s="434"/>
      <c r="HT90" s="433"/>
      <c r="HU90" s="434"/>
      <c r="HV90" s="433"/>
      <c r="HW90" s="434"/>
      <c r="HX90" s="433"/>
      <c r="HY90" s="434"/>
      <c r="HZ90" s="433"/>
      <c r="IA90" s="434"/>
      <c r="IB90" s="433"/>
      <c r="IC90" s="434"/>
      <c r="ID90" s="433"/>
      <c r="IE90" s="434"/>
      <c r="IF90" s="433"/>
      <c r="IG90" s="434"/>
      <c r="IH90" s="433"/>
      <c r="II90" s="434"/>
      <c r="IJ90" s="433"/>
      <c r="IK90" s="434"/>
      <c r="IL90" s="433"/>
      <c r="IM90" s="434"/>
      <c r="IN90" s="433"/>
      <c r="IO90" s="434"/>
      <c r="IP90" s="433"/>
      <c r="IQ90" s="434"/>
      <c r="IR90" s="433"/>
      <c r="IS90" s="434"/>
      <c r="IT90" s="433"/>
      <c r="IU90" s="434"/>
      <c r="IV90" s="433"/>
      <c r="IW90" s="434"/>
      <c r="IX90" s="433"/>
      <c r="IY90" s="434"/>
      <c r="IZ90" s="432"/>
      <c r="JA90" s="433"/>
      <c r="JB90" s="434"/>
      <c r="JC90" s="433"/>
      <c r="JD90" s="434"/>
      <c r="JE90" s="432"/>
      <c r="JF90" s="433"/>
      <c r="JG90" s="434"/>
      <c r="JH90" s="433"/>
      <c r="JI90" s="434"/>
      <c r="JJ90" s="433"/>
      <c r="JK90" s="434"/>
      <c r="JL90" s="433"/>
      <c r="JM90" s="434"/>
      <c r="JN90" s="433"/>
      <c r="JO90" s="434"/>
      <c r="JP90" s="433"/>
      <c r="JQ90" s="434"/>
      <c r="JR90" s="433"/>
      <c r="JS90" s="434"/>
      <c r="JT90" s="433"/>
      <c r="JU90" s="434"/>
      <c r="JV90" s="433"/>
      <c r="JW90" s="434"/>
      <c r="JX90" s="433"/>
      <c r="JY90" s="434"/>
      <c r="JZ90" s="433"/>
      <c r="KA90" s="434"/>
      <c r="KB90" s="433"/>
      <c r="KC90" s="434"/>
      <c r="KD90" s="433"/>
      <c r="KE90" s="434"/>
      <c r="KF90" s="433"/>
      <c r="KG90" s="434"/>
      <c r="KH90" s="433"/>
      <c r="KI90" s="434"/>
      <c r="KJ90" s="433"/>
      <c r="KK90" s="434"/>
      <c r="KL90" s="433"/>
      <c r="KM90" s="434"/>
      <c r="KN90" s="433"/>
      <c r="KO90" s="434"/>
      <c r="KP90" s="433"/>
      <c r="KQ90" s="434"/>
      <c r="KR90" s="433"/>
      <c r="KS90" s="434"/>
      <c r="KT90" s="433"/>
      <c r="KU90" s="434"/>
      <c r="KV90" s="433"/>
      <c r="KW90" s="434"/>
      <c r="KX90" s="433"/>
      <c r="KY90" s="434"/>
      <c r="KZ90" s="433"/>
      <c r="LA90" s="434"/>
      <c r="LB90" s="433"/>
      <c r="LC90" s="434"/>
      <c r="LD90" s="433"/>
      <c r="LE90" s="434"/>
      <c r="LF90" s="433"/>
      <c r="LG90" s="434"/>
      <c r="LH90" s="433"/>
      <c r="LI90" s="434"/>
      <c r="LJ90" s="433"/>
      <c r="LK90" s="434"/>
      <c r="LL90" s="433"/>
      <c r="LM90" s="434"/>
      <c r="LN90" s="433"/>
      <c r="LO90" s="434"/>
      <c r="LP90" s="433"/>
      <c r="LQ90" s="434"/>
      <c r="LR90" s="433"/>
      <c r="LS90" s="434"/>
      <c r="LT90" s="433"/>
      <c r="LU90" s="434"/>
      <c r="LV90" s="433"/>
      <c r="LW90" s="434"/>
      <c r="LX90" s="433"/>
      <c r="LY90" s="434"/>
      <c r="LZ90" s="433"/>
      <c r="MA90" s="434"/>
      <c r="MB90" s="433"/>
      <c r="MC90" s="434"/>
      <c r="MD90" s="433"/>
      <c r="ME90" s="434"/>
      <c r="MF90" s="433"/>
      <c r="MG90" s="434"/>
      <c r="MH90" s="432"/>
      <c r="MI90" s="433"/>
      <c r="MJ90" s="434"/>
      <c r="MK90" s="433"/>
      <c r="ML90" s="434"/>
      <c r="MM90" s="433"/>
      <c r="MN90" s="434"/>
      <c r="MO90" s="433"/>
      <c r="MP90" s="434"/>
      <c r="MQ90" s="433"/>
      <c r="MR90" s="434"/>
      <c r="MS90" s="433"/>
      <c r="MT90" s="434"/>
      <c r="MU90" s="433"/>
      <c r="MV90" s="434"/>
      <c r="MW90" s="433"/>
      <c r="MX90" s="434"/>
      <c r="MY90" s="433"/>
      <c r="MZ90" s="434"/>
      <c r="NA90" s="433"/>
      <c r="NB90" s="434"/>
      <c r="NC90" s="433"/>
      <c r="ND90" s="434"/>
      <c r="NE90" s="433"/>
      <c r="NF90" s="434"/>
      <c r="NG90" s="433"/>
      <c r="NH90" s="434"/>
      <c r="NI90" s="433"/>
      <c r="NJ90" s="434"/>
      <c r="NK90" s="433"/>
      <c r="NL90" s="434"/>
      <c r="NM90" s="433"/>
      <c r="NN90" s="434"/>
      <c r="NO90" s="433"/>
      <c r="NP90" s="434"/>
      <c r="NQ90" s="433"/>
      <c r="NR90" s="434"/>
      <c r="NS90" s="433"/>
      <c r="NT90" s="434"/>
      <c r="NU90" s="433"/>
      <c r="NV90" s="434"/>
      <c r="NW90" s="433"/>
      <c r="NX90" s="434"/>
      <c r="NY90" s="433"/>
      <c r="NZ90" s="434"/>
      <c r="OA90" s="433"/>
      <c r="OB90" s="434"/>
      <c r="OC90" s="433"/>
      <c r="OD90" s="434"/>
      <c r="OE90" s="433"/>
      <c r="OF90" s="434"/>
      <c r="OG90" s="433"/>
      <c r="OH90" s="434"/>
      <c r="OI90" s="433"/>
      <c r="OJ90" s="434"/>
      <c r="OK90" s="433"/>
      <c r="OL90" s="434"/>
      <c r="OM90" s="433"/>
      <c r="ON90" s="434"/>
      <c r="OO90" s="433"/>
      <c r="OP90" s="434"/>
      <c r="OQ90" s="433"/>
      <c r="OR90" s="434"/>
      <c r="OS90" s="433"/>
      <c r="OT90" s="434"/>
      <c r="OU90" s="433"/>
      <c r="OV90" s="434"/>
      <c r="OW90" s="433"/>
      <c r="OX90" s="434"/>
      <c r="OY90" s="433"/>
      <c r="OZ90" s="434"/>
      <c r="PA90" s="433"/>
      <c r="PB90" s="434"/>
      <c r="PC90" s="433"/>
      <c r="PD90" s="434"/>
      <c r="PE90" s="433"/>
      <c r="PF90" s="434"/>
      <c r="PG90" s="433"/>
      <c r="PH90" s="434"/>
      <c r="PI90" s="433"/>
      <c r="PJ90" s="434"/>
      <c r="PK90" s="433"/>
      <c r="PL90" s="434"/>
      <c r="PM90" s="433"/>
      <c r="PN90" s="434"/>
      <c r="PO90" s="433"/>
      <c r="PP90" s="434"/>
      <c r="PR90" s="433"/>
      <c r="PS90" s="434"/>
      <c r="PT90" s="433"/>
      <c r="PU90" s="434"/>
      <c r="PV90" s="433"/>
      <c r="PW90" s="434"/>
      <c r="PX90" s="433"/>
      <c r="PY90" s="434"/>
      <c r="PZ90" s="433"/>
      <c r="QA90" s="434"/>
      <c r="QB90" s="433"/>
      <c r="QC90" s="434"/>
      <c r="QF90" s="433"/>
      <c r="QG90" s="434"/>
      <c r="QH90" s="433"/>
      <c r="QI90" s="434"/>
      <c r="QJ90" s="433"/>
      <c r="QK90" s="434"/>
      <c r="QL90" s="433"/>
      <c r="QM90" s="434"/>
      <c r="QN90" s="433"/>
      <c r="QO90" s="434"/>
      <c r="QP90" s="433"/>
      <c r="QQ90" s="434"/>
    </row>
    <row r="91" spans="1:459" x14ac:dyDescent="0.45">
      <c r="A91" s="871"/>
      <c r="B91" s="174" t="s">
        <v>393</v>
      </c>
      <c r="C91" s="175"/>
      <c r="D91" s="176" t="s">
        <v>353</v>
      </c>
      <c r="E91" s="435"/>
      <c r="F91" s="433"/>
      <c r="G91" s="436">
        <f>G57</f>
        <v>2.1</v>
      </c>
      <c r="H91" s="433"/>
      <c r="I91" s="436">
        <f>I57</f>
        <v>2.1</v>
      </c>
      <c r="J91" s="433"/>
      <c r="K91" s="436">
        <f>K57</f>
        <v>0.95</v>
      </c>
      <c r="L91" s="433"/>
      <c r="M91" s="436">
        <f>M57</f>
        <v>0.95</v>
      </c>
      <c r="N91" s="433"/>
      <c r="O91" s="436">
        <f>O57</f>
        <v>0.6</v>
      </c>
      <c r="P91" s="433"/>
      <c r="Q91" s="436">
        <f>Q57</f>
        <v>0.3</v>
      </c>
      <c r="R91" s="433"/>
      <c r="S91" s="436">
        <f>S57</f>
        <v>0.3</v>
      </c>
      <c r="T91" s="433"/>
      <c r="U91" s="436">
        <f>U57</f>
        <v>0.2</v>
      </c>
      <c r="V91" s="433"/>
      <c r="W91" s="436">
        <f>W57</f>
        <v>0.2</v>
      </c>
      <c r="X91" s="433"/>
      <c r="Y91" s="436">
        <f>Y57</f>
        <v>0.1</v>
      </c>
      <c r="Z91" s="433"/>
      <c r="AA91" s="436">
        <f>AA57</f>
        <v>0.3</v>
      </c>
      <c r="AB91" s="433"/>
      <c r="AC91" s="436">
        <f>AC57</f>
        <v>0.3</v>
      </c>
      <c r="AD91" s="433"/>
      <c r="AE91" s="436">
        <f>AE57</f>
        <v>0.1</v>
      </c>
      <c r="AF91" s="433"/>
      <c r="AG91" s="436">
        <f>AG57</f>
        <v>0.1</v>
      </c>
      <c r="AH91" s="433"/>
      <c r="AI91" s="436">
        <f>AI57</f>
        <v>0.1</v>
      </c>
      <c r="AJ91" s="433"/>
      <c r="AK91" s="436">
        <f>AK57</f>
        <v>0.1</v>
      </c>
      <c r="AL91" s="433"/>
      <c r="AM91" s="436">
        <f>AM57</f>
        <v>0.1</v>
      </c>
      <c r="AN91" s="433"/>
      <c r="AO91" s="436">
        <f>AO57</f>
        <v>0.1</v>
      </c>
      <c r="AP91" s="433"/>
      <c r="AQ91" s="436">
        <f>AQ57</f>
        <v>0.1</v>
      </c>
      <c r="AR91" s="433"/>
      <c r="AS91" s="436">
        <f>AS57</f>
        <v>0.1</v>
      </c>
      <c r="AT91" s="433"/>
      <c r="AU91" s="436">
        <f>AU57</f>
        <v>0.1</v>
      </c>
      <c r="AV91" s="433"/>
      <c r="AW91" s="436">
        <f>AW57</f>
        <v>0.1</v>
      </c>
      <c r="AX91" s="433"/>
      <c r="AY91" s="436">
        <f>AY57</f>
        <v>0.1</v>
      </c>
      <c r="AZ91" s="433"/>
      <c r="BA91" s="436">
        <f>BA57</f>
        <v>0.1</v>
      </c>
      <c r="BB91" s="433"/>
      <c r="BC91" s="436">
        <f>BC57</f>
        <v>0.1</v>
      </c>
      <c r="BD91" s="433"/>
      <c r="BE91" s="436">
        <f>BE57</f>
        <v>0.1</v>
      </c>
      <c r="BF91" s="433"/>
      <c r="BG91" s="436">
        <f>BG57</f>
        <v>0.1</v>
      </c>
      <c r="BH91" s="433"/>
      <c r="BI91" s="436">
        <f>BI57</f>
        <v>0.1</v>
      </c>
      <c r="BJ91" s="433"/>
      <c r="BK91" s="436">
        <f>BK57</f>
        <v>0.1</v>
      </c>
      <c r="BL91" s="433"/>
      <c r="BM91" s="436">
        <f>BM57</f>
        <v>0.1</v>
      </c>
      <c r="BN91" s="433"/>
      <c r="BO91" s="436">
        <f>BO57</f>
        <v>0.1</v>
      </c>
      <c r="BP91" s="433"/>
      <c r="BQ91" s="436">
        <f>BQ57</f>
        <v>0.1</v>
      </c>
      <c r="BR91" s="433"/>
      <c r="BS91" s="436">
        <f>BS57</f>
        <v>0.1</v>
      </c>
      <c r="BT91" s="433"/>
      <c r="BU91" s="436">
        <f>BU57</f>
        <v>0.1</v>
      </c>
      <c r="BV91" s="433"/>
      <c r="BW91" s="436">
        <f>BW57</f>
        <v>0.1</v>
      </c>
      <c r="BX91" s="433"/>
      <c r="BY91" s="436">
        <f>BY57</f>
        <v>0.1</v>
      </c>
      <c r="BZ91" s="433"/>
      <c r="CA91" s="436">
        <f>CA57</f>
        <v>0.1</v>
      </c>
      <c r="CB91" s="433"/>
      <c r="CC91" s="436">
        <f>CC57</f>
        <v>0.1</v>
      </c>
      <c r="CD91" s="433"/>
      <c r="CE91" s="436">
        <f>CE57</f>
        <v>0.1</v>
      </c>
      <c r="CF91" s="433"/>
      <c r="CG91" s="436">
        <f>CG57</f>
        <v>0.1</v>
      </c>
      <c r="CH91" s="433"/>
      <c r="CI91" s="436">
        <f>CI57</f>
        <v>0.1</v>
      </c>
      <c r="CJ91" s="433"/>
      <c r="CK91" s="436">
        <f>CK57</f>
        <v>0.1</v>
      </c>
      <c r="CL91" s="433"/>
      <c r="CM91" s="436">
        <f>CM57</f>
        <v>0.1</v>
      </c>
      <c r="CN91" s="433"/>
      <c r="CO91" s="436">
        <f>CO57</f>
        <v>0.1</v>
      </c>
      <c r="CP91" s="433"/>
      <c r="CQ91" s="436">
        <f>CQ57</f>
        <v>0.1</v>
      </c>
      <c r="CR91" s="433"/>
      <c r="CS91" s="436">
        <f>CS57</f>
        <v>0.1</v>
      </c>
      <c r="CT91" s="136"/>
      <c r="CU91" s="433"/>
      <c r="CV91" s="436">
        <f>CV57</f>
        <v>0.8</v>
      </c>
      <c r="CW91" s="433"/>
      <c r="CX91" s="436">
        <f>CX57</f>
        <v>0.8</v>
      </c>
      <c r="CY91" s="433"/>
      <c r="CZ91" s="436">
        <f>CZ57</f>
        <v>0.8</v>
      </c>
      <c r="DA91" s="433"/>
      <c r="DB91" s="436">
        <f>DB57</f>
        <v>0.8</v>
      </c>
      <c r="DC91" s="433"/>
      <c r="DD91" s="436">
        <f>DD57</f>
        <v>0.45</v>
      </c>
      <c r="DE91" s="433"/>
      <c r="DF91" s="436">
        <f>DF57</f>
        <v>0.45</v>
      </c>
      <c r="DG91" s="433"/>
      <c r="DH91" s="436">
        <f>DH57</f>
        <v>0.45</v>
      </c>
      <c r="DI91" s="433"/>
      <c r="DJ91" s="436">
        <f>DJ57</f>
        <v>0.45</v>
      </c>
      <c r="DK91" s="433"/>
      <c r="DL91" s="436">
        <f>DL57</f>
        <v>0.45</v>
      </c>
      <c r="DM91" s="433"/>
      <c r="DN91" s="436">
        <f>DN57</f>
        <v>0.45</v>
      </c>
      <c r="DO91" s="433"/>
      <c r="DP91" s="436">
        <f>DP57</f>
        <v>0.45</v>
      </c>
      <c r="DQ91" s="433"/>
      <c r="DR91" s="436">
        <f>DR57</f>
        <v>0.45</v>
      </c>
      <c r="DS91" s="433"/>
      <c r="DT91" s="436">
        <f>DT57</f>
        <v>0.45</v>
      </c>
      <c r="DU91" s="433"/>
      <c r="DV91" s="436">
        <f>DV57</f>
        <v>0.45</v>
      </c>
      <c r="DW91" s="433"/>
      <c r="DX91" s="436">
        <f>DX57</f>
        <v>0.45</v>
      </c>
      <c r="DY91" s="433"/>
      <c r="DZ91" s="436">
        <f>DZ57</f>
        <v>0.45</v>
      </c>
      <c r="EA91" s="433"/>
      <c r="EB91" s="436">
        <f>EB57</f>
        <v>0.45</v>
      </c>
      <c r="EC91" s="433"/>
      <c r="ED91" s="436">
        <f>ED57</f>
        <v>0.45</v>
      </c>
      <c r="EE91" s="433"/>
      <c r="EF91" s="436">
        <f>EF57</f>
        <v>0.45</v>
      </c>
      <c r="EG91" s="433"/>
      <c r="EH91" s="436">
        <f>EH57</f>
        <v>0.45</v>
      </c>
      <c r="EI91" s="433"/>
      <c r="EJ91" s="436">
        <f>EJ57</f>
        <v>0.45</v>
      </c>
      <c r="EK91" s="433"/>
      <c r="EL91" s="436">
        <f>EL57</f>
        <v>0.45</v>
      </c>
      <c r="EM91" s="433"/>
      <c r="EN91" s="436">
        <f>EN57</f>
        <v>0.45</v>
      </c>
      <c r="EO91" s="433"/>
      <c r="EP91" s="436">
        <f>EP57</f>
        <v>0.45</v>
      </c>
      <c r="EQ91" s="433"/>
      <c r="ER91" s="436">
        <f>ER57</f>
        <v>0.45</v>
      </c>
      <c r="ES91" s="433"/>
      <c r="ET91" s="436">
        <f>ET57</f>
        <v>0.45</v>
      </c>
      <c r="EU91" s="433"/>
      <c r="EV91" s="436">
        <f>EV57</f>
        <v>0.45</v>
      </c>
      <c r="EW91" s="433"/>
      <c r="EX91" s="436">
        <f>EX57</f>
        <v>0.45</v>
      </c>
      <c r="EY91" s="433"/>
      <c r="EZ91" s="436">
        <f>EZ57</f>
        <v>0.45</v>
      </c>
      <c r="FA91" s="433"/>
      <c r="FB91" s="436">
        <f>FB57</f>
        <v>0.45</v>
      </c>
      <c r="FC91" s="433"/>
      <c r="FD91" s="436">
        <f>FD57</f>
        <v>0.45</v>
      </c>
      <c r="FE91" s="433"/>
      <c r="FF91" s="436">
        <f>FF57</f>
        <v>0.45</v>
      </c>
      <c r="FG91" s="433"/>
      <c r="FH91" s="436">
        <f>FH57</f>
        <v>0.45</v>
      </c>
      <c r="FI91" s="433"/>
      <c r="FJ91" s="436">
        <f>FJ57</f>
        <v>0.45</v>
      </c>
      <c r="FK91" s="433"/>
      <c r="FL91" s="436">
        <f>FL57</f>
        <v>0.45</v>
      </c>
      <c r="FM91" s="433"/>
      <c r="FN91" s="436">
        <f>FN57</f>
        <v>0.45</v>
      </c>
      <c r="FO91" s="433"/>
      <c r="FP91" s="436">
        <f>FP57</f>
        <v>0.45</v>
      </c>
      <c r="FQ91" s="435"/>
      <c r="FR91" s="433"/>
      <c r="FS91" s="436">
        <f>FS57</f>
        <v>0.95</v>
      </c>
      <c r="FT91" s="433"/>
      <c r="FU91" s="436">
        <f>FU57</f>
        <v>0.6</v>
      </c>
      <c r="FV91" s="433"/>
      <c r="FW91" s="436">
        <f>FW57</f>
        <v>0.3</v>
      </c>
      <c r="FX91" s="433"/>
      <c r="FY91" s="436">
        <f>FY57</f>
        <v>0.3</v>
      </c>
      <c r="FZ91" s="433"/>
      <c r="GA91" s="436">
        <f>GA57</f>
        <v>0.2</v>
      </c>
      <c r="GB91" s="433"/>
      <c r="GC91" s="436">
        <f>GC57</f>
        <v>0.2</v>
      </c>
      <c r="GD91" s="433"/>
      <c r="GE91" s="436">
        <f>GE57</f>
        <v>0.1</v>
      </c>
      <c r="GF91" s="433"/>
      <c r="GG91" s="436">
        <f>GG57</f>
        <v>0.3</v>
      </c>
      <c r="GH91" s="433"/>
      <c r="GI91" s="436">
        <f>GI57</f>
        <v>0.3</v>
      </c>
      <c r="GJ91" s="433"/>
      <c r="GK91" s="436">
        <f>GK57</f>
        <v>0.3</v>
      </c>
      <c r="GL91" s="433"/>
      <c r="GM91" s="436">
        <f>GM57</f>
        <v>0.3</v>
      </c>
      <c r="GN91" s="433"/>
      <c r="GO91" s="436">
        <f>GO57</f>
        <v>0.3</v>
      </c>
      <c r="GP91" s="433"/>
      <c r="GQ91" s="436">
        <f>GQ57</f>
        <v>0.3</v>
      </c>
      <c r="GR91" s="433"/>
      <c r="GS91" s="436">
        <f>GS57</f>
        <v>0.3</v>
      </c>
      <c r="GT91" s="433"/>
      <c r="GU91" s="436">
        <f>GU57</f>
        <v>0.3</v>
      </c>
      <c r="GV91" s="433"/>
      <c r="GW91" s="436">
        <f>GW57</f>
        <v>0.3</v>
      </c>
      <c r="GX91" s="433"/>
      <c r="GY91" s="436">
        <f>GY57</f>
        <v>0.3</v>
      </c>
      <c r="GZ91" s="433"/>
      <c r="HA91" s="436">
        <f>HA57</f>
        <v>0.3</v>
      </c>
      <c r="HB91" s="433"/>
      <c r="HC91" s="436">
        <f>HC57</f>
        <v>0.3</v>
      </c>
      <c r="HD91" s="433"/>
      <c r="HE91" s="436">
        <f>HE57</f>
        <v>0.3</v>
      </c>
      <c r="HF91" s="433"/>
      <c r="HG91" s="436">
        <f>HG57</f>
        <v>0.3</v>
      </c>
      <c r="HH91" s="433"/>
      <c r="HI91" s="436">
        <f>HI57</f>
        <v>0.3</v>
      </c>
      <c r="HJ91" s="433"/>
      <c r="HK91" s="436">
        <f>HK57</f>
        <v>0.3</v>
      </c>
      <c r="HL91" s="433"/>
      <c r="HM91" s="436">
        <f>HM57</f>
        <v>0.3</v>
      </c>
      <c r="HN91" s="433"/>
      <c r="HO91" s="436">
        <f>HO57</f>
        <v>0.3</v>
      </c>
      <c r="HP91" s="433"/>
      <c r="HQ91" s="436">
        <f>HQ57</f>
        <v>0.3</v>
      </c>
      <c r="HR91" s="433"/>
      <c r="HS91" s="436">
        <f>HS57</f>
        <v>0.3</v>
      </c>
      <c r="HT91" s="433"/>
      <c r="HU91" s="436">
        <f>HU57</f>
        <v>0.3</v>
      </c>
      <c r="HV91" s="433"/>
      <c r="HW91" s="436">
        <f>HW57</f>
        <v>0.3</v>
      </c>
      <c r="HX91" s="433"/>
      <c r="HY91" s="436">
        <f>HY57</f>
        <v>0.3</v>
      </c>
      <c r="HZ91" s="433"/>
      <c r="IA91" s="436">
        <f>IA57</f>
        <v>0.3</v>
      </c>
      <c r="IB91" s="433"/>
      <c r="IC91" s="436">
        <f>IC57</f>
        <v>0.3</v>
      </c>
      <c r="ID91" s="433"/>
      <c r="IE91" s="436">
        <f>IE57</f>
        <v>0.3</v>
      </c>
      <c r="IF91" s="433"/>
      <c r="IG91" s="436">
        <f>IG57</f>
        <v>0.3</v>
      </c>
      <c r="IH91" s="433"/>
      <c r="II91" s="436">
        <f>II57</f>
        <v>0.3</v>
      </c>
      <c r="IJ91" s="433"/>
      <c r="IK91" s="436">
        <f>IK57</f>
        <v>0.3</v>
      </c>
      <c r="IL91" s="433"/>
      <c r="IM91" s="436">
        <f>IM57</f>
        <v>0.3</v>
      </c>
      <c r="IN91" s="433"/>
      <c r="IO91" s="436">
        <f>IO57</f>
        <v>0.3</v>
      </c>
      <c r="IP91" s="433"/>
      <c r="IQ91" s="436">
        <f>IQ57</f>
        <v>0.3</v>
      </c>
      <c r="IR91" s="433"/>
      <c r="IS91" s="436">
        <f>IS57</f>
        <v>0.3</v>
      </c>
      <c r="IT91" s="433"/>
      <c r="IU91" s="436">
        <f>IU57</f>
        <v>0.3</v>
      </c>
      <c r="IV91" s="433"/>
      <c r="IW91" s="436">
        <f>IW57</f>
        <v>0.3</v>
      </c>
      <c r="IX91" s="433"/>
      <c r="IY91" s="436">
        <f>IY57</f>
        <v>0.3</v>
      </c>
      <c r="IZ91" s="435"/>
      <c r="JA91" s="433"/>
      <c r="JB91" s="436">
        <f>JB57</f>
        <v>0.3</v>
      </c>
      <c r="JC91" s="433"/>
      <c r="JD91" s="436">
        <f>JD57</f>
        <v>0.3</v>
      </c>
      <c r="JE91" s="435"/>
      <c r="JF91" s="433"/>
      <c r="JG91" s="436">
        <f>JG57</f>
        <v>0.7</v>
      </c>
      <c r="JH91" s="433"/>
      <c r="JI91" s="436">
        <f>JI57</f>
        <v>0.35</v>
      </c>
      <c r="JJ91" s="433"/>
      <c r="JK91" s="436">
        <f>JK57</f>
        <v>0.1</v>
      </c>
      <c r="JL91" s="433"/>
      <c r="JM91" s="436">
        <f>JM57</f>
        <v>0.1</v>
      </c>
      <c r="JN91" s="433"/>
      <c r="JO91" s="436">
        <f>JO57</f>
        <v>0.1</v>
      </c>
      <c r="JP91" s="433"/>
      <c r="JQ91" s="436">
        <f>JQ57</f>
        <v>0.1</v>
      </c>
      <c r="JR91" s="433"/>
      <c r="JS91" s="436">
        <f>JS57</f>
        <v>0.1</v>
      </c>
      <c r="JT91" s="433"/>
      <c r="JU91" s="436">
        <f>JU57</f>
        <v>0.1</v>
      </c>
      <c r="JV91" s="433"/>
      <c r="JW91" s="436">
        <f>JW57</f>
        <v>0.1</v>
      </c>
      <c r="JX91" s="433"/>
      <c r="JY91" s="436">
        <f>JY57</f>
        <v>0.1</v>
      </c>
      <c r="JZ91" s="433"/>
      <c r="KA91" s="436">
        <f>KA57</f>
        <v>0.1</v>
      </c>
      <c r="KB91" s="433"/>
      <c r="KC91" s="436">
        <f>KC57</f>
        <v>0.1</v>
      </c>
      <c r="KD91" s="433"/>
      <c r="KE91" s="436">
        <f>KE57</f>
        <v>0.1</v>
      </c>
      <c r="KF91" s="433"/>
      <c r="KG91" s="436">
        <f>KG57</f>
        <v>0.1</v>
      </c>
      <c r="KH91" s="433"/>
      <c r="KI91" s="436">
        <f>KI57</f>
        <v>0.1</v>
      </c>
      <c r="KJ91" s="433"/>
      <c r="KK91" s="436">
        <f>KK57</f>
        <v>0.1</v>
      </c>
      <c r="KL91" s="433"/>
      <c r="KM91" s="436">
        <f>KM57</f>
        <v>0.1</v>
      </c>
      <c r="KN91" s="433"/>
      <c r="KO91" s="436">
        <f>KO57</f>
        <v>0.1</v>
      </c>
      <c r="KP91" s="433"/>
      <c r="KQ91" s="436">
        <f>KQ57</f>
        <v>0.1</v>
      </c>
      <c r="KR91" s="433"/>
      <c r="KS91" s="436">
        <f>KS57</f>
        <v>0.1</v>
      </c>
      <c r="KT91" s="433"/>
      <c r="KU91" s="436">
        <f>KU57</f>
        <v>0.1</v>
      </c>
      <c r="KV91" s="433"/>
      <c r="KW91" s="436">
        <f>KW57</f>
        <v>0.1</v>
      </c>
      <c r="KX91" s="433"/>
      <c r="KY91" s="436">
        <f>KY57</f>
        <v>0.1</v>
      </c>
      <c r="KZ91" s="433"/>
      <c r="LA91" s="436">
        <f>LA57</f>
        <v>0.1</v>
      </c>
      <c r="LB91" s="433"/>
      <c r="LC91" s="436">
        <f>LC57</f>
        <v>0.1</v>
      </c>
      <c r="LD91" s="433"/>
      <c r="LE91" s="436">
        <f>LE57</f>
        <v>0.1</v>
      </c>
      <c r="LF91" s="433"/>
      <c r="LG91" s="436">
        <f>LG57</f>
        <v>0.1</v>
      </c>
      <c r="LH91" s="433"/>
      <c r="LI91" s="436">
        <f>LI57</f>
        <v>0.1</v>
      </c>
      <c r="LJ91" s="433"/>
      <c r="LK91" s="436">
        <f>LK57</f>
        <v>0.1</v>
      </c>
      <c r="LL91" s="433"/>
      <c r="LM91" s="436">
        <f>LM57</f>
        <v>0.1</v>
      </c>
      <c r="LN91" s="433"/>
      <c r="LO91" s="436">
        <f>LO57</f>
        <v>0.1</v>
      </c>
      <c r="LP91" s="433"/>
      <c r="LQ91" s="436">
        <f>LQ57</f>
        <v>0.1</v>
      </c>
      <c r="LR91" s="433"/>
      <c r="LS91" s="436">
        <f>LS57</f>
        <v>0.1</v>
      </c>
      <c r="LT91" s="433"/>
      <c r="LU91" s="436">
        <f>LU57</f>
        <v>0.1</v>
      </c>
      <c r="LV91" s="433"/>
      <c r="LW91" s="436">
        <f>LW57</f>
        <v>0.1</v>
      </c>
      <c r="LX91" s="433"/>
      <c r="LY91" s="436">
        <f>LY57</f>
        <v>0.1</v>
      </c>
      <c r="LZ91" s="433"/>
      <c r="MA91" s="436">
        <f>MA57</f>
        <v>0.1</v>
      </c>
      <c r="MB91" s="433"/>
      <c r="MC91" s="436">
        <f>MC57</f>
        <v>0.1</v>
      </c>
      <c r="MD91" s="433"/>
      <c r="ME91" s="436">
        <f>ME57</f>
        <v>0.1</v>
      </c>
      <c r="MF91" s="433"/>
      <c r="MG91" s="436">
        <f>MG57</f>
        <v>0.1</v>
      </c>
      <c r="MH91" s="435"/>
      <c r="MI91" s="433"/>
      <c r="MJ91" s="436">
        <f>MJ57</f>
        <v>1.45</v>
      </c>
      <c r="MK91" s="433"/>
      <c r="ML91" s="436">
        <f>ML57</f>
        <v>1.25</v>
      </c>
      <c r="MM91" s="433"/>
      <c r="MN91" s="436">
        <f>MN57</f>
        <v>1</v>
      </c>
      <c r="MO91" s="433"/>
      <c r="MP91" s="436">
        <f>MP57</f>
        <v>1</v>
      </c>
      <c r="MQ91" s="433"/>
      <c r="MR91" s="436">
        <f>MR57</f>
        <v>1</v>
      </c>
      <c r="MS91" s="433"/>
      <c r="MT91" s="436">
        <f>MT57</f>
        <v>1</v>
      </c>
      <c r="MU91" s="433"/>
      <c r="MV91" s="436">
        <f>MV57</f>
        <v>1</v>
      </c>
      <c r="MW91" s="433"/>
      <c r="MX91" s="436">
        <f>MX57</f>
        <v>0.6</v>
      </c>
      <c r="MY91" s="433"/>
      <c r="MZ91" s="436">
        <f>MZ57</f>
        <v>0.6</v>
      </c>
      <c r="NA91" s="433"/>
      <c r="NB91" s="436">
        <f>NB57</f>
        <v>0.6</v>
      </c>
      <c r="NC91" s="433"/>
      <c r="ND91" s="436">
        <f>ND57</f>
        <v>0.6</v>
      </c>
      <c r="NE91" s="433"/>
      <c r="NF91" s="436">
        <f>NF57</f>
        <v>0.6</v>
      </c>
      <c r="NG91" s="433"/>
      <c r="NH91" s="436">
        <f>NH57</f>
        <v>0.6</v>
      </c>
      <c r="NI91" s="433"/>
      <c r="NJ91" s="436">
        <f>NJ57</f>
        <v>0.6</v>
      </c>
      <c r="NK91" s="433"/>
      <c r="NL91" s="436">
        <f>NL57</f>
        <v>0.6</v>
      </c>
      <c r="NM91" s="433"/>
      <c r="NN91" s="436">
        <f>NN57</f>
        <v>0.6</v>
      </c>
      <c r="NO91" s="433"/>
      <c r="NP91" s="436">
        <f>NP57</f>
        <v>0.6</v>
      </c>
      <c r="NQ91" s="433"/>
      <c r="NR91" s="436">
        <f>NR57</f>
        <v>0.6</v>
      </c>
      <c r="NS91" s="433"/>
      <c r="NT91" s="436">
        <f>NT57</f>
        <v>0.6</v>
      </c>
      <c r="NU91" s="433"/>
      <c r="NV91" s="436">
        <f>NV57</f>
        <v>0.6</v>
      </c>
      <c r="NW91" s="433"/>
      <c r="NX91" s="436">
        <f>NX57</f>
        <v>0.6</v>
      </c>
      <c r="NY91" s="433"/>
      <c r="NZ91" s="436">
        <f>NZ57</f>
        <v>0.6</v>
      </c>
      <c r="OA91" s="433"/>
      <c r="OB91" s="436">
        <f>OB57</f>
        <v>0.6</v>
      </c>
      <c r="OC91" s="433"/>
      <c r="OD91" s="436">
        <f>OD57</f>
        <v>0.6</v>
      </c>
      <c r="OE91" s="433"/>
      <c r="OF91" s="436">
        <f>OF57</f>
        <v>0.6</v>
      </c>
      <c r="OG91" s="433"/>
      <c r="OH91" s="436">
        <f>OH57</f>
        <v>0.6</v>
      </c>
      <c r="OI91" s="433"/>
      <c r="OJ91" s="436">
        <f>OJ57</f>
        <v>0.6</v>
      </c>
      <c r="OK91" s="433"/>
      <c r="OL91" s="436">
        <f>OL57</f>
        <v>0.6</v>
      </c>
      <c r="OM91" s="433"/>
      <c r="ON91" s="436">
        <f>ON57</f>
        <v>0.6</v>
      </c>
      <c r="OO91" s="433"/>
      <c r="OP91" s="436">
        <f>OP57</f>
        <v>0.6</v>
      </c>
      <c r="OQ91" s="433"/>
      <c r="OR91" s="436">
        <f>OR57</f>
        <v>0.6</v>
      </c>
      <c r="OS91" s="433"/>
      <c r="OT91" s="436">
        <f>OT57</f>
        <v>0.6</v>
      </c>
      <c r="OU91" s="433"/>
      <c r="OV91" s="436">
        <f>OV57</f>
        <v>0.6</v>
      </c>
      <c r="OW91" s="433"/>
      <c r="OX91" s="436">
        <f>OX57</f>
        <v>0.6</v>
      </c>
      <c r="OY91" s="433"/>
      <c r="OZ91" s="436">
        <f>OZ57</f>
        <v>0.6</v>
      </c>
      <c r="PA91" s="433"/>
      <c r="PB91" s="436">
        <f>PB57</f>
        <v>0.6</v>
      </c>
      <c r="PC91" s="433"/>
      <c r="PD91" s="436">
        <f>PD57</f>
        <v>0.6</v>
      </c>
      <c r="PE91" s="433"/>
      <c r="PF91" s="436">
        <f>PF57</f>
        <v>0.6</v>
      </c>
      <c r="PG91" s="433"/>
      <c r="PH91" s="436">
        <f>PH57</f>
        <v>0.6</v>
      </c>
      <c r="PI91" s="433"/>
      <c r="PJ91" s="436">
        <f>PJ57</f>
        <v>0.6</v>
      </c>
      <c r="PK91" s="433"/>
      <c r="PL91" s="436">
        <f>PL57</f>
        <v>0.6</v>
      </c>
      <c r="PM91" s="433"/>
      <c r="PN91" s="436">
        <f>PN57</f>
        <v>0.6</v>
      </c>
      <c r="PO91" s="433"/>
      <c r="PP91" s="436">
        <f>PP57</f>
        <v>0.6</v>
      </c>
      <c r="PR91" s="433"/>
      <c r="PS91" s="436">
        <f>PS57</f>
        <v>0.5</v>
      </c>
      <c r="PT91" s="433"/>
      <c r="PU91" s="436">
        <f>PU57</f>
        <v>0.5</v>
      </c>
      <c r="PV91" s="433"/>
      <c r="PW91" s="436">
        <f>PW57</f>
        <v>0.5</v>
      </c>
      <c r="PX91" s="433"/>
      <c r="PY91" s="436">
        <f>PY57</f>
        <v>0.5</v>
      </c>
      <c r="PZ91" s="433"/>
      <c r="QA91" s="436">
        <f>QA57</f>
        <v>0.5</v>
      </c>
      <c r="QB91" s="433"/>
      <c r="QC91" s="436">
        <f>QC57</f>
        <v>0.5</v>
      </c>
      <c r="QF91" s="433"/>
      <c r="QG91" s="436">
        <f>QG57</f>
        <v>0.5</v>
      </c>
      <c r="QH91" s="433"/>
      <c r="QI91" s="436">
        <f>QI57</f>
        <v>0.5</v>
      </c>
      <c r="QJ91" s="433"/>
      <c r="QK91" s="436">
        <f>QK57</f>
        <v>0.5</v>
      </c>
      <c r="QL91" s="433"/>
      <c r="QM91" s="436">
        <f>QM57</f>
        <v>0.5</v>
      </c>
      <c r="QN91" s="433"/>
      <c r="QO91" s="436">
        <f>QO57</f>
        <v>0.5</v>
      </c>
      <c r="QP91" s="433"/>
      <c r="QQ91" s="436">
        <f>QQ57</f>
        <v>0.5</v>
      </c>
    </row>
    <row r="92" spans="1:459" x14ac:dyDescent="0.45">
      <c r="A92" s="871"/>
      <c r="B92" s="174" t="s">
        <v>394</v>
      </c>
      <c r="C92" s="175"/>
      <c r="D92" s="437"/>
      <c r="E92" s="435"/>
      <c r="F92" s="433"/>
      <c r="G92" s="436">
        <f>G70-G85</f>
        <v>-1.6035443647283567</v>
      </c>
      <c r="H92" s="433"/>
      <c r="I92" s="436">
        <f>I70-I85</f>
        <v>-0.10354436472835626</v>
      </c>
      <c r="J92" s="433"/>
      <c r="K92" s="436">
        <f>K70-K85</f>
        <v>1.2733909208568441</v>
      </c>
      <c r="L92" s="433"/>
      <c r="M92" s="436">
        <f>M70-M85</f>
        <v>1.2733909208568441</v>
      </c>
      <c r="N92" s="433"/>
      <c r="O92" s="436">
        <f>O70-O85</f>
        <v>1.5106418474243446</v>
      </c>
      <c r="P92" s="433"/>
      <c r="Q92" s="436">
        <f>Q70-Q85</f>
        <v>1.7048369160965597</v>
      </c>
      <c r="R92" s="433"/>
      <c r="S92" s="436">
        <f>S70-S85</f>
        <v>1.4291271310623532</v>
      </c>
      <c r="T92" s="433"/>
      <c r="U92" s="436">
        <f>U70-U85</f>
        <v>1.6291271310623534</v>
      </c>
      <c r="V92" s="433"/>
      <c r="W92" s="436">
        <f>W70-W85</f>
        <v>1.6291271310623534</v>
      </c>
      <c r="X92" s="433"/>
      <c r="Y92" s="436">
        <f>Y70-Y85</f>
        <v>1.6291271310623534</v>
      </c>
      <c r="Z92" s="433"/>
      <c r="AA92" s="436">
        <f>AA70-AA85</f>
        <v>1.6131891790968833</v>
      </c>
      <c r="AB92" s="433"/>
      <c r="AC92" s="436">
        <f>AC70-AC85</f>
        <v>1.2667832167832174</v>
      </c>
      <c r="AD92" s="433"/>
      <c r="AE92" s="436">
        <f>AE70-AE85</f>
        <v>1.4079310344827585</v>
      </c>
      <c r="AF92" s="433"/>
      <c r="AG92" s="436">
        <f>AG70-AG85</f>
        <v>2.3728016608552167</v>
      </c>
      <c r="AH92" s="433"/>
      <c r="AI92" s="436">
        <f>AI70-AI85</f>
        <v>2.2222580645161294</v>
      </c>
      <c r="AJ92" s="433"/>
      <c r="AK92" s="436">
        <f>AK70-AK85</f>
        <v>2.4385328618212672</v>
      </c>
      <c r="AL92" s="433"/>
      <c r="AM92" s="436">
        <f>AM70-AM85</f>
        <v>2.3106417665804875</v>
      </c>
      <c r="AN92" s="433"/>
      <c r="AO92" s="436">
        <f>AO70-AO85</f>
        <v>2.1978946768742507</v>
      </c>
      <c r="AP92" s="433"/>
      <c r="AQ92" s="436">
        <f>AQ70-AQ85</f>
        <v>2.0382278381110392</v>
      </c>
      <c r="AR92" s="433"/>
      <c r="AS92" s="436">
        <f>AS70-AS85</f>
        <v>1.8465517241379308</v>
      </c>
      <c r="AT92" s="433"/>
      <c r="AU92" s="436">
        <f>AU70-AU85</f>
        <v>2.1465517241379306</v>
      </c>
      <c r="AV92" s="433"/>
      <c r="AW92" s="436">
        <f>AW70-AW85</f>
        <v>2.3927329035251974</v>
      </c>
      <c r="AX92" s="433"/>
      <c r="AY92" s="436">
        <f>AY70-AY85</f>
        <v>2.644187707756009</v>
      </c>
      <c r="AZ92" s="433"/>
      <c r="BA92" s="436">
        <f>BA70-BA85</f>
        <v>2.7207879449032859</v>
      </c>
      <c r="BB92" s="433"/>
      <c r="BC92" s="436">
        <f>BC70-BC85</f>
        <v>2.7222189286354004</v>
      </c>
      <c r="BD92" s="433"/>
      <c r="BE92" s="436">
        <f>BE70-BE85</f>
        <v>2.7356194842143902</v>
      </c>
      <c r="BF92" s="433"/>
      <c r="BG92" s="436">
        <f>BG70-BG85</f>
        <v>2.9589016338846115</v>
      </c>
      <c r="BH92" s="433"/>
      <c r="BI92" s="436">
        <f>BI70-BI85</f>
        <v>3.158645173088364</v>
      </c>
      <c r="BJ92" s="433"/>
      <c r="BK92" s="436">
        <f>BK70-BK85</f>
        <v>3.1894350205323896</v>
      </c>
      <c r="BL92" s="433"/>
      <c r="BM92" s="436">
        <f>BM70-BM85</f>
        <v>2.7294041177268973</v>
      </c>
      <c r="BN92" s="433"/>
      <c r="BO92" s="436">
        <f>BO70-BO85</f>
        <v>2.6287730788358639</v>
      </c>
      <c r="BP92" s="433"/>
      <c r="BQ92" s="436">
        <f>BQ70-BQ85</f>
        <v>2.4916254591728197</v>
      </c>
      <c r="BR92" s="433"/>
      <c r="BS92" s="436">
        <f>BS70-BS85</f>
        <v>2.8460146993020681</v>
      </c>
      <c r="BT92" s="433"/>
      <c r="BU92" s="436">
        <f>BU70-BU85</f>
        <v>2.6516757172812788</v>
      </c>
      <c r="BV92" s="433"/>
      <c r="BW92" s="436">
        <f>BW70-BW85</f>
        <v>2.6284151621005352</v>
      </c>
      <c r="BX92" s="433"/>
      <c r="BY92" s="436">
        <f>BY70-BY85</f>
        <v>2.8808500631480225</v>
      </c>
      <c r="BZ92" s="433"/>
      <c r="CA92" s="436">
        <f>CA70-CA85</f>
        <v>2.7486082743684017</v>
      </c>
      <c r="CB92" s="433"/>
      <c r="CC92" s="436">
        <f>CC70-CC85</f>
        <v>2.9864572953344002</v>
      </c>
      <c r="CD92" s="433"/>
      <c r="CE92" s="436">
        <f>CE70-CE85</f>
        <v>2.8596862135802841</v>
      </c>
      <c r="CF92" s="433"/>
      <c r="CG92" s="436">
        <f>CG70-CG85</f>
        <v>2.4560830380539933</v>
      </c>
      <c r="CH92" s="433"/>
      <c r="CI92" s="436">
        <f>CI70-CI85</f>
        <v>2.5317156052344867</v>
      </c>
      <c r="CJ92" s="433"/>
      <c r="CK92" s="436">
        <f>CK70-CK85</f>
        <v>2.596405143571535</v>
      </c>
      <c r="CL92" s="433"/>
      <c r="CM92" s="436">
        <f>CM70-CM85</f>
        <v>2.6925611085395635</v>
      </c>
      <c r="CN92" s="433"/>
      <c r="CO92" s="436">
        <f>CO70-CO85</f>
        <v>2.7007425371403029</v>
      </c>
      <c r="CP92" s="433"/>
      <c r="CQ92" s="436">
        <f>CQ70-CQ85</f>
        <v>2.6820987654320989</v>
      </c>
      <c r="CR92" s="433"/>
      <c r="CS92" s="436">
        <f>CS70-CS85</f>
        <v>2.6820987654320989</v>
      </c>
      <c r="CT92" s="201"/>
      <c r="CU92" s="433"/>
      <c r="CV92" s="436">
        <f>CV70-CV85</f>
        <v>2.3565821809699203</v>
      </c>
      <c r="CW92" s="433"/>
      <c r="CX92" s="436">
        <f>CX70-CX85</f>
        <v>1.9609771118281154</v>
      </c>
      <c r="CY92" s="433"/>
      <c r="CZ92" s="436">
        <f>CZ70-CZ85</f>
        <v>2.0109771118281161</v>
      </c>
      <c r="DA92" s="433"/>
      <c r="DB92" s="436">
        <f>DB70-DB85</f>
        <v>1.1118881118881117</v>
      </c>
      <c r="DC92" s="433"/>
      <c r="DD92" s="436">
        <f>DD70-DD85</f>
        <v>1.7982758620689658</v>
      </c>
      <c r="DE92" s="433"/>
      <c r="DF92" s="436">
        <f>DF70-DF85</f>
        <v>3.2263886320198552</v>
      </c>
      <c r="DG92" s="433"/>
      <c r="DH92" s="436">
        <f>DH70-DH85</f>
        <v>2.7500000000000009</v>
      </c>
      <c r="DI92" s="433"/>
      <c r="DJ92" s="436">
        <f>DJ70-DJ85</f>
        <v>3.4271780755704473</v>
      </c>
      <c r="DK92" s="433"/>
      <c r="DL92" s="436">
        <f>DL70-DL85</f>
        <v>3.0595684222772288</v>
      </c>
      <c r="DM92" s="433"/>
      <c r="DN92" s="436">
        <f>DN70-DN85</f>
        <v>3.106731308400339</v>
      </c>
      <c r="DO92" s="433"/>
      <c r="DP92" s="436">
        <f>DP70-DP85</f>
        <v>3.1705630054544551</v>
      </c>
      <c r="DQ92" s="433"/>
      <c r="DR92" s="436">
        <f>DR70-DR85</f>
        <v>2.5017241379310358</v>
      </c>
      <c r="DS92" s="433"/>
      <c r="DT92" s="436">
        <f>DT70-DT85</f>
        <v>3.0517241379310347</v>
      </c>
      <c r="DU92" s="433"/>
      <c r="DV92" s="436">
        <f>DV70-DV85</f>
        <v>3.4460311414525888</v>
      </c>
      <c r="DW92" s="433"/>
      <c r="DX92" s="436">
        <f>DX70-DX85</f>
        <v>3.499522575762831</v>
      </c>
      <c r="DY92" s="433"/>
      <c r="DZ92" s="436">
        <f>DZ70-DZ85</f>
        <v>3.7776723280165845</v>
      </c>
      <c r="EA92" s="433"/>
      <c r="EB92" s="436">
        <f>EB70-EB85</f>
        <v>3.5876680406406827</v>
      </c>
      <c r="EC92" s="433"/>
      <c r="ED92" s="436">
        <f>ED70-ED85</f>
        <v>3.8729206442143775</v>
      </c>
      <c r="EE92" s="433"/>
      <c r="EF92" s="436">
        <f>EF70-EF85</f>
        <v>4.033222739091233</v>
      </c>
      <c r="EG92" s="433"/>
      <c r="EH92" s="436">
        <f>EH70-EH85</f>
        <v>3.9710176025090966</v>
      </c>
      <c r="EI92" s="433"/>
      <c r="EJ92" s="436">
        <f>EJ70-EJ85</f>
        <v>3.9257564811866095</v>
      </c>
      <c r="EK92" s="433"/>
      <c r="EL92" s="436">
        <f>EL70-EL85</f>
        <v>3.7591969716790565</v>
      </c>
      <c r="EM92" s="433"/>
      <c r="EN92" s="436">
        <f>EN70-EN85</f>
        <v>4.133743613181263</v>
      </c>
      <c r="EO92" s="433"/>
      <c r="EP92" s="436">
        <f>EP70-EP85</f>
        <v>3.4389652434467521</v>
      </c>
      <c r="EQ92" s="433"/>
      <c r="ER92" s="436">
        <f>ER70-ER85</f>
        <v>4.1211310963685621</v>
      </c>
      <c r="ES92" s="433"/>
      <c r="ET92" s="436">
        <f>ET70-ET85</f>
        <v>3.8711524181149599</v>
      </c>
      <c r="EU92" s="433"/>
      <c r="EV92" s="436">
        <f>EV70-EV85</f>
        <v>3.9658066694794094</v>
      </c>
      <c r="EW92" s="433"/>
      <c r="EX92" s="436">
        <f>EX70-EX85</f>
        <v>4.0526905607091903</v>
      </c>
      <c r="EY92" s="433"/>
      <c r="EZ92" s="436">
        <f>EZ70-EZ85</f>
        <v>3.8734296220540854</v>
      </c>
      <c r="FA92" s="433"/>
      <c r="FB92" s="436">
        <f>FB70-FB85</f>
        <v>3.4396948794396751</v>
      </c>
      <c r="FC92" s="433"/>
      <c r="FD92" s="436">
        <f>FD70-FD85</f>
        <v>3.6601885038666095</v>
      </c>
      <c r="FE92" s="433"/>
      <c r="FF92" s="436">
        <f>FF70-FF85</f>
        <v>4.3606023267204588</v>
      </c>
      <c r="FG92" s="433"/>
      <c r="FH92" s="436">
        <f>FH70-FH85</f>
        <v>4.0708004819049464</v>
      </c>
      <c r="FI92" s="433"/>
      <c r="FJ92" s="436">
        <f>FJ70-FJ85</f>
        <v>3.9308788194337332</v>
      </c>
      <c r="FK92" s="433"/>
      <c r="FL92" s="436">
        <f>FL70-FL85</f>
        <v>3.9104562859378911</v>
      </c>
      <c r="FM92" s="433"/>
      <c r="FN92" s="436">
        <f>FN70-FN85</f>
        <v>3.8605431623128741</v>
      </c>
      <c r="FO92" s="433"/>
      <c r="FP92" s="436">
        <f>FP70-FP85</f>
        <v>3.8605431623128741</v>
      </c>
      <c r="FQ92" s="435"/>
      <c r="FR92" s="433"/>
      <c r="FS92" s="436">
        <f>FS70-FS85</f>
        <v>0.69247860558678731</v>
      </c>
      <c r="FT92" s="433"/>
      <c r="FU92" s="436">
        <f>FU70-FU85</f>
        <v>0.75218443279043878</v>
      </c>
      <c r="FV92" s="433"/>
      <c r="FW92" s="436">
        <f>FW70-FW85</f>
        <v>0.79502453291095865</v>
      </c>
      <c r="FX92" s="433"/>
      <c r="FY92" s="436">
        <f>FY70-FY85</f>
        <v>0.46472600488561611</v>
      </c>
      <c r="FZ92" s="433"/>
      <c r="GA92" s="436">
        <f>GA70-GA85</f>
        <v>0.66472600488561628</v>
      </c>
      <c r="GB92" s="433"/>
      <c r="GC92" s="436">
        <f>GC70-GC85</f>
        <v>0.66472600488561628</v>
      </c>
      <c r="GD92" s="433"/>
      <c r="GE92" s="436">
        <f>GE70-GE85</f>
        <v>0.66472600488561628</v>
      </c>
      <c r="GF92" s="433"/>
      <c r="GG92" s="436">
        <f>GG70-GG85</f>
        <v>0.65553211673956291</v>
      </c>
      <c r="GH92" s="433"/>
      <c r="GI92" s="436">
        <f>GI70-GI85</f>
        <v>0.97867132867132867</v>
      </c>
      <c r="GJ92" s="433"/>
      <c r="GK92" s="436">
        <f>GK70-GK85</f>
        <v>1.1724137931034484</v>
      </c>
      <c r="GL92" s="433"/>
      <c r="GM92" s="436">
        <f>GM70-GM85</f>
        <v>2.2018513847261314</v>
      </c>
      <c r="GN92" s="433"/>
      <c r="GO92" s="436">
        <f>GO70-GO85</f>
        <v>2.0645161290322589</v>
      </c>
      <c r="GP92" s="433"/>
      <c r="GQ92" s="436">
        <f>GQ70-GQ85</f>
        <v>2.2890908335634563</v>
      </c>
      <c r="GR92" s="433"/>
      <c r="GS92" s="436">
        <f>GS70-GS85</f>
        <v>2.1426610937519834</v>
      </c>
      <c r="GT92" s="433"/>
      <c r="GU92" s="436">
        <f>GU70-GU85</f>
        <v>2.2006453273269537</v>
      </c>
      <c r="GV92" s="433"/>
      <c r="GW92" s="436">
        <f>GW70-GW85</f>
        <v>1.3592108577397992</v>
      </c>
      <c r="GX92" s="433"/>
      <c r="GY92" s="436">
        <f>GY70-GY85</f>
        <v>1.5310344827586215</v>
      </c>
      <c r="GZ92" s="433"/>
      <c r="HA92" s="436">
        <f>HA70-HA85</f>
        <v>1.8810344827586212</v>
      </c>
      <c r="HB92" s="433"/>
      <c r="HC92" s="436">
        <f>HC70-HC85</f>
        <v>1.8932006681517013</v>
      </c>
      <c r="HD92" s="433"/>
      <c r="HE92" s="436">
        <f>HE70-HE85</f>
        <v>2.5984565997714801</v>
      </c>
      <c r="HF92" s="433"/>
      <c r="HG92" s="436">
        <f>HG70-HG85</f>
        <v>2.5400563655796269</v>
      </c>
      <c r="HH92" s="433"/>
      <c r="HI92" s="436">
        <f>HI70-HI85</f>
        <v>2.6115418979177383</v>
      </c>
      <c r="HJ92" s="433"/>
      <c r="HK92" s="436">
        <f>HK70-HK85</f>
        <v>2.649377894959918</v>
      </c>
      <c r="HL92" s="433"/>
      <c r="HM92" s="436">
        <f>HM70-HM85</f>
        <v>2.8467008206757614</v>
      </c>
      <c r="HN92" s="433"/>
      <c r="HO92" s="436">
        <f>HO70-HO85</f>
        <v>2.8201768630988786</v>
      </c>
      <c r="HP92" s="433"/>
      <c r="HQ92" s="436">
        <f>HQ70-HQ85</f>
        <v>2.7846151885182557</v>
      </c>
      <c r="HR92" s="433"/>
      <c r="HS92" s="436">
        <f>HS70-HS85</f>
        <v>2.5161559478258173</v>
      </c>
      <c r="HT92" s="433"/>
      <c r="HU92" s="436">
        <f>HU70-HU85</f>
        <v>2.5970554324029287</v>
      </c>
      <c r="HV92" s="433"/>
      <c r="HW92" s="436">
        <f>HW70-HW85</f>
        <v>2.4150526507926751</v>
      </c>
      <c r="HX92" s="433"/>
      <c r="HY92" s="436">
        <f>HY70-HY85</f>
        <v>1.7557378651694933</v>
      </c>
      <c r="HZ92" s="433"/>
      <c r="IA92" s="436">
        <f>IA70-IA85</f>
        <v>1.6241941242665741</v>
      </c>
      <c r="IB92" s="433"/>
      <c r="IC92" s="436">
        <f>IC70-IC85</f>
        <v>2.6180982422951988</v>
      </c>
      <c r="ID92" s="433"/>
      <c r="IE92" s="436">
        <f>IE70-IE85</f>
        <v>2.7099556748393425</v>
      </c>
      <c r="IF92" s="433"/>
      <c r="IG92" s="436">
        <f>IG70-IG85</f>
        <v>2.6782771589377354</v>
      </c>
      <c r="IH92" s="433"/>
      <c r="II92" s="436">
        <f>II70-II85</f>
        <v>2.5236729213346916</v>
      </c>
      <c r="IJ92" s="433"/>
      <c r="IK92" s="436">
        <f>IK70-IK85</f>
        <v>2.3623279081930884</v>
      </c>
      <c r="IL92" s="433"/>
      <c r="IM92" s="436">
        <f>IM70-IM85</f>
        <v>2.4525301470131762</v>
      </c>
      <c r="IN92" s="433"/>
      <c r="IO92" s="436">
        <f>IO70-IO85</f>
        <v>2.539262512483683</v>
      </c>
      <c r="IP92" s="433"/>
      <c r="IQ92" s="436">
        <f>IQ70-IQ85</f>
        <v>2.6134458555900677</v>
      </c>
      <c r="IR92" s="433"/>
      <c r="IS92" s="436">
        <f>IS70-IS85</f>
        <v>2.5499748200684822</v>
      </c>
      <c r="IT92" s="433"/>
      <c r="IU92" s="436">
        <f>IU70-IU85</f>
        <v>2.4194637725447983</v>
      </c>
      <c r="IV92" s="433"/>
      <c r="IW92" s="436">
        <f>IW70-IW85</f>
        <v>2.6630251107306222</v>
      </c>
      <c r="IX92" s="433"/>
      <c r="IY92" s="436">
        <f>IY70-IY85</f>
        <v>2.6413580246913586</v>
      </c>
      <c r="IZ92" s="435"/>
      <c r="JA92" s="433"/>
      <c r="JB92" s="436">
        <f>JB70-JB85</f>
        <v>2.2000000000000002</v>
      </c>
      <c r="JC92" s="433"/>
      <c r="JD92" s="436">
        <f>JD70-JD85</f>
        <v>2.127215189873418</v>
      </c>
      <c r="JE92" s="435"/>
      <c r="JF92" s="433"/>
      <c r="JG92" s="436">
        <f>JG70-JG85</f>
        <v>1.1807885316769839</v>
      </c>
      <c r="JH92" s="433"/>
      <c r="JI92" s="436">
        <f>JI70-JI85</f>
        <v>1.2509032626319545</v>
      </c>
      <c r="JJ92" s="433"/>
      <c r="JK92" s="436">
        <f>JK70-JK85</f>
        <v>1.2905867956955941</v>
      </c>
      <c r="JL92" s="433"/>
      <c r="JM92" s="436">
        <f>JM70-JM85</f>
        <v>1.0140220034373293</v>
      </c>
      <c r="JN92" s="433"/>
      <c r="JO92" s="436">
        <f>JO70-JO85</f>
        <v>1.3140220034373291</v>
      </c>
      <c r="JP92" s="433"/>
      <c r="JQ92" s="436">
        <f>JQ70-JQ85</f>
        <v>1.3481896817349703</v>
      </c>
      <c r="JR92" s="433"/>
      <c r="JS92" s="436">
        <f>JS70-JS85</f>
        <v>0.83496503496503482</v>
      </c>
      <c r="JT92" s="433"/>
      <c r="JU92" s="436">
        <f>JU70-JU85</f>
        <v>1.0937931034482764</v>
      </c>
      <c r="JV92" s="433"/>
      <c r="JW92" s="436">
        <f>JW70-JW85</f>
        <v>1.7438758171417073</v>
      </c>
      <c r="JX92" s="433"/>
      <c r="JY92" s="436">
        <f>JY70-JY85</f>
        <v>1.3896774193548387</v>
      </c>
      <c r="JZ92" s="433"/>
      <c r="KA92" s="436">
        <f>KA70-KA85</f>
        <v>1.7006390622272942</v>
      </c>
      <c r="KB92" s="433"/>
      <c r="KC92" s="436">
        <f>KC70-KC85</f>
        <v>1.6240468035837248</v>
      </c>
      <c r="KD92" s="433"/>
      <c r="KE92" s="436">
        <f>KE70-KE85</f>
        <v>1.6635321529178491</v>
      </c>
      <c r="KF92" s="433"/>
      <c r="KG92" s="436">
        <f>KG70-KG85</f>
        <v>1.1894651385045387</v>
      </c>
      <c r="KH92" s="433"/>
      <c r="KI92" s="436">
        <f>KI70-KI85</f>
        <v>1.2344827586206897</v>
      </c>
      <c r="KJ92" s="433"/>
      <c r="KK92" s="436">
        <f>KK70-KK85</f>
        <v>1.5344827586206895</v>
      </c>
      <c r="KL92" s="433"/>
      <c r="KM92" s="436">
        <f>KM70-KM85</f>
        <v>1.6011516091809783</v>
      </c>
      <c r="KN92" s="433"/>
      <c r="KO92" s="436">
        <f>KO70-KO85</f>
        <v>1.8434616169659952</v>
      </c>
      <c r="KP92" s="433"/>
      <c r="KQ92" s="436">
        <f>KQ70-KQ85</f>
        <v>1.6606942451015234</v>
      </c>
      <c r="KR92" s="433"/>
      <c r="KS92" s="436">
        <f>KS70-KS85</f>
        <v>1.8981353119886473</v>
      </c>
      <c r="KT92" s="433"/>
      <c r="KU92" s="436">
        <f>KU70-KU85</f>
        <v>1.9231367089093991</v>
      </c>
      <c r="KV92" s="433"/>
      <c r="KW92" s="436">
        <f>KW70-KW85</f>
        <v>2.0832077458316176</v>
      </c>
      <c r="KX92" s="433"/>
      <c r="KY92" s="436">
        <f>KY70-KY85</f>
        <v>2.2223801064823236</v>
      </c>
      <c r="KZ92" s="433"/>
      <c r="LA92" s="436">
        <f>LA70-LA85</f>
        <v>2.347309060089775</v>
      </c>
      <c r="LB92" s="433"/>
      <c r="LC92" s="436">
        <f>LC70-LC85</f>
        <v>1.9166945866398937</v>
      </c>
      <c r="LD92" s="433"/>
      <c r="LE92" s="436">
        <f>LE70-LE85</f>
        <v>1.8697949434463323</v>
      </c>
      <c r="LF92" s="433"/>
      <c r="LG92" s="436">
        <f>LG70-LG85</f>
        <v>1.4073627107940005</v>
      </c>
      <c r="LH92" s="433"/>
      <c r="LI92" s="436">
        <f>LI70-LI85</f>
        <v>2.0192834660799779</v>
      </c>
      <c r="LJ92" s="433"/>
      <c r="LK92" s="436">
        <f>LK70-LK85</f>
        <v>1.7182523891842916</v>
      </c>
      <c r="LL92" s="433"/>
      <c r="LM92" s="436">
        <f>LM70-LM85</f>
        <v>2.0364767522497971</v>
      </c>
      <c r="LN92" s="433"/>
      <c r="LO92" s="436">
        <f>LO70-LO85</f>
        <v>2.1259573980451654</v>
      </c>
      <c r="LP92" s="433"/>
      <c r="LQ92" s="436">
        <f>LQ70-LQ85</f>
        <v>1.9936860308193243</v>
      </c>
      <c r="LR92" s="433"/>
      <c r="LS92" s="436">
        <f>LS70-LS85</f>
        <v>1.7804634231776513</v>
      </c>
      <c r="LT92" s="433"/>
      <c r="LU92" s="436">
        <f>LU70-LU85</f>
        <v>1.640133936957854</v>
      </c>
      <c r="LV92" s="433"/>
      <c r="LW92" s="436">
        <f>LW70-LW85</f>
        <v>1.7163538831786767</v>
      </c>
      <c r="LX92" s="433"/>
      <c r="LY92" s="436">
        <f>LY70-LY85</f>
        <v>1.7918244095082212</v>
      </c>
      <c r="LZ92" s="433"/>
      <c r="MA92" s="436">
        <f>MA70-MA85</f>
        <v>1.8563753521552062</v>
      </c>
      <c r="MB92" s="433"/>
      <c r="MC92" s="436">
        <f>MC70-MC85</f>
        <v>1.8318483300404962</v>
      </c>
      <c r="MD92" s="433"/>
      <c r="ME92" s="436">
        <f>ME70-ME85</f>
        <v>2.3614052378416917</v>
      </c>
      <c r="MF92" s="433"/>
      <c r="MG92" s="436">
        <f>MG70-MG85</f>
        <v>1.9320987654320989</v>
      </c>
      <c r="MH92" s="435"/>
      <c r="MI92" s="433"/>
      <c r="MJ92" s="436">
        <f>MJ70-MJ85</f>
        <v>0.49160510029576443</v>
      </c>
      <c r="MK92" s="433"/>
      <c r="ML92" s="436">
        <f>ML70-ML85</f>
        <v>0.52349227416106547</v>
      </c>
      <c r="MM92" s="433"/>
      <c r="MN92" s="436">
        <f>MN70-MN85</f>
        <v>0.53551628256181294</v>
      </c>
      <c r="MO92" s="433"/>
      <c r="MP92" s="436">
        <f>MP70-MP85</f>
        <v>0.30364725951552174</v>
      </c>
      <c r="MQ92" s="433"/>
      <c r="MR92" s="436">
        <f>MR70-MR85</f>
        <v>0.50364725951552103</v>
      </c>
      <c r="MS92" s="433"/>
      <c r="MT92" s="436">
        <f>MT70-MT85</f>
        <v>0.43229308287555313</v>
      </c>
      <c r="MU92" s="433"/>
      <c r="MV92" s="436">
        <f>MV70-MV85</f>
        <v>0.255944055944056</v>
      </c>
      <c r="MW92" s="433"/>
      <c r="MX92" s="436">
        <f>MX70-MX85</f>
        <v>1.1979310344827585</v>
      </c>
      <c r="MY92" s="433"/>
      <c r="MZ92" s="436">
        <f>MZ70-MZ85</f>
        <v>1.8727686628949343</v>
      </c>
      <c r="NA92" s="433"/>
      <c r="NB92" s="436">
        <f>NB70-NB85</f>
        <v>1.6303225806451618</v>
      </c>
      <c r="NC92" s="433"/>
      <c r="ND92" s="436">
        <f>ND70-ND85</f>
        <v>1.8451993217643925</v>
      </c>
      <c r="NE92" s="433"/>
      <c r="NF92" s="436">
        <f>NF70-NF85</f>
        <v>1.8728027955721376</v>
      </c>
      <c r="NG92" s="433"/>
      <c r="NH92" s="436">
        <f>NH70-NH85</f>
        <v>1.8686036607351499</v>
      </c>
      <c r="NI92" s="433"/>
      <c r="NJ92" s="436">
        <f>NJ70-NJ85</f>
        <v>1.507233986305847</v>
      </c>
      <c r="NK92" s="433"/>
      <c r="NL92" s="436">
        <f>NL70-NL85</f>
        <v>1.4241379310344833</v>
      </c>
      <c r="NM92" s="433"/>
      <c r="NN92" s="436">
        <f>NN70-NN85</f>
        <v>1.7241379310344831</v>
      </c>
      <c r="NO92" s="433"/>
      <c r="NP92" s="436">
        <f>NP70-NP85</f>
        <v>1.8911936174427257</v>
      </c>
      <c r="NQ92" s="433"/>
      <c r="NR92" s="436">
        <f>NR70-NR85</f>
        <v>2.1364753934074416</v>
      </c>
      <c r="NS92" s="433"/>
      <c r="NT92" s="436">
        <f>NT70-NT85</f>
        <v>2.2028920417733366</v>
      </c>
      <c r="NU92" s="433"/>
      <c r="NV92" s="436">
        <f>NV70-NV85</f>
        <v>1.6401117951374617</v>
      </c>
      <c r="NW92" s="433"/>
      <c r="NX92" s="436">
        <f>NX70-NX85</f>
        <v>2.178136910511375</v>
      </c>
      <c r="NY92" s="433"/>
      <c r="NZ92" s="436">
        <f>NZ70-NZ85</f>
        <v>1.9792600649682912</v>
      </c>
      <c r="OA92" s="433"/>
      <c r="OB92" s="436">
        <f>OB70-OB85</f>
        <v>2.3935308917407077</v>
      </c>
      <c r="OC92" s="433"/>
      <c r="OD92" s="436">
        <f>OD70-OD85</f>
        <v>2.4361649938491929</v>
      </c>
      <c r="OE92" s="433"/>
      <c r="OF92" s="436">
        <f>OF70-OF85</f>
        <v>2.0961209289589986</v>
      </c>
      <c r="OG92" s="433"/>
      <c r="OH92" s="436">
        <f>OH70-OH85</f>
        <v>2.0066608021372008</v>
      </c>
      <c r="OI92" s="433"/>
      <c r="OJ92" s="436">
        <f>OJ70-OJ85</f>
        <v>1.8231359856753047</v>
      </c>
      <c r="OK92" s="433"/>
      <c r="OL92" s="436">
        <f>OL70-OL85</f>
        <v>2.0326054708657924</v>
      </c>
      <c r="OM92" s="433"/>
      <c r="ON92" s="436">
        <f>ON70-ON85</f>
        <v>1.8072339863058469</v>
      </c>
      <c r="OO92" s="433"/>
      <c r="OP92" s="436">
        <f>OP70-OP85</f>
        <v>1.9529381519651778</v>
      </c>
      <c r="OQ92" s="433"/>
      <c r="OR92" s="436">
        <f>OR70-OR85</f>
        <v>1.9754810920667678</v>
      </c>
      <c r="OS92" s="433"/>
      <c r="OT92" s="436">
        <f>OT70-OT85</f>
        <v>1.8997711236182386</v>
      </c>
      <c r="OU92" s="433"/>
      <c r="OV92" s="436">
        <f>OV70-OV85</f>
        <v>1.326062810393327</v>
      </c>
      <c r="OW92" s="433"/>
      <c r="OX92" s="436">
        <f>OX70-OX85</f>
        <v>1.1870891646200974</v>
      </c>
      <c r="OY92" s="433"/>
      <c r="OZ92" s="436">
        <f>OZ70-OZ85</f>
        <v>1.2625726862397517</v>
      </c>
      <c r="PA92" s="433"/>
      <c r="PB92" s="436">
        <f>PB70-PB85</f>
        <v>1.3373140287400256</v>
      </c>
      <c r="PC92" s="433"/>
      <c r="PD92" s="436">
        <f>PD70-PD85</f>
        <v>1.4012412907817255</v>
      </c>
      <c r="PE92" s="433"/>
      <c r="PF92" s="436">
        <f>PF70-PF85</f>
        <v>1.6703752697287264</v>
      </c>
      <c r="PG92" s="433"/>
      <c r="PH92" s="436">
        <f>PH70-PH85</f>
        <v>2.2597726481029192</v>
      </c>
      <c r="PI92" s="433"/>
      <c r="PJ92" s="436">
        <f>PJ70-PJ85</f>
        <v>2.2019812538356862</v>
      </c>
      <c r="PK92" s="433"/>
      <c r="PL92" s="436">
        <f>PL70-PL85</f>
        <v>2.1368421052631579</v>
      </c>
      <c r="PM92" s="433"/>
      <c r="PN92" s="436">
        <f>PN70-PN85</f>
        <v>2.2962962962962963</v>
      </c>
      <c r="PO92" s="433"/>
      <c r="PP92" s="436">
        <f>PP70-PP85</f>
        <v>2.2962962962962963</v>
      </c>
      <c r="PR92" s="433"/>
      <c r="PS92" s="436">
        <f>PS70-PS85</f>
        <v>3.8077102259262454</v>
      </c>
      <c r="PT92" s="433"/>
      <c r="PU92" s="436">
        <f>PU70-PU85</f>
        <v>4.1012345679012352</v>
      </c>
      <c r="PV92" s="433"/>
      <c r="PW92" s="436">
        <f>PW70-PW85</f>
        <v>3.8077102259262454</v>
      </c>
      <c r="PX92" s="433"/>
      <c r="PY92" s="436">
        <f>PY70-PY85</f>
        <v>4.1012345679012352</v>
      </c>
      <c r="PZ92" s="433"/>
      <c r="QA92" s="436">
        <f>QA70-QA85</f>
        <v>3.7653066037503233</v>
      </c>
      <c r="QB92" s="433"/>
      <c r="QC92" s="436">
        <f>QC70-QC85</f>
        <v>4.0625</v>
      </c>
      <c r="QF92" s="433"/>
      <c r="QG92" s="436">
        <f>QG70-QG85</f>
        <v>3.2049382716049384</v>
      </c>
      <c r="QH92" s="433"/>
      <c r="QI92" s="436">
        <f>QI70-QI85</f>
        <v>3.4765432098765432</v>
      </c>
      <c r="QJ92" s="433"/>
      <c r="QK92" s="436">
        <f>QK70-QK85</f>
        <v>3.2049382716049384</v>
      </c>
      <c r="QL92" s="433"/>
      <c r="QM92" s="436">
        <f>QM70-QM85</f>
        <v>3.4765432098765432</v>
      </c>
      <c r="QN92" s="433"/>
      <c r="QO92" s="436">
        <f>QO70-QO85</f>
        <v>2.4049382716049386</v>
      </c>
      <c r="QP92" s="433"/>
      <c r="QQ92" s="436">
        <f>QQ70-QQ85</f>
        <v>2.6765432098765434</v>
      </c>
    </row>
    <row r="93" spans="1:459" x14ac:dyDescent="0.45">
      <c r="A93" s="871"/>
      <c r="B93" s="426" t="s">
        <v>395</v>
      </c>
      <c r="C93" s="427"/>
      <c r="D93" s="428"/>
      <c r="E93" s="231"/>
      <c r="F93" s="429"/>
      <c r="G93" s="430">
        <f>G92/G55</f>
        <v>-0.33407174265174094</v>
      </c>
      <c r="H93" s="429"/>
      <c r="I93" s="430">
        <f>I92/I55</f>
        <v>-2.1571742651740885E-2</v>
      </c>
      <c r="J93" s="429"/>
      <c r="K93" s="430">
        <f>K92/K55</f>
        <v>0.21401528081627633</v>
      </c>
      <c r="L93" s="429"/>
      <c r="M93" s="430">
        <f>M92/M55</f>
        <v>0.21401528081627633</v>
      </c>
      <c r="N93" s="429"/>
      <c r="O93" s="430">
        <f>O92/O55</f>
        <v>0.23978442022608643</v>
      </c>
      <c r="P93" s="429"/>
      <c r="Q93" s="430">
        <f>Q92/Q55</f>
        <v>0.25830862365099388</v>
      </c>
      <c r="R93" s="429"/>
      <c r="S93" s="430">
        <f>S92/S55</f>
        <v>0.21653441379732624</v>
      </c>
      <c r="T93" s="429"/>
      <c r="U93" s="430">
        <f>U92/U55</f>
        <v>0.23273244729462192</v>
      </c>
      <c r="V93" s="429"/>
      <c r="W93" s="430">
        <f>W92/W55</f>
        <v>0.23273244729462192</v>
      </c>
      <c r="X93" s="429"/>
      <c r="Y93" s="430">
        <f>Y92/Y55</f>
        <v>0.23440678144782062</v>
      </c>
      <c r="Z93" s="429"/>
      <c r="AA93" s="430">
        <f>AA92/AA55</f>
        <v>0.23211355094919184</v>
      </c>
      <c r="AB93" s="429"/>
      <c r="AC93" s="430">
        <f>AC92/AC55</f>
        <v>0.18227096644362839</v>
      </c>
      <c r="AD93" s="429"/>
      <c r="AE93" s="430">
        <f>AE92/AE55</f>
        <v>0.18772413793103446</v>
      </c>
      <c r="AF93" s="429"/>
      <c r="AG93" s="430">
        <f>AG92/AG55</f>
        <v>0.31637355478069557</v>
      </c>
      <c r="AH93" s="429"/>
      <c r="AI93" s="430">
        <f>AI92/AI55</f>
        <v>0.29630107526881727</v>
      </c>
      <c r="AJ93" s="429"/>
      <c r="AK93" s="430">
        <f>AK92/AK55</f>
        <v>0.32513771490950227</v>
      </c>
      <c r="AL93" s="429"/>
      <c r="AM93" s="430">
        <f>AM92/AM55</f>
        <v>0.30808556887739835</v>
      </c>
      <c r="AN93" s="429"/>
      <c r="AO93" s="430">
        <f>AO92/AO55</f>
        <v>0.29305262358323342</v>
      </c>
      <c r="AP93" s="429"/>
      <c r="AQ93" s="430">
        <f>AQ92/AQ55</f>
        <v>0.27176371174813857</v>
      </c>
      <c r="AR93" s="429"/>
      <c r="AS93" s="430">
        <f>AS92/AS55</f>
        <v>0.24620689655172409</v>
      </c>
      <c r="AT93" s="429"/>
      <c r="AU93" s="430">
        <f>AU92/AU55</f>
        <v>0.2862068965517241</v>
      </c>
      <c r="AV93" s="429"/>
      <c r="AW93" s="430">
        <f>AW92/AW55</f>
        <v>0.31903105380335967</v>
      </c>
      <c r="AX93" s="429"/>
      <c r="AY93" s="430">
        <f>AY92/AY55</f>
        <v>0.35255836103413452</v>
      </c>
      <c r="AZ93" s="429"/>
      <c r="BA93" s="430">
        <f>BA92/BA55</f>
        <v>0.36277172598710478</v>
      </c>
      <c r="BB93" s="429"/>
      <c r="BC93" s="430">
        <f>BC92/BC55</f>
        <v>0.36296252381805338</v>
      </c>
      <c r="BD93" s="429"/>
      <c r="BE93" s="430">
        <f>BE92/BE55</f>
        <v>0.3647492645619187</v>
      </c>
      <c r="BF93" s="429"/>
      <c r="BG93" s="430">
        <f>BG92/BG55</f>
        <v>0.39452021785128155</v>
      </c>
      <c r="BH93" s="429"/>
      <c r="BI93" s="430">
        <f>BI92/BI55</f>
        <v>0.42115268974511522</v>
      </c>
      <c r="BJ93" s="429"/>
      <c r="BK93" s="430">
        <f>BK92/BK55</f>
        <v>0.42525800273765196</v>
      </c>
      <c r="BL93" s="429"/>
      <c r="BM93" s="430">
        <f>BM92/BM55</f>
        <v>0.36392054903025295</v>
      </c>
      <c r="BN93" s="429"/>
      <c r="BO93" s="430">
        <f>BO92/BO55</f>
        <v>0.35050307717811519</v>
      </c>
      <c r="BP93" s="429"/>
      <c r="BQ93" s="430">
        <f>BQ92/BQ55</f>
        <v>0.3322167278897093</v>
      </c>
      <c r="BR93" s="429"/>
      <c r="BS93" s="430">
        <f>BS92/BS55</f>
        <v>0.37946862657360908</v>
      </c>
      <c r="BT93" s="429"/>
      <c r="BU93" s="430">
        <f>BU92/BU55</f>
        <v>0.35355676230417049</v>
      </c>
      <c r="BV93" s="429"/>
      <c r="BW93" s="430">
        <f>BW92/BW55</f>
        <v>0.35045535494673802</v>
      </c>
      <c r="BX93" s="429"/>
      <c r="BY93" s="430">
        <f>BY92/BY55</f>
        <v>0.38411334175306966</v>
      </c>
      <c r="BZ93" s="429"/>
      <c r="CA93" s="430">
        <f>CA92/CA55</f>
        <v>0.36648110324912025</v>
      </c>
      <c r="CB93" s="429"/>
      <c r="CC93" s="430">
        <f>CC92/CC55</f>
        <v>0.39819430604458667</v>
      </c>
      <c r="CD93" s="429"/>
      <c r="CE93" s="430">
        <f>CE92/CE55</f>
        <v>0.38129149514403787</v>
      </c>
      <c r="CF93" s="429"/>
      <c r="CG93" s="430">
        <f>CG92/CG55</f>
        <v>0.32747773840719913</v>
      </c>
      <c r="CH93" s="429"/>
      <c r="CI93" s="430">
        <f>CI92/CI55</f>
        <v>0.33756208069793153</v>
      </c>
      <c r="CJ93" s="429"/>
      <c r="CK93" s="430">
        <f>CK92/CK55</f>
        <v>0.34618735247620464</v>
      </c>
      <c r="CL93" s="429"/>
      <c r="CM93" s="430">
        <f>CM92/CM55</f>
        <v>0.35900814780527512</v>
      </c>
      <c r="CN93" s="429"/>
      <c r="CO93" s="430">
        <f>CO92/CO55</f>
        <v>0.36009900495204039</v>
      </c>
      <c r="CP93" s="429"/>
      <c r="CQ93" s="430">
        <f>CQ92/CQ55</f>
        <v>0.35761316872427984</v>
      </c>
      <c r="CR93" s="429"/>
      <c r="CS93" s="430">
        <f>CS92/CS55</f>
        <v>0.35761316872427984</v>
      </c>
      <c r="CT93" s="427"/>
      <c r="CU93" s="429"/>
      <c r="CV93" s="430">
        <f>CV92/CV55</f>
        <v>0.24806128220736004</v>
      </c>
      <c r="CW93" s="429"/>
      <c r="CX93" s="430">
        <f>CX92/CX55</f>
        <v>0.20641864335032795</v>
      </c>
      <c r="CY93" s="429"/>
      <c r="CZ93" s="430">
        <f>CZ92/CZ55</f>
        <v>0.20520174610490982</v>
      </c>
      <c r="DA93" s="429"/>
      <c r="DB93" s="430">
        <f>DB92/DB55</f>
        <v>0.11345797060082773</v>
      </c>
      <c r="DC93" s="429"/>
      <c r="DD93" s="430">
        <f>DD92/DD55</f>
        <v>0.16497943688706107</v>
      </c>
      <c r="DE93" s="429"/>
      <c r="DF93" s="430">
        <f>DF92/DF55</f>
        <v>0.29599895706604173</v>
      </c>
      <c r="DG93" s="429"/>
      <c r="DH93" s="430">
        <f>DH92/DH55</f>
        <v>0.25229357798165147</v>
      </c>
      <c r="DI93" s="429"/>
      <c r="DJ93" s="430">
        <f>DJ92/DJ55</f>
        <v>0.31442000693306854</v>
      </c>
      <c r="DK93" s="429"/>
      <c r="DL93" s="430">
        <f>DL92/DL55</f>
        <v>0.28069435066763565</v>
      </c>
      <c r="DM93" s="429"/>
      <c r="DN93" s="430">
        <f>DN92/DN55</f>
        <v>0.28502122095415955</v>
      </c>
      <c r="DO93" s="429"/>
      <c r="DP93" s="430">
        <f>DP92/DP55</f>
        <v>0.29087733994995002</v>
      </c>
      <c r="DQ93" s="429"/>
      <c r="DR93" s="430">
        <f>DR92/DR55</f>
        <v>0.22951597595697576</v>
      </c>
      <c r="DS93" s="429"/>
      <c r="DT93" s="430">
        <f>DT92/DT55</f>
        <v>0.2799746915533059</v>
      </c>
      <c r="DU93" s="429"/>
      <c r="DV93" s="430">
        <f>DV92/DV55</f>
        <v>0.31614964600482465</v>
      </c>
      <c r="DW93" s="429"/>
      <c r="DX93" s="430">
        <f>DX92/DX55</f>
        <v>0.32105711704246154</v>
      </c>
      <c r="DY93" s="429"/>
      <c r="DZ93" s="430">
        <f>DZ92/DZ55</f>
        <v>0.3465754429373013</v>
      </c>
      <c r="EA93" s="429"/>
      <c r="EB93" s="430">
        <f>EB92/EB55</f>
        <v>0.32914385693951215</v>
      </c>
      <c r="EC93" s="429"/>
      <c r="ED93" s="430">
        <f>ED92/ED55</f>
        <v>0.35531382057012639</v>
      </c>
      <c r="EE93" s="429"/>
      <c r="EF93" s="430">
        <f>EF92/EF55</f>
        <v>0.3700204347790122</v>
      </c>
      <c r="EG93" s="429"/>
      <c r="EH93" s="430">
        <f>EH92/EH55</f>
        <v>0.364313541514596</v>
      </c>
      <c r="EI93" s="429"/>
      <c r="EJ93" s="430">
        <f>EJ92/EJ55</f>
        <v>0.36016114506299168</v>
      </c>
      <c r="EK93" s="429"/>
      <c r="EL93" s="430">
        <f>EL92/EL55</f>
        <v>0.34488045611734464</v>
      </c>
      <c r="EM93" s="429"/>
      <c r="EN93" s="430">
        <f>EN92/EN55</f>
        <v>0.3792425333193819</v>
      </c>
      <c r="EO93" s="429"/>
      <c r="EP93" s="430">
        <f>EP92/EP55</f>
        <v>0.31550139848135339</v>
      </c>
      <c r="EQ93" s="429"/>
      <c r="ER93" s="430">
        <f>ER92/ER55</f>
        <v>0.37808542168518916</v>
      </c>
      <c r="ES93" s="429"/>
      <c r="ET93" s="430">
        <f>ET92/ET55</f>
        <v>0.35515159799219814</v>
      </c>
      <c r="EU93" s="429"/>
      <c r="EV93" s="430">
        <f>EV92/EV55</f>
        <v>0.36383547426416601</v>
      </c>
      <c r="EW93" s="429"/>
      <c r="EX93" s="430">
        <f>EX92/EX55</f>
        <v>0.37180647345955875</v>
      </c>
      <c r="EY93" s="429"/>
      <c r="EZ93" s="430">
        <f>EZ92/EZ55</f>
        <v>0.35536051578477845</v>
      </c>
      <c r="FA93" s="429"/>
      <c r="FB93" s="430">
        <f>FB92/FB55</f>
        <v>0.31556833756327296</v>
      </c>
      <c r="FC93" s="429"/>
      <c r="FD93" s="430">
        <f>FD92/FD55</f>
        <v>0.33579711044647792</v>
      </c>
      <c r="FE93" s="429"/>
      <c r="FF93" s="430">
        <f>FF92/FF55</f>
        <v>0.40005525933215219</v>
      </c>
      <c r="FG93" s="429"/>
      <c r="FH93" s="430">
        <f>FH92/FH55</f>
        <v>0.37346793411971985</v>
      </c>
      <c r="FI93" s="429"/>
      <c r="FJ93" s="430">
        <f>FJ92/FJ55</f>
        <v>0.36063108435171864</v>
      </c>
      <c r="FK93" s="429"/>
      <c r="FL93" s="430">
        <f>FL92/FL55</f>
        <v>0.35875745742549459</v>
      </c>
      <c r="FM93" s="429"/>
      <c r="FN93" s="430">
        <f>FN92/FN55</f>
        <v>0.35417827177182332</v>
      </c>
      <c r="FO93" s="429"/>
      <c r="FP93" s="430">
        <f>FP92/FP55</f>
        <v>0.35417827177182332</v>
      </c>
      <c r="FQ93" s="231"/>
      <c r="FR93" s="429"/>
      <c r="FS93" s="430">
        <f>FS92/FS55</f>
        <v>0.11638295892214913</v>
      </c>
      <c r="FT93" s="429"/>
      <c r="FU93" s="430">
        <f>FU92/FU55</f>
        <v>0.11939435441118075</v>
      </c>
      <c r="FV93" s="429"/>
      <c r="FW93" s="430">
        <f>FW92/FW55</f>
        <v>0.12045826256226645</v>
      </c>
      <c r="FX93" s="429"/>
      <c r="FY93" s="430">
        <f>FY92/FY55</f>
        <v>7.0413031043275162E-2</v>
      </c>
      <c r="FZ93" s="429"/>
      <c r="GA93" s="430">
        <f>GA92/GA55</f>
        <v>9.4960857840802326E-2</v>
      </c>
      <c r="GB93" s="429"/>
      <c r="GC93" s="430">
        <f>GC92/GC55</f>
        <v>9.4960857840802326E-2</v>
      </c>
      <c r="GD93" s="429"/>
      <c r="GE93" s="430">
        <f>GE92/GE55</f>
        <v>9.5644029479944784E-2</v>
      </c>
      <c r="GF93" s="429"/>
      <c r="GG93" s="430">
        <f>GG92/GG55</f>
        <v>9.4321167876196099E-2</v>
      </c>
      <c r="GH93" s="429"/>
      <c r="GI93" s="430">
        <f>GI92/GI55</f>
        <v>0.14081601851386025</v>
      </c>
      <c r="GJ93" s="429"/>
      <c r="GK93" s="430">
        <f>GK92/GK55</f>
        <v>0.14297729184188396</v>
      </c>
      <c r="GL93" s="429"/>
      <c r="GM93" s="430">
        <f>GM92/GM55</f>
        <v>0.26851846155196729</v>
      </c>
      <c r="GN93" s="429"/>
      <c r="GO93" s="430">
        <f>GO92/GO55</f>
        <v>0.25177025963808036</v>
      </c>
      <c r="GP93" s="429"/>
      <c r="GQ93" s="430">
        <f>GQ92/GQ55</f>
        <v>0.27915741872725081</v>
      </c>
      <c r="GR93" s="429"/>
      <c r="GS93" s="430">
        <f>GS92/GS55</f>
        <v>0.26130013338438823</v>
      </c>
      <c r="GT93" s="429"/>
      <c r="GU93" s="430">
        <f>GU92/GU55</f>
        <v>0.26837138138133582</v>
      </c>
      <c r="GV93" s="429"/>
      <c r="GW93" s="430">
        <f>GW92/GW55</f>
        <v>0.1657574216755853</v>
      </c>
      <c r="GX93" s="429"/>
      <c r="GY93" s="430">
        <f>GY92/GY55</f>
        <v>0.18671152228763679</v>
      </c>
      <c r="GZ93" s="429"/>
      <c r="HA93" s="430">
        <f>HA92/HA55</f>
        <v>0.22939444911690504</v>
      </c>
      <c r="HB93" s="429"/>
      <c r="HC93" s="430">
        <f>HC92/HC55</f>
        <v>0.23087813026240261</v>
      </c>
      <c r="HD93" s="429"/>
      <c r="HE93" s="430">
        <f>HE92/HE55</f>
        <v>0.31688495119164395</v>
      </c>
      <c r="HF93" s="429"/>
      <c r="HG93" s="430">
        <f>HG92/HG55</f>
        <v>0.30976297141214965</v>
      </c>
      <c r="HH93" s="429"/>
      <c r="HI93" s="430">
        <f>HI92/HI55</f>
        <v>0.31848071925826077</v>
      </c>
      <c r="HJ93" s="429"/>
      <c r="HK93" s="430">
        <f>HK92/HK55</f>
        <v>0.32309486523901443</v>
      </c>
      <c r="HL93" s="429"/>
      <c r="HM93" s="430">
        <f>HM92/HM55</f>
        <v>0.3471586366677758</v>
      </c>
      <c r="HN93" s="429"/>
      <c r="HO93" s="430">
        <f>HO92/HO55</f>
        <v>0.34392400769498521</v>
      </c>
      <c r="HP93" s="429"/>
      <c r="HQ93" s="430">
        <f>HQ92/HQ55</f>
        <v>0.33958721811198245</v>
      </c>
      <c r="HR93" s="429"/>
      <c r="HS93" s="430">
        <f>HS92/HS55</f>
        <v>0.30684828632022165</v>
      </c>
      <c r="HT93" s="429"/>
      <c r="HU93" s="430">
        <f>HU92/HU55</f>
        <v>0.31671407712230842</v>
      </c>
      <c r="HV93" s="429"/>
      <c r="HW93" s="430">
        <f>HW92/HW55</f>
        <v>0.29451861595032625</v>
      </c>
      <c r="HX93" s="429"/>
      <c r="HY93" s="430">
        <f>HY92/HY55</f>
        <v>0.21411437380115772</v>
      </c>
      <c r="HZ93" s="429"/>
      <c r="IA93" s="430">
        <f>IA92/IA55</f>
        <v>0.1980724541788505</v>
      </c>
      <c r="IB93" s="429"/>
      <c r="IC93" s="430">
        <f>IC92/IC55</f>
        <v>0.31928027345063403</v>
      </c>
      <c r="ID93" s="429"/>
      <c r="IE93" s="430">
        <f>IE92/IE55</f>
        <v>0.33048239937065155</v>
      </c>
      <c r="IF93" s="429"/>
      <c r="IG93" s="430">
        <f>IG92/IG55</f>
        <v>0.32661916572411409</v>
      </c>
      <c r="IH93" s="429"/>
      <c r="II93" s="430">
        <f>II92/II55</f>
        <v>0.30776499040666971</v>
      </c>
      <c r="IJ93" s="429"/>
      <c r="IK93" s="430">
        <f>IK92/IK55</f>
        <v>0.28808876929184007</v>
      </c>
      <c r="IL93" s="429"/>
      <c r="IM93" s="430">
        <f>IM92/IM55</f>
        <v>0.29908904231868005</v>
      </c>
      <c r="IN93" s="429"/>
      <c r="IO93" s="430">
        <f>IO92/IO55</f>
        <v>0.30966616005898573</v>
      </c>
      <c r="IP93" s="429"/>
      <c r="IQ93" s="430">
        <f>IQ92/IQ55</f>
        <v>0.31871290921830098</v>
      </c>
      <c r="IR93" s="429"/>
      <c r="IS93" s="430">
        <f>IS92/IS55</f>
        <v>0.31097253903274175</v>
      </c>
      <c r="IT93" s="429"/>
      <c r="IU93" s="430">
        <f>IU92/IU55</f>
        <v>0.29505655762741445</v>
      </c>
      <c r="IV93" s="429"/>
      <c r="IW93" s="430">
        <f>IW92/IW55</f>
        <v>0.32475915984519788</v>
      </c>
      <c r="IX93" s="429"/>
      <c r="IY93" s="430">
        <f>IY92/IY55</f>
        <v>0.322116832279434</v>
      </c>
      <c r="IZ93" s="231"/>
      <c r="JA93" s="429"/>
      <c r="JB93" s="430">
        <f>JB92/JB55</f>
        <v>0.26829268292682934</v>
      </c>
      <c r="JC93" s="429"/>
      <c r="JD93" s="430">
        <f>JD92/JD55</f>
        <v>0.25941648656992905</v>
      </c>
      <c r="JE93" s="231"/>
      <c r="JF93" s="429"/>
      <c r="JG93" s="430">
        <f>JG92/JG55</f>
        <v>0.21085509494231858</v>
      </c>
      <c r="JH93" s="429"/>
      <c r="JI93" s="430">
        <f>JI92/JI55</f>
        <v>0.210235842459152</v>
      </c>
      <c r="JJ93" s="429"/>
      <c r="JK93" s="430">
        <f>JK92/JK55</f>
        <v>0.20815916059606357</v>
      </c>
      <c r="JL93" s="429"/>
      <c r="JM93" s="430">
        <f>JM92/JM55</f>
        <v>0.16355193603827892</v>
      </c>
      <c r="JN93" s="429"/>
      <c r="JO93" s="430">
        <f>JO92/JO55</f>
        <v>0.19612268708019837</v>
      </c>
      <c r="JP93" s="429"/>
      <c r="JQ93" s="430">
        <f>JQ92/JQ55</f>
        <v>0.20122234055745825</v>
      </c>
      <c r="JR93" s="429"/>
      <c r="JS93" s="430">
        <f>JS92/JS55</f>
        <v>0.12462164700970668</v>
      </c>
      <c r="JT93" s="429"/>
      <c r="JU93" s="430">
        <f>JU92/JU55</f>
        <v>0.16325270200720543</v>
      </c>
      <c r="JV93" s="429"/>
      <c r="JW93" s="430">
        <f>JW92/JW55</f>
        <v>0.26027997270771747</v>
      </c>
      <c r="JX93" s="429"/>
      <c r="JY93" s="430">
        <f>JY92/JY55</f>
        <v>0.20741454020221473</v>
      </c>
      <c r="JZ93" s="429"/>
      <c r="KA93" s="430">
        <f>KA92/KA55</f>
        <v>0.2538267257055663</v>
      </c>
      <c r="KB93" s="429"/>
      <c r="KC93" s="430">
        <f>KC92/KC55</f>
        <v>0.2423950453110037</v>
      </c>
      <c r="KD93" s="429"/>
      <c r="KE93" s="430">
        <f>KE92/KE55</f>
        <v>0.24828838103251477</v>
      </c>
      <c r="KF93" s="429"/>
      <c r="KG93" s="430">
        <f>KG92/KG55</f>
        <v>0.177532110224558</v>
      </c>
      <c r="KH93" s="429"/>
      <c r="KI93" s="430">
        <f>KI92/KI55</f>
        <v>0.184251158003088</v>
      </c>
      <c r="KJ93" s="429"/>
      <c r="KK93" s="430">
        <f>KK92/KK55</f>
        <v>0.22902727740607307</v>
      </c>
      <c r="KL93" s="429"/>
      <c r="KM93" s="430">
        <f>KM92/KM55</f>
        <v>0.23897785211656392</v>
      </c>
      <c r="KN93" s="429"/>
      <c r="KO93" s="430">
        <f>KO92/KO55</f>
        <v>0.27514352492029781</v>
      </c>
      <c r="KP93" s="429"/>
      <c r="KQ93" s="430">
        <f>KQ92/KQ55</f>
        <v>0.24786481270171989</v>
      </c>
      <c r="KR93" s="429"/>
      <c r="KS93" s="430">
        <f>KS92/KS55</f>
        <v>0.28330377790875333</v>
      </c>
      <c r="KT93" s="429"/>
      <c r="KU93" s="430">
        <f>KU92/KU55</f>
        <v>0.28703532968797002</v>
      </c>
      <c r="KV93" s="429"/>
      <c r="KW93" s="430">
        <f>KW92/KW55</f>
        <v>0.31092652922859965</v>
      </c>
      <c r="KX93" s="429"/>
      <c r="KY93" s="430">
        <f>KY92/KY55</f>
        <v>0.33169852335557071</v>
      </c>
      <c r="KZ93" s="429"/>
      <c r="LA93" s="430">
        <f>LA92/LA55</f>
        <v>0.35034463583429476</v>
      </c>
      <c r="LB93" s="429"/>
      <c r="LC93" s="430">
        <f>LC92/LC55</f>
        <v>0.28607381890147665</v>
      </c>
      <c r="LD93" s="429"/>
      <c r="LE93" s="430">
        <f>LE92/LE55</f>
        <v>0.27907387215616902</v>
      </c>
      <c r="LF93" s="429"/>
      <c r="LG93" s="430">
        <f>LG92/LG55</f>
        <v>0.21005413593940306</v>
      </c>
      <c r="LH93" s="429"/>
      <c r="LI93" s="430">
        <f>LI92/LI55</f>
        <v>0.30138559195223552</v>
      </c>
      <c r="LJ93" s="429"/>
      <c r="LK93" s="430">
        <f>LK92/LK55</f>
        <v>0.2564555804752674</v>
      </c>
      <c r="LL93" s="429"/>
      <c r="LM93" s="430">
        <f>LM92/LM55</f>
        <v>0.30395175406713387</v>
      </c>
      <c r="LN93" s="429"/>
      <c r="LO93" s="430">
        <f>LO92/LO55</f>
        <v>0.3173070743350993</v>
      </c>
      <c r="LP93" s="429"/>
      <c r="LQ93" s="430">
        <f>LQ92/LQ55</f>
        <v>0.29756507922676478</v>
      </c>
      <c r="LR93" s="429"/>
      <c r="LS93" s="430">
        <f>LS92/LS55</f>
        <v>0.26574080942950018</v>
      </c>
      <c r="LT93" s="429"/>
      <c r="LU93" s="430">
        <f>LU92/LU55</f>
        <v>0.24479610999370954</v>
      </c>
      <c r="LV93" s="429"/>
      <c r="LW93" s="430">
        <f>LW92/LW55</f>
        <v>0.25617222136995171</v>
      </c>
      <c r="LX93" s="429"/>
      <c r="LY93" s="430">
        <f>LY92/LY55</f>
        <v>0.26743647903107776</v>
      </c>
      <c r="LZ93" s="429"/>
      <c r="MA93" s="430">
        <f>MA92/MA55</f>
        <v>0.27707094808286659</v>
      </c>
      <c r="MB93" s="429"/>
      <c r="MC93" s="430">
        <f>MC92/MC55</f>
        <v>0.2734101985135069</v>
      </c>
      <c r="MD93" s="429"/>
      <c r="ME93" s="430">
        <f>ME92/ME55</f>
        <v>0.35244854296144651</v>
      </c>
      <c r="MF93" s="429"/>
      <c r="MG93" s="430">
        <f>MG92/MG55</f>
        <v>0.28837295006449237</v>
      </c>
      <c r="MH93" s="231"/>
      <c r="MI93" s="429"/>
      <c r="MJ93" s="430">
        <f>MJ92/MJ55</f>
        <v>0.11567178830488575</v>
      </c>
      <c r="MK93" s="429"/>
      <c r="ML93" s="430">
        <f>ML92/ML55</f>
        <v>0.11763871329462144</v>
      </c>
      <c r="MM93" s="429"/>
      <c r="MN93" s="430">
        <f>MN92/MN55</f>
        <v>0.11393963458761977</v>
      </c>
      <c r="MO93" s="429"/>
      <c r="MP93" s="430">
        <f>MP92/MP55</f>
        <v>6.4605799896919516E-2</v>
      </c>
      <c r="MQ93" s="429"/>
      <c r="MR93" s="430">
        <f>MR92/MR55</f>
        <v>9.8754364610886478E-2</v>
      </c>
      <c r="MS93" s="429"/>
      <c r="MT93" s="430">
        <f>MT92/MT55</f>
        <v>8.6458616575110628E-2</v>
      </c>
      <c r="MU93" s="429"/>
      <c r="MV93" s="430">
        <f>MV92/MV55</f>
        <v>5.0185109008638436E-2</v>
      </c>
      <c r="MW93" s="429"/>
      <c r="MX93" s="430">
        <f>MX92/MX55</f>
        <v>0.19321468298109007</v>
      </c>
      <c r="MY93" s="429"/>
      <c r="MZ93" s="430">
        <f>MZ92/MZ55</f>
        <v>0.30205946175724746</v>
      </c>
      <c r="NA93" s="429"/>
      <c r="NB93" s="430">
        <f>NB92/NB55</f>
        <v>0.262955254942768</v>
      </c>
      <c r="NC93" s="429"/>
      <c r="ND93" s="430">
        <f>ND92/ND55</f>
        <v>0.29761279383296652</v>
      </c>
      <c r="NE93" s="429"/>
      <c r="NF93" s="430">
        <f>NF92/NF55</f>
        <v>0.30206496702776414</v>
      </c>
      <c r="NG93" s="429"/>
      <c r="NH93" s="430">
        <f>NH92/NH55</f>
        <v>0.30138768721534676</v>
      </c>
      <c r="NI93" s="429"/>
      <c r="NJ93" s="430">
        <f>NJ92/NJ55</f>
        <v>0.24310225585578177</v>
      </c>
      <c r="NK93" s="429"/>
      <c r="NL93" s="430">
        <f>NL92/NL55</f>
        <v>0.2296996662958844</v>
      </c>
      <c r="NM93" s="429"/>
      <c r="NN93" s="430">
        <f>NN92/NN55</f>
        <v>0.2780867630700779</v>
      </c>
      <c r="NO93" s="429"/>
      <c r="NP93" s="430">
        <f>NP92/NP55</f>
        <v>0.30503122861979448</v>
      </c>
      <c r="NQ93" s="429"/>
      <c r="NR93" s="430">
        <f>NR92/NR55</f>
        <v>0.34459280538829701</v>
      </c>
      <c r="NS93" s="429"/>
      <c r="NT93" s="430">
        <f>NT92/NT55</f>
        <v>0.35530516802795753</v>
      </c>
      <c r="NU93" s="429"/>
      <c r="NV93" s="430">
        <f>NV92/NV55</f>
        <v>0.26453416050604223</v>
      </c>
      <c r="NW93" s="429"/>
      <c r="NX93" s="430">
        <f>NX92/NX55</f>
        <v>0.35131240492118954</v>
      </c>
      <c r="NY93" s="429"/>
      <c r="NZ93" s="430">
        <f>NZ92/NZ55</f>
        <v>0.31923549434972437</v>
      </c>
      <c r="OA93" s="429"/>
      <c r="OB93" s="430">
        <f>OB92/OB55</f>
        <v>0.386053369635598</v>
      </c>
      <c r="OC93" s="429"/>
      <c r="OD93" s="430">
        <f>OD92/OD55</f>
        <v>0.39292983771761175</v>
      </c>
      <c r="OE93" s="429"/>
      <c r="OF93" s="430">
        <f>OF92/OF55</f>
        <v>0.33808402079983846</v>
      </c>
      <c r="OG93" s="429"/>
      <c r="OH93" s="430">
        <f>OH92/OH55</f>
        <v>0.32365496808664529</v>
      </c>
      <c r="OI93" s="429"/>
      <c r="OJ93" s="430">
        <f>OJ92/OJ55</f>
        <v>0.29405419123795234</v>
      </c>
      <c r="OK93" s="429"/>
      <c r="OL93" s="430">
        <f>OL92/OL55</f>
        <v>0.32783959207512781</v>
      </c>
      <c r="OM93" s="429"/>
      <c r="ON93" s="430">
        <f>ON92/ON55</f>
        <v>0.29148935262997527</v>
      </c>
      <c r="OO93" s="429"/>
      <c r="OP93" s="430">
        <f>OP92/OP55</f>
        <v>0.31499002451051256</v>
      </c>
      <c r="OQ93" s="429"/>
      <c r="OR93" s="430">
        <f>OR92/OR55</f>
        <v>0.31862598259141417</v>
      </c>
      <c r="OS93" s="429"/>
      <c r="OT93" s="430">
        <f>OT92/OT55</f>
        <v>0.30641469735778043</v>
      </c>
      <c r="OU93" s="429"/>
      <c r="OV93" s="430">
        <f>OV92/OV55</f>
        <v>0.2138810984505366</v>
      </c>
      <c r="OW93" s="429"/>
      <c r="OX93" s="430">
        <f>OX92/OX55</f>
        <v>0.19146599429356409</v>
      </c>
      <c r="OY93" s="429"/>
      <c r="OZ93" s="430">
        <f>OZ92/OZ55</f>
        <v>0.20364075584512123</v>
      </c>
      <c r="PA93" s="429"/>
      <c r="PB93" s="430">
        <f>PB92/PB55</f>
        <v>0.2156958110871009</v>
      </c>
      <c r="PC93" s="429"/>
      <c r="PD93" s="430">
        <f>PD92/PD55</f>
        <v>0.22600665980350412</v>
      </c>
      <c r="PE93" s="429"/>
      <c r="PF93" s="430">
        <f>PF92/PF55</f>
        <v>0.26941536608527844</v>
      </c>
      <c r="PG93" s="429"/>
      <c r="PH93" s="430">
        <f>PH92/PH55</f>
        <v>0.36447945937143855</v>
      </c>
      <c r="PI93" s="429"/>
      <c r="PJ93" s="430">
        <f>PJ92/PJ55</f>
        <v>0.37640705193772411</v>
      </c>
      <c r="PK93" s="429"/>
      <c r="PL93" s="430">
        <f>PL92/PL55</f>
        <v>0.37488457987072943</v>
      </c>
      <c r="PM93" s="429"/>
      <c r="PN93" s="430">
        <f>PN92/PN55</f>
        <v>0.37037037037037035</v>
      </c>
      <c r="PO93" s="429"/>
      <c r="PP93" s="430">
        <f>PP92/PP55</f>
        <v>0.37037037037037035</v>
      </c>
      <c r="PQ93" s="245"/>
      <c r="PR93" s="429"/>
      <c r="PS93" s="430">
        <f>PS92/PS55</f>
        <v>0.51455543593597908</v>
      </c>
      <c r="PT93" s="429"/>
      <c r="PU93" s="430">
        <f>PU92/PU55</f>
        <v>0.55422088755422094</v>
      </c>
      <c r="PV93" s="429"/>
      <c r="PW93" s="430">
        <f>PW92/PW55</f>
        <v>0.57692579180700687</v>
      </c>
      <c r="PX93" s="429"/>
      <c r="PY93" s="430">
        <f>PY92/PY55</f>
        <v>0.62139917695473257</v>
      </c>
      <c r="PZ93" s="429"/>
      <c r="QA93" s="430">
        <f>QA92/QA55</f>
        <v>0.73829541250006336</v>
      </c>
      <c r="QB93" s="429"/>
      <c r="QC93" s="430">
        <f>QC92/QC55</f>
        <v>0.79656862745098034</v>
      </c>
      <c r="QD93" s="245"/>
      <c r="QE93" s="245"/>
      <c r="QF93" s="429"/>
      <c r="QG93" s="430">
        <f>QG92/QG55</f>
        <v>0.43309976643309978</v>
      </c>
      <c r="QH93" s="429"/>
      <c r="QI93" s="430">
        <f>QI92/QI55</f>
        <v>0.4698031364698031</v>
      </c>
      <c r="QJ93" s="429"/>
      <c r="QK93" s="430">
        <f>QK92/QK55</f>
        <v>0.48559670781893</v>
      </c>
      <c r="QL93" s="429"/>
      <c r="QM93" s="430">
        <f>QM92/QM55</f>
        <v>0.52674897119341557</v>
      </c>
      <c r="QN93" s="429"/>
      <c r="QO93" s="430">
        <f>QO92/QO55</f>
        <v>0.36438458660680889</v>
      </c>
      <c r="QP93" s="429"/>
      <c r="QQ93" s="430">
        <f>QQ92/QQ55</f>
        <v>0.40553684998129447</v>
      </c>
    </row>
    <row r="94" spans="1:459" x14ac:dyDescent="0.45">
      <c r="A94" s="871"/>
      <c r="B94" s="438"/>
      <c r="C94" s="439"/>
      <c r="D94" s="440"/>
      <c r="E94" s="441"/>
      <c r="F94" s="442"/>
      <c r="G94" s="443"/>
      <c r="H94" s="442"/>
      <c r="I94" s="443"/>
      <c r="J94" s="442"/>
      <c r="K94" s="443"/>
      <c r="L94" s="442"/>
      <c r="M94" s="443"/>
      <c r="N94" s="442"/>
      <c r="O94" s="443"/>
      <c r="P94" s="442"/>
      <c r="Q94" s="443"/>
      <c r="R94" s="442"/>
      <c r="S94" s="443"/>
      <c r="T94" s="442"/>
      <c r="U94" s="443"/>
      <c r="V94" s="442"/>
      <c r="W94" s="443"/>
      <c r="X94" s="442"/>
      <c r="Y94" s="443"/>
      <c r="Z94" s="442"/>
      <c r="AA94" s="443"/>
      <c r="AB94" s="442"/>
      <c r="AC94" s="443"/>
      <c r="AD94" s="442"/>
      <c r="AE94" s="443"/>
      <c r="AF94" s="442"/>
      <c r="AG94" s="443"/>
      <c r="AH94" s="442"/>
      <c r="AI94" s="443"/>
      <c r="AJ94" s="442"/>
      <c r="AK94" s="443"/>
      <c r="AL94" s="442"/>
      <c r="AM94" s="443"/>
      <c r="AN94" s="442"/>
      <c r="AO94" s="443"/>
      <c r="AP94" s="442"/>
      <c r="AQ94" s="443"/>
      <c r="AR94" s="442"/>
      <c r="AS94" s="443"/>
      <c r="AT94" s="442"/>
      <c r="AU94" s="443"/>
      <c r="AV94" s="442"/>
      <c r="AW94" s="443"/>
      <c r="AX94" s="442"/>
      <c r="AY94" s="443"/>
      <c r="AZ94" s="442"/>
      <c r="BA94" s="443"/>
      <c r="BB94" s="442"/>
      <c r="BC94" s="443"/>
      <c r="BD94" s="442"/>
      <c r="BE94" s="443"/>
      <c r="BF94" s="442"/>
      <c r="BG94" s="443"/>
      <c r="BH94" s="442"/>
      <c r="BI94" s="443"/>
      <c r="BJ94" s="442"/>
      <c r="BK94" s="443"/>
      <c r="BL94" s="442"/>
      <c r="BM94" s="443"/>
      <c r="BN94" s="442"/>
      <c r="BO94" s="443"/>
      <c r="BP94" s="442"/>
      <c r="BQ94" s="443"/>
      <c r="BR94" s="442"/>
      <c r="BS94" s="443"/>
      <c r="BT94" s="442"/>
      <c r="BU94" s="443"/>
      <c r="BV94" s="442"/>
      <c r="BW94" s="443"/>
      <c r="BX94" s="442"/>
      <c r="BY94" s="443"/>
      <c r="BZ94" s="442"/>
      <c r="CA94" s="443"/>
      <c r="CB94" s="442"/>
      <c r="CC94" s="443"/>
      <c r="CD94" s="442"/>
      <c r="CE94" s="443"/>
      <c r="CF94" s="442"/>
      <c r="CG94" s="443"/>
      <c r="CH94" s="442"/>
      <c r="CI94" s="443"/>
      <c r="CJ94" s="442"/>
      <c r="CK94" s="443"/>
      <c r="CL94" s="442"/>
      <c r="CM94" s="443"/>
      <c r="CN94" s="442"/>
      <c r="CO94" s="443"/>
      <c r="CP94" s="442"/>
      <c r="CQ94" s="443"/>
      <c r="CR94" s="442"/>
      <c r="CS94" s="443"/>
      <c r="CT94" s="439"/>
      <c r="CU94" s="444"/>
      <c r="CV94" s="443"/>
      <c r="CW94" s="444"/>
      <c r="CX94" s="443"/>
      <c r="CY94" s="444"/>
      <c r="CZ94" s="443"/>
      <c r="DA94" s="444"/>
      <c r="DB94" s="443"/>
      <c r="DC94" s="444"/>
      <c r="DD94" s="443"/>
      <c r="DE94" s="444"/>
      <c r="DF94" s="443"/>
      <c r="DG94" s="444"/>
      <c r="DH94" s="443"/>
      <c r="DI94" s="444"/>
      <c r="DJ94" s="443"/>
      <c r="DK94" s="444"/>
      <c r="DL94" s="443"/>
      <c r="DM94" s="444"/>
      <c r="DN94" s="443"/>
      <c r="DO94" s="444"/>
      <c r="DP94" s="443"/>
      <c r="DQ94" s="444"/>
      <c r="DR94" s="443"/>
      <c r="DS94" s="444"/>
      <c r="DT94" s="443"/>
      <c r="DU94" s="444"/>
      <c r="DV94" s="443"/>
      <c r="DW94" s="444"/>
      <c r="DX94" s="443"/>
      <c r="DY94" s="444"/>
      <c r="DZ94" s="443"/>
      <c r="EA94" s="444"/>
      <c r="EB94" s="443"/>
      <c r="EC94" s="444"/>
      <c r="ED94" s="443"/>
      <c r="EE94" s="444"/>
      <c r="EF94" s="443"/>
      <c r="EG94" s="444"/>
      <c r="EH94" s="443"/>
      <c r="EI94" s="444"/>
      <c r="EJ94" s="443"/>
      <c r="EK94" s="444"/>
      <c r="EL94" s="443"/>
      <c r="EM94" s="444"/>
      <c r="EN94" s="443"/>
      <c r="EO94" s="444"/>
      <c r="EP94" s="443"/>
      <c r="EQ94" s="444"/>
      <c r="ER94" s="443"/>
      <c r="ES94" s="444"/>
      <c r="ET94" s="443"/>
      <c r="EU94" s="444"/>
      <c r="EV94" s="443"/>
      <c r="EW94" s="444"/>
      <c r="EX94" s="443"/>
      <c r="EY94" s="444"/>
      <c r="EZ94" s="443"/>
      <c r="FA94" s="444"/>
      <c r="FB94" s="443"/>
      <c r="FC94" s="444"/>
      <c r="FD94" s="443"/>
      <c r="FE94" s="444"/>
      <c r="FF94" s="443"/>
      <c r="FG94" s="444"/>
      <c r="FH94" s="443"/>
      <c r="FI94" s="444"/>
      <c r="FJ94" s="443"/>
      <c r="FK94" s="444"/>
      <c r="FL94" s="443"/>
      <c r="FM94" s="444"/>
      <c r="FN94" s="443"/>
      <c r="FO94" s="444"/>
      <c r="FP94" s="443"/>
      <c r="FQ94" s="231"/>
      <c r="FR94" s="442"/>
      <c r="FS94" s="443"/>
      <c r="FT94" s="442"/>
      <c r="FU94" s="443"/>
      <c r="FV94" s="442"/>
      <c r="FW94" s="443"/>
      <c r="FX94" s="442"/>
      <c r="FY94" s="443"/>
      <c r="FZ94" s="442"/>
      <c r="GA94" s="443"/>
      <c r="GB94" s="442"/>
      <c r="GC94" s="443"/>
      <c r="GD94" s="442"/>
      <c r="GE94" s="443"/>
      <c r="GF94" s="442"/>
      <c r="GG94" s="443"/>
      <c r="GH94" s="442"/>
      <c r="GI94" s="443"/>
      <c r="GJ94" s="442"/>
      <c r="GK94" s="443"/>
      <c r="GL94" s="442"/>
      <c r="GM94" s="443"/>
      <c r="GN94" s="442"/>
      <c r="GO94" s="443"/>
      <c r="GP94" s="442"/>
      <c r="GQ94" s="443"/>
      <c r="GR94" s="442"/>
      <c r="GS94" s="443"/>
      <c r="GT94" s="442"/>
      <c r="GU94" s="443"/>
      <c r="GV94" s="442"/>
      <c r="GW94" s="443"/>
      <c r="GX94" s="442"/>
      <c r="GY94" s="443"/>
      <c r="GZ94" s="442"/>
      <c r="HA94" s="443"/>
      <c r="HB94" s="442"/>
      <c r="HC94" s="443"/>
      <c r="HD94" s="442"/>
      <c r="HE94" s="443"/>
      <c r="HF94" s="442"/>
      <c r="HG94" s="443"/>
      <c r="HH94" s="442"/>
      <c r="HI94" s="443"/>
      <c r="HJ94" s="442"/>
      <c r="HK94" s="443"/>
      <c r="HL94" s="442"/>
      <c r="HM94" s="443"/>
      <c r="HN94" s="442"/>
      <c r="HO94" s="443"/>
      <c r="HP94" s="442"/>
      <c r="HQ94" s="443"/>
      <c r="HR94" s="442"/>
      <c r="HS94" s="443"/>
      <c r="HT94" s="442"/>
      <c r="HU94" s="443"/>
      <c r="HV94" s="442"/>
      <c r="HW94" s="443"/>
      <c r="HX94" s="442"/>
      <c r="HY94" s="443"/>
      <c r="HZ94" s="442"/>
      <c r="IA94" s="443"/>
      <c r="IB94" s="442"/>
      <c r="IC94" s="443"/>
      <c r="ID94" s="442"/>
      <c r="IE94" s="443"/>
      <c r="IF94" s="442"/>
      <c r="IG94" s="443"/>
      <c r="IH94" s="442"/>
      <c r="II94" s="443"/>
      <c r="IJ94" s="442"/>
      <c r="IK94" s="443"/>
      <c r="IL94" s="442"/>
      <c r="IM94" s="443"/>
      <c r="IN94" s="442"/>
      <c r="IO94" s="443"/>
      <c r="IP94" s="442"/>
      <c r="IQ94" s="443"/>
      <c r="IR94" s="442"/>
      <c r="IS94" s="443"/>
      <c r="IT94" s="442"/>
      <c r="IU94" s="443"/>
      <c r="IV94" s="442"/>
      <c r="IW94" s="443"/>
      <c r="IX94" s="442"/>
      <c r="IY94" s="443"/>
      <c r="IZ94" s="441"/>
      <c r="JA94" s="442"/>
      <c r="JB94" s="443"/>
      <c r="JC94" s="442"/>
      <c r="JD94" s="443"/>
      <c r="JE94" s="441"/>
      <c r="JF94" s="442"/>
      <c r="JG94" s="443"/>
      <c r="JH94" s="442"/>
      <c r="JI94" s="443"/>
      <c r="JJ94" s="442"/>
      <c r="JK94" s="443"/>
      <c r="JL94" s="442"/>
      <c r="JM94" s="443"/>
      <c r="JN94" s="442"/>
      <c r="JO94" s="443"/>
      <c r="JP94" s="442"/>
      <c r="JQ94" s="443"/>
      <c r="JR94" s="442"/>
      <c r="JS94" s="443"/>
      <c r="JT94" s="442"/>
      <c r="JU94" s="443"/>
      <c r="JV94" s="442"/>
      <c r="JW94" s="443"/>
      <c r="JX94" s="442"/>
      <c r="JY94" s="443"/>
      <c r="JZ94" s="442"/>
      <c r="KA94" s="443"/>
      <c r="KB94" s="442"/>
      <c r="KC94" s="443"/>
      <c r="KD94" s="442"/>
      <c r="KE94" s="443"/>
      <c r="KF94" s="442"/>
      <c r="KG94" s="443"/>
      <c r="KH94" s="442"/>
      <c r="KI94" s="443"/>
      <c r="KJ94" s="442"/>
      <c r="KK94" s="443"/>
      <c r="KL94" s="442"/>
      <c r="KM94" s="443"/>
      <c r="KN94" s="442"/>
      <c r="KO94" s="443"/>
      <c r="KP94" s="442"/>
      <c r="KQ94" s="443"/>
      <c r="KR94" s="442"/>
      <c r="KS94" s="443"/>
      <c r="KT94" s="442"/>
      <c r="KU94" s="443"/>
      <c r="KV94" s="442"/>
      <c r="KW94" s="443"/>
      <c r="KX94" s="442"/>
      <c r="KY94" s="443"/>
      <c r="KZ94" s="442"/>
      <c r="LA94" s="443"/>
      <c r="LB94" s="442"/>
      <c r="LC94" s="443"/>
      <c r="LD94" s="442"/>
      <c r="LE94" s="443"/>
      <c r="LF94" s="442"/>
      <c r="LG94" s="443"/>
      <c r="LH94" s="442"/>
      <c r="LI94" s="443"/>
      <c r="LJ94" s="442"/>
      <c r="LK94" s="443"/>
      <c r="LL94" s="442"/>
      <c r="LM94" s="443"/>
      <c r="LN94" s="442"/>
      <c r="LO94" s="443"/>
      <c r="LP94" s="442"/>
      <c r="LQ94" s="443"/>
      <c r="LR94" s="442"/>
      <c r="LS94" s="443"/>
      <c r="LT94" s="442"/>
      <c r="LU94" s="443"/>
      <c r="LV94" s="442"/>
      <c r="LW94" s="443"/>
      <c r="LX94" s="442"/>
      <c r="LY94" s="443"/>
      <c r="LZ94" s="442"/>
      <c r="MA94" s="443"/>
      <c r="MB94" s="442"/>
      <c r="MC94" s="443"/>
      <c r="MD94" s="442"/>
      <c r="ME94" s="443"/>
      <c r="MF94" s="442"/>
      <c r="MG94" s="443"/>
      <c r="MH94" s="441"/>
      <c r="MI94" s="442"/>
      <c r="MJ94" s="443"/>
      <c r="MK94" s="442"/>
      <c r="ML94" s="443"/>
      <c r="MM94" s="442"/>
      <c r="MN94" s="443"/>
      <c r="MO94" s="442"/>
      <c r="MP94" s="443"/>
      <c r="MQ94" s="442"/>
      <c r="MR94" s="443"/>
      <c r="MS94" s="442"/>
      <c r="MT94" s="443"/>
      <c r="MU94" s="442"/>
      <c r="MV94" s="443"/>
      <c r="MW94" s="442"/>
      <c r="MX94" s="443"/>
      <c r="MY94" s="442"/>
      <c r="MZ94" s="443"/>
      <c r="NA94" s="442"/>
      <c r="NB94" s="443"/>
      <c r="NC94" s="442"/>
      <c r="ND94" s="443"/>
      <c r="NE94" s="442"/>
      <c r="NF94" s="443"/>
      <c r="NG94" s="442"/>
      <c r="NH94" s="443"/>
      <c r="NI94" s="442"/>
      <c r="NJ94" s="443"/>
      <c r="NK94" s="442"/>
      <c r="NL94" s="443"/>
      <c r="NM94" s="442"/>
      <c r="NN94" s="443"/>
      <c r="NO94" s="442"/>
      <c r="NP94" s="443"/>
      <c r="NQ94" s="442"/>
      <c r="NR94" s="443"/>
      <c r="NS94" s="442"/>
      <c r="NT94" s="443"/>
      <c r="NU94" s="442"/>
      <c r="NV94" s="443"/>
      <c r="NW94" s="442"/>
      <c r="NX94" s="443"/>
      <c r="NY94" s="442"/>
      <c r="NZ94" s="443"/>
      <c r="OA94" s="442"/>
      <c r="OB94" s="443"/>
      <c r="OC94" s="442"/>
      <c r="OD94" s="443"/>
      <c r="OE94" s="442"/>
      <c r="OF94" s="443"/>
      <c r="OG94" s="442"/>
      <c r="OH94" s="443"/>
      <c r="OI94" s="442"/>
      <c r="OJ94" s="443"/>
      <c r="OK94" s="442"/>
      <c r="OL94" s="443"/>
      <c r="OM94" s="442"/>
      <c r="ON94" s="443"/>
      <c r="OO94" s="442"/>
      <c r="OP94" s="443"/>
      <c r="OQ94" s="442"/>
      <c r="OR94" s="443"/>
      <c r="OS94" s="442"/>
      <c r="OT94" s="443"/>
      <c r="OU94" s="442"/>
      <c r="OV94" s="443"/>
      <c r="OW94" s="442"/>
      <c r="OX94" s="443"/>
      <c r="OY94" s="442"/>
      <c r="OZ94" s="443"/>
      <c r="PA94" s="442"/>
      <c r="PB94" s="443"/>
      <c r="PC94" s="442"/>
      <c r="PD94" s="443"/>
      <c r="PE94" s="442"/>
      <c r="PF94" s="443"/>
      <c r="PG94" s="442"/>
      <c r="PH94" s="443"/>
      <c r="PI94" s="442"/>
      <c r="PJ94" s="443"/>
      <c r="PK94" s="442"/>
      <c r="PL94" s="443"/>
      <c r="PM94" s="442"/>
      <c r="PN94" s="443"/>
      <c r="PO94" s="442"/>
      <c r="PP94" s="443"/>
      <c r="PQ94" s="245"/>
      <c r="PR94" s="442"/>
      <c r="PS94" s="443"/>
      <c r="PT94" s="442"/>
      <c r="PU94" s="443"/>
      <c r="PV94" s="442"/>
      <c r="PW94" s="443"/>
      <c r="PX94" s="442"/>
      <c r="PY94" s="443"/>
      <c r="PZ94" s="442"/>
      <c r="QA94" s="443"/>
      <c r="QB94" s="442"/>
      <c r="QC94" s="443"/>
      <c r="QD94" s="245"/>
      <c r="QE94" s="245"/>
      <c r="QF94" s="442"/>
      <c r="QG94" s="443"/>
      <c r="QH94" s="442"/>
      <c r="QI94" s="443"/>
      <c r="QJ94" s="442"/>
      <c r="QK94" s="443"/>
      <c r="QL94" s="442"/>
      <c r="QM94" s="443"/>
      <c r="QN94" s="442"/>
      <c r="QO94" s="443"/>
      <c r="QP94" s="442"/>
      <c r="QQ94" s="443"/>
    </row>
    <row r="95" spans="1:459" x14ac:dyDescent="0.45">
      <c r="A95" s="871"/>
      <c r="B95" s="445"/>
      <c r="C95" s="181"/>
      <c r="D95" s="446"/>
      <c r="E95" s="447"/>
      <c r="F95" s="448"/>
      <c r="G95" s="449"/>
      <c r="H95" s="448"/>
      <c r="I95" s="449"/>
      <c r="J95" s="448"/>
      <c r="K95" s="449"/>
      <c r="L95" s="448"/>
      <c r="M95" s="449"/>
      <c r="N95" s="448"/>
      <c r="O95" s="449"/>
      <c r="P95" s="448"/>
      <c r="Q95" s="449"/>
      <c r="R95" s="448"/>
      <c r="S95" s="449"/>
      <c r="T95" s="448"/>
      <c r="U95" s="449"/>
      <c r="V95" s="448"/>
      <c r="W95" s="449"/>
      <c r="X95" s="448"/>
      <c r="Y95" s="449"/>
      <c r="Z95" s="448"/>
      <c r="AA95" s="449"/>
      <c r="AB95" s="448"/>
      <c r="AC95" s="449"/>
      <c r="AD95" s="448"/>
      <c r="AE95" s="449"/>
      <c r="AF95" s="448"/>
      <c r="AG95" s="449"/>
      <c r="AH95" s="448"/>
      <c r="AI95" s="449"/>
      <c r="AJ95" s="448"/>
      <c r="AK95" s="449"/>
      <c r="AL95" s="448"/>
      <c r="AM95" s="449"/>
      <c r="AN95" s="448"/>
      <c r="AO95" s="449"/>
      <c r="AP95" s="448"/>
      <c r="AQ95" s="449"/>
      <c r="AR95" s="448"/>
      <c r="AS95" s="449"/>
      <c r="AT95" s="448"/>
      <c r="AU95" s="449"/>
      <c r="AV95" s="448"/>
      <c r="AW95" s="449"/>
      <c r="AX95" s="448"/>
      <c r="AY95" s="449"/>
      <c r="AZ95" s="448"/>
      <c r="BA95" s="449"/>
      <c r="BB95" s="448"/>
      <c r="BC95" s="449"/>
      <c r="BD95" s="448"/>
      <c r="BE95" s="449"/>
      <c r="BF95" s="448"/>
      <c r="BG95" s="449"/>
      <c r="BH95" s="448"/>
      <c r="BI95" s="449"/>
      <c r="BJ95" s="448"/>
      <c r="BK95" s="449"/>
      <c r="BL95" s="448"/>
      <c r="BM95" s="449"/>
      <c r="BN95" s="448"/>
      <c r="BO95" s="449"/>
      <c r="BP95" s="448"/>
      <c r="BQ95" s="449"/>
      <c r="BR95" s="448"/>
      <c r="BS95" s="449"/>
      <c r="BT95" s="448"/>
      <c r="BU95" s="449"/>
      <c r="BV95" s="448"/>
      <c r="BW95" s="449"/>
      <c r="BX95" s="448"/>
      <c r="BY95" s="449"/>
      <c r="BZ95" s="448"/>
      <c r="CA95" s="449"/>
      <c r="CB95" s="448"/>
      <c r="CC95" s="449"/>
      <c r="CD95" s="448"/>
      <c r="CE95" s="449"/>
      <c r="CF95" s="448"/>
      <c r="CG95" s="449"/>
      <c r="CH95" s="448"/>
      <c r="CI95" s="449"/>
      <c r="CJ95" s="448"/>
      <c r="CK95" s="449"/>
      <c r="CL95" s="448"/>
      <c r="CM95" s="449"/>
      <c r="CN95" s="448"/>
      <c r="CO95" s="449"/>
      <c r="CP95" s="448"/>
      <c r="CQ95" s="449"/>
      <c r="CR95" s="448"/>
      <c r="CS95" s="449"/>
      <c r="CT95" s="450"/>
      <c r="CU95" s="448"/>
      <c r="CV95" s="449"/>
      <c r="CW95" s="448"/>
      <c r="CX95" s="449"/>
      <c r="CY95" s="448"/>
      <c r="CZ95" s="449"/>
      <c r="DA95" s="448"/>
      <c r="DB95" s="449"/>
      <c r="DC95" s="448"/>
      <c r="DD95" s="449"/>
      <c r="DE95" s="448"/>
      <c r="DF95" s="449"/>
      <c r="DG95" s="448"/>
      <c r="DH95" s="449"/>
      <c r="DI95" s="448"/>
      <c r="DJ95" s="449"/>
      <c r="DK95" s="448"/>
      <c r="DL95" s="449"/>
      <c r="DM95" s="448"/>
      <c r="DN95" s="449"/>
      <c r="DO95" s="448"/>
      <c r="DP95" s="449"/>
      <c r="DQ95" s="448"/>
      <c r="DR95" s="449"/>
      <c r="DS95" s="448"/>
      <c r="DT95" s="449"/>
      <c r="DU95" s="448"/>
      <c r="DV95" s="449"/>
      <c r="DW95" s="448"/>
      <c r="DX95" s="449"/>
      <c r="DY95" s="448"/>
      <c r="DZ95" s="449"/>
      <c r="EA95" s="448"/>
      <c r="EB95" s="449"/>
      <c r="EC95" s="448"/>
      <c r="ED95" s="449"/>
      <c r="EE95" s="448"/>
      <c r="EF95" s="449"/>
      <c r="EG95" s="448"/>
      <c r="EH95" s="449"/>
      <c r="EI95" s="448"/>
      <c r="EJ95" s="449"/>
      <c r="EK95" s="448"/>
      <c r="EL95" s="449"/>
      <c r="EM95" s="448"/>
      <c r="EN95" s="449"/>
      <c r="EO95" s="448"/>
      <c r="EP95" s="449"/>
      <c r="EQ95" s="448"/>
      <c r="ER95" s="449"/>
      <c r="ES95" s="448"/>
      <c r="ET95" s="449"/>
      <c r="EU95" s="448"/>
      <c r="EV95" s="449"/>
      <c r="EW95" s="448"/>
      <c r="EX95" s="449"/>
      <c r="EY95" s="448"/>
      <c r="EZ95" s="449"/>
      <c r="FA95" s="448"/>
      <c r="FB95" s="449"/>
      <c r="FC95" s="448"/>
      <c r="FD95" s="449"/>
      <c r="FE95" s="448"/>
      <c r="FF95" s="449"/>
      <c r="FG95" s="448"/>
      <c r="FH95" s="449"/>
      <c r="FI95" s="448"/>
      <c r="FJ95" s="449"/>
      <c r="FK95" s="448"/>
      <c r="FL95" s="449"/>
      <c r="FM95" s="448"/>
      <c r="FN95" s="449"/>
      <c r="FO95" s="448"/>
      <c r="FP95" s="449"/>
      <c r="FQ95" s="447"/>
      <c r="FR95" s="448"/>
      <c r="FS95" s="449"/>
      <c r="FT95" s="448"/>
      <c r="FU95" s="449"/>
      <c r="FV95" s="448"/>
      <c r="FW95" s="449"/>
      <c r="FX95" s="448"/>
      <c r="FY95" s="449"/>
      <c r="FZ95" s="448"/>
      <c r="GA95" s="449"/>
      <c r="GB95" s="448"/>
      <c r="GC95" s="449"/>
      <c r="GD95" s="448"/>
      <c r="GE95" s="449"/>
      <c r="GF95" s="448"/>
      <c r="GG95" s="449"/>
      <c r="GH95" s="448"/>
      <c r="GI95" s="449"/>
      <c r="GJ95" s="448"/>
      <c r="GK95" s="449"/>
      <c r="GL95" s="448"/>
      <c r="GM95" s="449"/>
      <c r="GN95" s="448"/>
      <c r="GO95" s="449"/>
      <c r="GP95" s="448"/>
      <c r="GQ95" s="449"/>
      <c r="GR95" s="448"/>
      <c r="GS95" s="449"/>
      <c r="GT95" s="448"/>
      <c r="GU95" s="449"/>
      <c r="GV95" s="448"/>
      <c r="GW95" s="449"/>
      <c r="GX95" s="448"/>
      <c r="GY95" s="449"/>
      <c r="GZ95" s="448"/>
      <c r="HA95" s="449"/>
      <c r="HB95" s="448"/>
      <c r="HC95" s="449"/>
      <c r="HD95" s="448"/>
      <c r="HE95" s="449"/>
      <c r="HF95" s="448"/>
      <c r="HG95" s="449"/>
      <c r="HH95" s="448"/>
      <c r="HI95" s="449"/>
      <c r="HJ95" s="448"/>
      <c r="HK95" s="449"/>
      <c r="HL95" s="448"/>
      <c r="HM95" s="449"/>
      <c r="HN95" s="448"/>
      <c r="HO95" s="449"/>
      <c r="HP95" s="448"/>
      <c r="HQ95" s="449"/>
      <c r="HR95" s="448"/>
      <c r="HS95" s="449"/>
      <c r="HT95" s="448"/>
      <c r="HU95" s="449"/>
      <c r="HV95" s="448"/>
      <c r="HW95" s="449"/>
      <c r="HX95" s="448"/>
      <c r="HY95" s="449"/>
      <c r="HZ95" s="448"/>
      <c r="IA95" s="449"/>
      <c r="IB95" s="448"/>
      <c r="IC95" s="449"/>
      <c r="ID95" s="448"/>
      <c r="IE95" s="449"/>
      <c r="IF95" s="448"/>
      <c r="IG95" s="449"/>
      <c r="IH95" s="448"/>
      <c r="II95" s="449"/>
      <c r="IJ95" s="448"/>
      <c r="IK95" s="449"/>
      <c r="IL95" s="448"/>
      <c r="IM95" s="449"/>
      <c r="IN95" s="448"/>
      <c r="IO95" s="449"/>
      <c r="IP95" s="448"/>
      <c r="IQ95" s="449"/>
      <c r="IR95" s="448"/>
      <c r="IS95" s="449"/>
      <c r="IT95" s="448"/>
      <c r="IU95" s="449"/>
      <c r="IV95" s="448"/>
      <c r="IW95" s="449"/>
      <c r="IX95" s="448"/>
      <c r="IY95" s="449"/>
      <c r="IZ95" s="447"/>
      <c r="JA95" s="448"/>
      <c r="JB95" s="449"/>
      <c r="JC95" s="448"/>
      <c r="JD95" s="449"/>
      <c r="JE95" s="447"/>
      <c r="JF95" s="448"/>
      <c r="JG95" s="449"/>
      <c r="JH95" s="448"/>
      <c r="JI95" s="449"/>
      <c r="JJ95" s="448"/>
      <c r="JK95" s="449"/>
      <c r="JL95" s="448"/>
      <c r="JM95" s="449"/>
      <c r="JN95" s="448"/>
      <c r="JO95" s="449"/>
      <c r="JP95" s="448"/>
      <c r="JQ95" s="449"/>
      <c r="JR95" s="448"/>
      <c r="JS95" s="449"/>
      <c r="JT95" s="448"/>
      <c r="JU95" s="449"/>
      <c r="JV95" s="448"/>
      <c r="JW95" s="449"/>
      <c r="JX95" s="448"/>
      <c r="JY95" s="449"/>
      <c r="JZ95" s="448"/>
      <c r="KA95" s="449"/>
      <c r="KB95" s="448"/>
      <c r="KC95" s="449"/>
      <c r="KD95" s="448"/>
      <c r="KE95" s="449"/>
      <c r="KF95" s="448"/>
      <c r="KG95" s="449"/>
      <c r="KH95" s="448"/>
      <c r="KI95" s="449"/>
      <c r="KJ95" s="448"/>
      <c r="KK95" s="449"/>
      <c r="KL95" s="448"/>
      <c r="KM95" s="449"/>
      <c r="KN95" s="448"/>
      <c r="KO95" s="449"/>
      <c r="KP95" s="448"/>
      <c r="KQ95" s="449"/>
      <c r="KR95" s="448"/>
      <c r="KS95" s="449"/>
      <c r="KT95" s="448"/>
      <c r="KU95" s="449"/>
      <c r="KV95" s="448"/>
      <c r="KW95" s="449"/>
      <c r="KX95" s="448"/>
      <c r="KY95" s="449"/>
      <c r="KZ95" s="448"/>
      <c r="LA95" s="449"/>
      <c r="LB95" s="448"/>
      <c r="LC95" s="449"/>
      <c r="LD95" s="448"/>
      <c r="LE95" s="449"/>
      <c r="LF95" s="448"/>
      <c r="LG95" s="449"/>
      <c r="LH95" s="448"/>
      <c r="LI95" s="449"/>
      <c r="LJ95" s="448"/>
      <c r="LK95" s="449"/>
      <c r="LL95" s="448"/>
      <c r="LM95" s="449"/>
      <c r="LN95" s="448"/>
      <c r="LO95" s="449"/>
      <c r="LP95" s="448"/>
      <c r="LQ95" s="449"/>
      <c r="LR95" s="448"/>
      <c r="LS95" s="449"/>
      <c r="LT95" s="448"/>
      <c r="LU95" s="449"/>
      <c r="LV95" s="448"/>
      <c r="LW95" s="449"/>
      <c r="LX95" s="448"/>
      <c r="LY95" s="449"/>
      <c r="LZ95" s="448"/>
      <c r="MA95" s="449"/>
      <c r="MB95" s="448"/>
      <c r="MC95" s="449"/>
      <c r="MD95" s="448"/>
      <c r="ME95" s="449"/>
      <c r="MF95" s="448"/>
      <c r="MG95" s="449"/>
      <c r="MH95" s="447"/>
      <c r="MI95" s="448"/>
      <c r="MJ95" s="449"/>
      <c r="MK95" s="448"/>
      <c r="ML95" s="449"/>
      <c r="MM95" s="448"/>
      <c r="MN95" s="449"/>
      <c r="MO95" s="448"/>
      <c r="MP95" s="449"/>
      <c r="MQ95" s="448"/>
      <c r="MR95" s="449"/>
      <c r="MS95" s="448"/>
      <c r="MT95" s="449"/>
      <c r="MU95" s="448"/>
      <c r="MV95" s="449"/>
      <c r="MW95" s="448"/>
      <c r="MX95" s="449"/>
      <c r="MY95" s="448"/>
      <c r="MZ95" s="449"/>
      <c r="NA95" s="448"/>
      <c r="NB95" s="449"/>
      <c r="NC95" s="448"/>
      <c r="ND95" s="449"/>
      <c r="NE95" s="448"/>
      <c r="NF95" s="449"/>
      <c r="NG95" s="448"/>
      <c r="NH95" s="449"/>
      <c r="NI95" s="448"/>
      <c r="NJ95" s="449"/>
      <c r="NK95" s="448"/>
      <c r="NL95" s="449"/>
      <c r="NM95" s="448"/>
      <c r="NN95" s="449"/>
      <c r="NO95" s="448"/>
      <c r="NP95" s="449"/>
      <c r="NQ95" s="448"/>
      <c r="NR95" s="449"/>
      <c r="NS95" s="448"/>
      <c r="NT95" s="449"/>
      <c r="NU95" s="448"/>
      <c r="NV95" s="449"/>
      <c r="NW95" s="448"/>
      <c r="NX95" s="449"/>
      <c r="NY95" s="448"/>
      <c r="NZ95" s="449"/>
      <c r="OA95" s="448"/>
      <c r="OB95" s="449"/>
      <c r="OC95" s="448"/>
      <c r="OD95" s="449"/>
      <c r="OE95" s="448"/>
      <c r="OF95" s="449"/>
      <c r="OG95" s="448"/>
      <c r="OH95" s="449"/>
      <c r="OI95" s="448"/>
      <c r="OJ95" s="449"/>
      <c r="OK95" s="448"/>
      <c r="OL95" s="449"/>
      <c r="OM95" s="448"/>
      <c r="ON95" s="449"/>
      <c r="OO95" s="448"/>
      <c r="OP95" s="449"/>
      <c r="OQ95" s="448"/>
      <c r="OR95" s="449"/>
      <c r="OS95" s="448"/>
      <c r="OT95" s="449"/>
      <c r="OU95" s="448"/>
      <c r="OV95" s="449"/>
      <c r="OW95" s="448"/>
      <c r="OX95" s="449"/>
      <c r="OY95" s="448"/>
      <c r="OZ95" s="449"/>
      <c r="PA95" s="448"/>
      <c r="PB95" s="449"/>
      <c r="PC95" s="448"/>
      <c r="PD95" s="449"/>
      <c r="PE95" s="448"/>
      <c r="PF95" s="449"/>
      <c r="PG95" s="448"/>
      <c r="PH95" s="449"/>
      <c r="PI95" s="448"/>
      <c r="PJ95" s="449"/>
      <c r="PK95" s="448"/>
      <c r="PL95" s="449"/>
      <c r="PM95" s="448"/>
      <c r="PN95" s="449"/>
      <c r="PO95" s="448"/>
      <c r="PP95" s="449"/>
      <c r="PR95" s="448"/>
      <c r="PS95" s="449"/>
      <c r="PT95" s="448"/>
      <c r="PU95" s="449"/>
      <c r="PV95" s="448"/>
      <c r="PW95" s="449"/>
      <c r="PX95" s="448"/>
      <c r="PY95" s="449"/>
      <c r="PZ95" s="448"/>
      <c r="QA95" s="449"/>
      <c r="QB95" s="448"/>
      <c r="QC95" s="449"/>
      <c r="QF95" s="448"/>
      <c r="QG95" s="449"/>
      <c r="QH95" s="448"/>
      <c r="QI95" s="449"/>
      <c r="QJ95" s="448"/>
      <c r="QK95" s="449"/>
      <c r="QL95" s="448"/>
      <c r="QM95" s="449"/>
      <c r="QN95" s="448"/>
      <c r="QO95" s="449"/>
      <c r="QP95" s="448"/>
      <c r="QQ95" s="449"/>
    </row>
    <row r="96" spans="1:459" x14ac:dyDescent="0.45">
      <c r="A96" s="871"/>
      <c r="B96" s="180" t="s">
        <v>396</v>
      </c>
      <c r="C96" s="181"/>
      <c r="D96" s="199" t="s">
        <v>397</v>
      </c>
      <c r="E96" s="177"/>
      <c r="F96" s="285"/>
      <c r="G96" s="357">
        <v>13500</v>
      </c>
      <c r="H96" s="285"/>
      <c r="I96" s="357">
        <v>13500</v>
      </c>
      <c r="J96" s="285"/>
      <c r="K96" s="357">
        <v>14200</v>
      </c>
      <c r="L96" s="285"/>
      <c r="M96" s="357">
        <v>14200</v>
      </c>
      <c r="N96" s="285"/>
      <c r="O96" s="357">
        <v>14000</v>
      </c>
      <c r="P96" s="285"/>
      <c r="Q96" s="357">
        <v>14200</v>
      </c>
      <c r="R96" s="285"/>
      <c r="S96" s="357">
        <v>14200</v>
      </c>
      <c r="T96" s="285"/>
      <c r="U96" s="357">
        <v>14200</v>
      </c>
      <c r="V96" s="285"/>
      <c r="W96" s="357">
        <v>14200</v>
      </c>
      <c r="X96" s="285"/>
      <c r="Y96" s="357">
        <v>14200</v>
      </c>
      <c r="Z96" s="285"/>
      <c r="AA96" s="357">
        <v>14300</v>
      </c>
      <c r="AB96" s="285"/>
      <c r="AC96" s="357">
        <v>14300</v>
      </c>
      <c r="AD96" s="285"/>
      <c r="AE96" s="357">
        <f>DD96</f>
        <v>14500</v>
      </c>
      <c r="AF96" s="285"/>
      <c r="AG96" s="357">
        <f>DF96</f>
        <v>15647</v>
      </c>
      <c r="AH96" s="285"/>
      <c r="AI96" s="357">
        <f>DH96</f>
        <v>15500</v>
      </c>
      <c r="AJ96" s="285"/>
      <c r="AK96" s="357">
        <f>DJ96</f>
        <v>15262.701306000001</v>
      </c>
      <c r="AL96" s="285"/>
      <c r="AM96" s="357">
        <f>DL96</f>
        <v>15143.859748000001</v>
      </c>
      <c r="AN96" s="285"/>
      <c r="AO96" s="357">
        <f>DN96</f>
        <v>15306.491239000001</v>
      </c>
      <c r="AP96" s="285"/>
      <c r="AQ96" s="357">
        <f>DP96</f>
        <v>14877.961117000001</v>
      </c>
      <c r="AR96" s="285"/>
      <c r="AS96" s="357">
        <f>DR96</f>
        <v>14500</v>
      </c>
      <c r="AT96" s="285"/>
      <c r="AU96" s="357">
        <f>DT96</f>
        <v>14500</v>
      </c>
      <c r="AV96" s="285"/>
      <c r="AW96" s="357">
        <f>DV96</f>
        <v>14828.974921000001</v>
      </c>
      <c r="AX96" s="285"/>
      <c r="AY96" s="357">
        <f>DX96</f>
        <v>14942.284783999999</v>
      </c>
      <c r="AZ96" s="285"/>
      <c r="BA96" s="357">
        <f>DZ96</f>
        <v>15053.761278</v>
      </c>
      <c r="BB96" s="285"/>
      <c r="BC96" s="357">
        <f>EB96</f>
        <v>15255.341232000001</v>
      </c>
      <c r="BD96" s="285"/>
      <c r="BE96" s="357">
        <f>ED96</f>
        <v>15364.234307999999</v>
      </c>
      <c r="BF96" s="285"/>
      <c r="BG96" s="357">
        <f>EF96</f>
        <v>15745.091549000001</v>
      </c>
      <c r="BH96" s="285"/>
      <c r="BI96" s="357">
        <f>EH96</f>
        <v>15595.07957</v>
      </c>
      <c r="BJ96" s="285"/>
      <c r="BK96" s="357">
        <f>EJ96</f>
        <v>15487.713485</v>
      </c>
      <c r="BL96" s="285"/>
      <c r="BM96" s="357">
        <f>AVERAGE(BK96,BI96,BG96,BE96,BC96,BA96,AY96,AW96,AQ96,AO96,AM96,AK96)</f>
        <v>15238.624544750002</v>
      </c>
      <c r="BN96" s="285"/>
      <c r="BO96" s="357">
        <f>EN96</f>
        <v>15610.100001000001</v>
      </c>
      <c r="BP96" s="285"/>
      <c r="BQ96" s="357">
        <f>EP96</f>
        <v>15660.492238000001</v>
      </c>
      <c r="BR96" s="285"/>
      <c r="BS96" s="357">
        <f>ER96</f>
        <v>15709.506294999999</v>
      </c>
      <c r="BT96" s="285"/>
      <c r="BU96" s="357">
        <f>ET96</f>
        <v>16079.941043999999</v>
      </c>
      <c r="BV96" s="285"/>
      <c r="BW96" s="357">
        <f>EV96</f>
        <v>16069.313332</v>
      </c>
      <c r="BX96" s="285"/>
      <c r="BY96" s="357">
        <f>EX96</f>
        <v>16351.006724999999</v>
      </c>
      <c r="BZ96" s="285"/>
      <c r="CA96" s="357">
        <f>EZ96</f>
        <v>16252.751251</v>
      </c>
      <c r="CB96" s="285"/>
      <c r="CC96" s="357">
        <f>FB96</f>
        <v>15789.685869999999</v>
      </c>
      <c r="CD96" s="285"/>
      <c r="CE96" s="357">
        <f>FD96</f>
        <v>15333.755917</v>
      </c>
      <c r="CF96" s="285"/>
      <c r="CG96" s="357">
        <f>FF96</f>
        <v>15578.075422</v>
      </c>
      <c r="CH96" s="285"/>
      <c r="CI96" s="357">
        <f>FH96</f>
        <v>15827.786914</v>
      </c>
      <c r="CJ96" s="285"/>
      <c r="CK96" s="357">
        <f>FJ96</f>
        <v>16047.808695</v>
      </c>
      <c r="CL96" s="285"/>
      <c r="CM96" s="451">
        <f>AVERAGE(BO96,BQ96,BS96,BU96,BW96,BY96,CA96,CC96,CE96,CG96,CI96,CK96)</f>
        <v>15859.185308666667</v>
      </c>
      <c r="CN96" s="285"/>
      <c r="CO96" s="357">
        <f>FN96</f>
        <v>16266.390857</v>
      </c>
      <c r="CP96" s="285"/>
      <c r="CQ96" s="357">
        <v>16200</v>
      </c>
      <c r="CR96" s="285"/>
      <c r="CS96" s="357">
        <v>16200</v>
      </c>
      <c r="CT96" s="201"/>
      <c r="CU96" s="285"/>
      <c r="CV96" s="357">
        <v>14200</v>
      </c>
      <c r="CW96" s="285"/>
      <c r="CX96" s="357">
        <v>14200</v>
      </c>
      <c r="CY96" s="285"/>
      <c r="CZ96" s="357">
        <v>14200</v>
      </c>
      <c r="DA96" s="285"/>
      <c r="DB96" s="357">
        <v>14300</v>
      </c>
      <c r="DC96" s="285"/>
      <c r="DD96" s="357">
        <v>14500</v>
      </c>
      <c r="DE96" s="285"/>
      <c r="DF96" s="357">
        <v>15647</v>
      </c>
      <c r="DG96" s="285"/>
      <c r="DH96" s="357">
        <v>15500</v>
      </c>
      <c r="DI96" s="285"/>
      <c r="DJ96" s="357">
        <v>15262.701306000001</v>
      </c>
      <c r="DK96" s="285"/>
      <c r="DL96" s="357">
        <v>15143.859748000001</v>
      </c>
      <c r="DM96" s="285"/>
      <c r="DN96" s="357">
        <v>15306.491239000001</v>
      </c>
      <c r="DO96" s="285"/>
      <c r="DP96" s="357">
        <v>14877.961117000001</v>
      </c>
      <c r="DQ96" s="285"/>
      <c r="DR96" s="357">
        <v>14500</v>
      </c>
      <c r="DS96" s="285"/>
      <c r="DT96" s="357">
        <v>14500</v>
      </c>
      <c r="DU96" s="285"/>
      <c r="DV96" s="357">
        <v>14828.974921000001</v>
      </c>
      <c r="DW96" s="285"/>
      <c r="DX96" s="357">
        <v>14942.284783999999</v>
      </c>
      <c r="DY96" s="285"/>
      <c r="DZ96" s="357">
        <v>15053.761278</v>
      </c>
      <c r="EA96" s="285"/>
      <c r="EB96" s="357">
        <v>15255.341232000001</v>
      </c>
      <c r="EC96" s="285"/>
      <c r="ED96" s="357">
        <v>15364.234307999999</v>
      </c>
      <c r="EE96" s="285"/>
      <c r="EF96" s="357">
        <v>15745.091549000001</v>
      </c>
      <c r="EG96" s="285"/>
      <c r="EH96" s="357">
        <v>15595.07957</v>
      </c>
      <c r="EI96" s="285"/>
      <c r="EJ96" s="357">
        <v>15487.713485</v>
      </c>
      <c r="EK96" s="285"/>
      <c r="EL96" s="357">
        <f>AVERAGE(EJ96,EH96,EF96,ED96,EB96,DZ96,DX96,DV96,DP96,DN96,DL96,DJ96)</f>
        <v>15238.624544750002</v>
      </c>
      <c r="EM96" s="285"/>
      <c r="EN96" s="357">
        <v>15610.100001000001</v>
      </c>
      <c r="EO96" s="285"/>
      <c r="EP96" s="357">
        <v>15660.492238000001</v>
      </c>
      <c r="EQ96" s="285"/>
      <c r="ER96" s="357">
        <v>15709.506294999999</v>
      </c>
      <c r="ES96" s="285"/>
      <c r="ET96" s="357">
        <v>16079.941043999999</v>
      </c>
      <c r="EU96" s="285"/>
      <c r="EV96" s="357">
        <v>16069.313332</v>
      </c>
      <c r="EW96" s="285"/>
      <c r="EX96" s="357">
        <v>16351.006724999999</v>
      </c>
      <c r="EY96" s="285"/>
      <c r="EZ96" s="357">
        <v>16252.751251</v>
      </c>
      <c r="FA96" s="285"/>
      <c r="FB96" s="357">
        <v>15789.685869999999</v>
      </c>
      <c r="FC96" s="285"/>
      <c r="FD96" s="357">
        <v>15333.755917</v>
      </c>
      <c r="FE96" s="285"/>
      <c r="FF96" s="357">
        <v>15578.075422</v>
      </c>
      <c r="FG96" s="285"/>
      <c r="FH96" s="357">
        <v>15827.786914</v>
      </c>
      <c r="FI96" s="285"/>
      <c r="FJ96" s="357">
        <v>16047.808695</v>
      </c>
      <c r="FK96" s="285"/>
      <c r="FL96" s="357">
        <f>AVERAGE(EN96,EP96,ER96,ET96,EV96,EX96,EZ96,FB96,FD96,FF96,FH96,FJ96)</f>
        <v>15859.185308666667</v>
      </c>
      <c r="FM96" s="285"/>
      <c r="FN96" s="357">
        <v>16266.390857</v>
      </c>
      <c r="FO96" s="285"/>
      <c r="FP96" s="357">
        <v>16266.390857</v>
      </c>
      <c r="FQ96" s="177"/>
      <c r="FR96" s="285"/>
      <c r="FS96" s="357">
        <v>14000</v>
      </c>
      <c r="FT96" s="285"/>
      <c r="FU96" s="357">
        <v>14000</v>
      </c>
      <c r="FV96" s="285"/>
      <c r="FW96" s="357">
        <v>14200</v>
      </c>
      <c r="FX96" s="285"/>
      <c r="FY96" s="357">
        <v>14200</v>
      </c>
      <c r="FZ96" s="285"/>
      <c r="GA96" s="357">
        <v>14200</v>
      </c>
      <c r="GB96" s="285"/>
      <c r="GC96" s="357">
        <v>14200</v>
      </c>
      <c r="GD96" s="285"/>
      <c r="GE96" s="357">
        <v>14200</v>
      </c>
      <c r="GF96" s="285"/>
      <c r="GG96" s="357">
        <v>14300</v>
      </c>
      <c r="GH96" s="285"/>
      <c r="GI96" s="357">
        <v>14300</v>
      </c>
      <c r="GJ96" s="285"/>
      <c r="GK96" s="357">
        <f>DD96</f>
        <v>14500</v>
      </c>
      <c r="GL96" s="285"/>
      <c r="GM96" s="357">
        <f>DF96</f>
        <v>15647</v>
      </c>
      <c r="GN96" s="285"/>
      <c r="GO96" s="357">
        <f>DH96</f>
        <v>15500</v>
      </c>
      <c r="GP96" s="285"/>
      <c r="GQ96" s="357">
        <f>DJ96</f>
        <v>15262.701306000001</v>
      </c>
      <c r="GR96" s="285"/>
      <c r="GS96" s="357">
        <f>DL96</f>
        <v>15143.859748000001</v>
      </c>
      <c r="GT96" s="285"/>
      <c r="GU96" s="357">
        <f>DN96</f>
        <v>15306.491239000001</v>
      </c>
      <c r="GV96" s="285"/>
      <c r="GW96" s="357">
        <f>DP96</f>
        <v>14877.961117000001</v>
      </c>
      <c r="GX96" s="285"/>
      <c r="GY96" s="357">
        <f>DR96</f>
        <v>14500</v>
      </c>
      <c r="GZ96" s="285"/>
      <c r="HA96" s="357">
        <f>DT96</f>
        <v>14500</v>
      </c>
      <c r="HB96" s="285"/>
      <c r="HC96" s="357">
        <f>DV96</f>
        <v>14828.974921000001</v>
      </c>
      <c r="HD96" s="285"/>
      <c r="HE96" s="357">
        <f>DX96</f>
        <v>14942.284783999999</v>
      </c>
      <c r="HF96" s="285"/>
      <c r="HG96" s="357">
        <f>DZ96</f>
        <v>15053.761278</v>
      </c>
      <c r="HH96" s="285"/>
      <c r="HI96" s="357">
        <f>EB96</f>
        <v>15255.341232000001</v>
      </c>
      <c r="HJ96" s="285"/>
      <c r="HK96" s="357">
        <f>ED96</f>
        <v>15364.234307999999</v>
      </c>
      <c r="HL96" s="285"/>
      <c r="HM96" s="357">
        <f>EF96</f>
        <v>15745.091549000001</v>
      </c>
      <c r="HN96" s="285"/>
      <c r="HO96" s="357">
        <f>EH96</f>
        <v>15595.07957</v>
      </c>
      <c r="HP96" s="285"/>
      <c r="HQ96" s="357">
        <f>EJ96</f>
        <v>15487.713485</v>
      </c>
      <c r="HR96" s="285"/>
      <c r="HS96" s="452">
        <f>AVERAGE(HQ96,HO96,HM96,HK96,HI96,HG96,HE96,HC96,GW96,GU96,GS96,GQ96)</f>
        <v>15238.624544750002</v>
      </c>
      <c r="HT96" s="285"/>
      <c r="HU96" s="357">
        <f>EN96</f>
        <v>15610.100001000001</v>
      </c>
      <c r="HV96" s="285"/>
      <c r="HW96" s="357">
        <f>EP96</f>
        <v>15660.492238000001</v>
      </c>
      <c r="HX96" s="285"/>
      <c r="HY96" s="357">
        <f>ER96</f>
        <v>15709.506294999999</v>
      </c>
      <c r="HZ96" s="285"/>
      <c r="IA96" s="357">
        <f>ET96</f>
        <v>16079.941043999999</v>
      </c>
      <c r="IB96" s="285"/>
      <c r="IC96" s="357">
        <f>EV96</f>
        <v>16069.313332</v>
      </c>
      <c r="ID96" s="285"/>
      <c r="IE96" s="357">
        <f>EX96</f>
        <v>16351.006724999999</v>
      </c>
      <c r="IF96" s="285"/>
      <c r="IG96" s="357">
        <f>EZ96</f>
        <v>16252.751251</v>
      </c>
      <c r="IH96" s="285"/>
      <c r="II96" s="357">
        <f t="shared" ref="II96" si="672">FB96</f>
        <v>15789.685869999999</v>
      </c>
      <c r="IJ96" s="285"/>
      <c r="IK96" s="357">
        <f t="shared" ref="IK96" si="673">FD96</f>
        <v>15333.755917</v>
      </c>
      <c r="IL96" s="285"/>
      <c r="IM96" s="357">
        <f t="shared" ref="IM96" si="674">FF96</f>
        <v>15578.075422</v>
      </c>
      <c r="IN96" s="285"/>
      <c r="IO96" s="357">
        <f t="shared" ref="IO96" si="675">FH96</f>
        <v>15827.786914</v>
      </c>
      <c r="IP96" s="285"/>
      <c r="IQ96" s="357">
        <f t="shared" ref="IQ96" si="676">FJ96</f>
        <v>16047.808695</v>
      </c>
      <c r="IR96" s="285"/>
      <c r="IS96" s="357">
        <f t="shared" ref="IS96" si="677">FL96</f>
        <v>15859.185308666667</v>
      </c>
      <c r="IT96" s="285"/>
      <c r="IU96" s="357">
        <f>AVERAGE(HT96:IS96)</f>
        <v>15859.185308666667</v>
      </c>
      <c r="IV96" s="285"/>
      <c r="IW96" s="357">
        <f t="shared" ref="IW96" si="678">FP96</f>
        <v>16266.390857</v>
      </c>
      <c r="IX96" s="285"/>
      <c r="IY96" s="357">
        <v>16200</v>
      </c>
      <c r="IZ96" s="177"/>
      <c r="JA96" s="285"/>
      <c r="JB96" s="357">
        <v>16000</v>
      </c>
      <c r="JC96" s="285"/>
      <c r="JD96" s="357">
        <v>15800</v>
      </c>
      <c r="JE96" s="177"/>
      <c r="JF96" s="285"/>
      <c r="JG96" s="357">
        <v>14200</v>
      </c>
      <c r="JH96" s="285"/>
      <c r="JI96" s="357">
        <v>14200</v>
      </c>
      <c r="JJ96" s="285"/>
      <c r="JK96" s="357">
        <v>14200</v>
      </c>
      <c r="JL96" s="285"/>
      <c r="JM96" s="357">
        <v>14200</v>
      </c>
      <c r="JN96" s="285"/>
      <c r="JO96" s="357">
        <v>14200</v>
      </c>
      <c r="JP96" s="285"/>
      <c r="JQ96" s="357">
        <v>14300</v>
      </c>
      <c r="JR96" s="285"/>
      <c r="JS96" s="357">
        <v>14300</v>
      </c>
      <c r="JT96" s="285"/>
      <c r="JU96" s="357">
        <f>DD96</f>
        <v>14500</v>
      </c>
      <c r="JV96" s="285"/>
      <c r="JW96" s="357">
        <f>DF96</f>
        <v>15647</v>
      </c>
      <c r="JX96" s="285"/>
      <c r="JY96" s="357">
        <f>DH96</f>
        <v>15500</v>
      </c>
      <c r="JZ96" s="285"/>
      <c r="KA96" s="357">
        <f>DJ96</f>
        <v>15262.701306000001</v>
      </c>
      <c r="KB96" s="285"/>
      <c r="KC96" s="357">
        <f>DL96</f>
        <v>15143.859748000001</v>
      </c>
      <c r="KD96" s="285"/>
      <c r="KE96" s="357">
        <f>DN96</f>
        <v>15306.491239000001</v>
      </c>
      <c r="KF96" s="285"/>
      <c r="KG96" s="357">
        <f>DP96</f>
        <v>14877.961117000001</v>
      </c>
      <c r="KH96" s="285"/>
      <c r="KI96" s="357">
        <f>DR96</f>
        <v>14500</v>
      </c>
      <c r="KJ96" s="285"/>
      <c r="KK96" s="357">
        <f>DT96</f>
        <v>14500</v>
      </c>
      <c r="KL96" s="285"/>
      <c r="KM96" s="357">
        <f>DV96</f>
        <v>14828.974921000001</v>
      </c>
      <c r="KN96" s="285"/>
      <c r="KO96" s="357">
        <f>DX96</f>
        <v>14942.284783999999</v>
      </c>
      <c r="KP96" s="285"/>
      <c r="KQ96" s="357">
        <f>DZ96</f>
        <v>15053.761278</v>
      </c>
      <c r="KR96" s="285"/>
      <c r="KS96" s="357">
        <f>EB96</f>
        <v>15255.341232000001</v>
      </c>
      <c r="KT96" s="285"/>
      <c r="KU96" s="357">
        <f>ED96</f>
        <v>15364.234307999999</v>
      </c>
      <c r="KV96" s="285"/>
      <c r="KW96" s="357">
        <f>EF96</f>
        <v>15745.091549000001</v>
      </c>
      <c r="KX96" s="285"/>
      <c r="KY96" s="357">
        <f>EH96</f>
        <v>15595.07957</v>
      </c>
      <c r="KZ96" s="285"/>
      <c r="LA96" s="357">
        <f>EJ96</f>
        <v>15487.713485</v>
      </c>
      <c r="LB96" s="285"/>
      <c r="LC96" s="357">
        <f>AVERAGE(KL96:LA96,JZ96:KG96)</f>
        <v>15238.624544749999</v>
      </c>
      <c r="LD96" s="285"/>
      <c r="LE96" s="357">
        <f>EN96</f>
        <v>15610.100001000001</v>
      </c>
      <c r="LF96" s="285"/>
      <c r="LG96" s="357">
        <f>EP96</f>
        <v>15660.492238000001</v>
      </c>
      <c r="LH96" s="285"/>
      <c r="LI96" s="357">
        <f>ER96</f>
        <v>15709.506294999999</v>
      </c>
      <c r="LJ96" s="285"/>
      <c r="LK96" s="357">
        <f>ET96</f>
        <v>16079.941043999999</v>
      </c>
      <c r="LL96" s="285"/>
      <c r="LM96" s="357">
        <f>EV96</f>
        <v>16069.313332</v>
      </c>
      <c r="LN96" s="285"/>
      <c r="LO96" s="357">
        <f>EX96</f>
        <v>16351.006724999999</v>
      </c>
      <c r="LP96" s="285"/>
      <c r="LQ96" s="357">
        <f>EZ96</f>
        <v>16252.751251</v>
      </c>
      <c r="LR96" s="285"/>
      <c r="LS96" s="357">
        <f>FB96</f>
        <v>15789.685869999999</v>
      </c>
      <c r="LT96" s="285"/>
      <c r="LU96" s="357">
        <f>FD96</f>
        <v>15333.755917</v>
      </c>
      <c r="LV96" s="285"/>
      <c r="LW96" s="357">
        <f>FF96</f>
        <v>15578.075422</v>
      </c>
      <c r="LX96" s="285"/>
      <c r="LY96" s="357">
        <f>FH96</f>
        <v>15827.786914</v>
      </c>
      <c r="LZ96" s="285"/>
      <c r="MA96" s="357">
        <f>FJ96</f>
        <v>16047.808695</v>
      </c>
      <c r="MB96" s="285"/>
      <c r="MC96" s="357">
        <f>AVERAGE(LD96:MA96)</f>
        <v>15859.185308666667</v>
      </c>
      <c r="MD96" s="285"/>
      <c r="ME96" s="357">
        <f>FN96</f>
        <v>16266.390857</v>
      </c>
      <c r="MF96" s="285"/>
      <c r="MG96" s="357">
        <v>16200</v>
      </c>
      <c r="MH96" s="177"/>
      <c r="MI96" s="285"/>
      <c r="MJ96" s="357">
        <v>14200</v>
      </c>
      <c r="MK96" s="285"/>
      <c r="ML96" s="357">
        <v>14200</v>
      </c>
      <c r="MM96" s="285"/>
      <c r="MN96" s="357">
        <v>14200</v>
      </c>
      <c r="MO96" s="285"/>
      <c r="MP96" s="357">
        <v>14200</v>
      </c>
      <c r="MQ96" s="285"/>
      <c r="MR96" s="357">
        <v>14200</v>
      </c>
      <c r="MS96" s="285"/>
      <c r="MT96" s="357">
        <v>14300</v>
      </c>
      <c r="MU96" s="285"/>
      <c r="MV96" s="357">
        <v>14300</v>
      </c>
      <c r="MW96" s="285"/>
      <c r="MX96" s="357">
        <f>DD96</f>
        <v>14500</v>
      </c>
      <c r="MY96" s="285"/>
      <c r="MZ96" s="357">
        <f>DF96</f>
        <v>15647</v>
      </c>
      <c r="NA96" s="285"/>
      <c r="NB96" s="357">
        <f>DH96</f>
        <v>15500</v>
      </c>
      <c r="NC96" s="285"/>
      <c r="ND96" s="357">
        <f>EN96</f>
        <v>15610.100001000001</v>
      </c>
      <c r="NE96" s="285"/>
      <c r="NF96" s="357">
        <f>EP96</f>
        <v>15660.492238000001</v>
      </c>
      <c r="NG96" s="285"/>
      <c r="NH96" s="357">
        <f>ER96</f>
        <v>15709.506294999999</v>
      </c>
      <c r="NI96" s="285"/>
      <c r="NJ96" s="357">
        <f>ET96</f>
        <v>16079.941043999999</v>
      </c>
      <c r="NK96" s="285"/>
      <c r="NL96" s="357">
        <f>DR96</f>
        <v>14500</v>
      </c>
      <c r="NM96" s="285"/>
      <c r="NN96" s="357">
        <f>DT96</f>
        <v>14500</v>
      </c>
      <c r="NO96" s="285"/>
      <c r="NP96" s="357">
        <f>DV96</f>
        <v>14828.974921000001</v>
      </c>
      <c r="NQ96" s="285"/>
      <c r="NR96" s="357">
        <f>DX96</f>
        <v>14942.284783999999</v>
      </c>
      <c r="NS96" s="285"/>
      <c r="NT96" s="357">
        <f>DZ96</f>
        <v>15053.761278</v>
      </c>
      <c r="NU96" s="285"/>
      <c r="NV96" s="357">
        <f>EB96</f>
        <v>15255.341232000001</v>
      </c>
      <c r="NW96" s="285"/>
      <c r="NX96" s="357">
        <f>ED96</f>
        <v>15364.234307999999</v>
      </c>
      <c r="NY96" s="285"/>
      <c r="NZ96" s="357">
        <f>EF96</f>
        <v>15745.091549000001</v>
      </c>
      <c r="OA96" s="285"/>
      <c r="OB96" s="357">
        <f>EH96</f>
        <v>15595.07957</v>
      </c>
      <c r="OC96" s="285"/>
      <c r="OD96" s="357">
        <f>EJ96</f>
        <v>15487.713485</v>
      </c>
      <c r="OE96" s="285"/>
      <c r="OF96" s="357">
        <f>AVERAGE(OD96,OB96,NZ96,NX96,NV96,NT96,NR96,NP96,NJ96,NH96,NF96,ND96)</f>
        <v>15444.376725416669</v>
      </c>
      <c r="OG96" s="285"/>
      <c r="OH96" s="357">
        <f>EN96</f>
        <v>15610.100001000001</v>
      </c>
      <c r="OI96" s="285"/>
      <c r="OJ96" s="357">
        <f>EP96</f>
        <v>15660.492238000001</v>
      </c>
      <c r="OK96" s="285"/>
      <c r="OL96" s="357">
        <f>ER96</f>
        <v>15709.506294999999</v>
      </c>
      <c r="OM96" s="285"/>
      <c r="ON96" s="357">
        <f>ET96</f>
        <v>16079.941043999999</v>
      </c>
      <c r="OO96" s="285"/>
      <c r="OP96" s="357">
        <f>EV96</f>
        <v>16069.313332</v>
      </c>
      <c r="OQ96" s="285"/>
      <c r="OR96" s="357">
        <f>EX96</f>
        <v>16351.006724999999</v>
      </c>
      <c r="OS96" s="285"/>
      <c r="OT96" s="357">
        <f>EZ96</f>
        <v>16252.751251</v>
      </c>
      <c r="OU96" s="285"/>
      <c r="OV96" s="357">
        <f>FB96</f>
        <v>15789.685869999999</v>
      </c>
      <c r="OW96" s="285"/>
      <c r="OX96" s="357">
        <f>FD96</f>
        <v>15333.755917</v>
      </c>
      <c r="OY96" s="285"/>
      <c r="OZ96" s="357">
        <f>FF96</f>
        <v>15578.075422</v>
      </c>
      <c r="PA96" s="285"/>
      <c r="PB96" s="357">
        <f>FH96</f>
        <v>15827.786914</v>
      </c>
      <c r="PC96" s="285"/>
      <c r="PD96" s="357">
        <f>FJ96</f>
        <v>16047.808695</v>
      </c>
      <c r="PE96" s="285"/>
      <c r="PF96" s="357">
        <f>AVERAGE(OG96:PD96)</f>
        <v>15859.185308666667</v>
      </c>
      <c r="PG96" s="285"/>
      <c r="PH96" s="357">
        <f>FN96</f>
        <v>16266.390857</v>
      </c>
      <c r="PI96" s="285"/>
      <c r="PJ96" s="357">
        <v>15200</v>
      </c>
      <c r="PK96" s="285"/>
      <c r="PL96" s="357">
        <v>15200</v>
      </c>
      <c r="PM96" s="285"/>
      <c r="PN96" s="357">
        <v>16200</v>
      </c>
      <c r="PO96" s="285"/>
      <c r="PP96" s="357">
        <v>16200</v>
      </c>
      <c r="PR96" s="285"/>
      <c r="PS96" s="357">
        <v>16200</v>
      </c>
      <c r="PT96" s="285"/>
      <c r="PU96" s="357">
        <v>16200</v>
      </c>
      <c r="PV96" s="285"/>
      <c r="PW96" s="357">
        <v>16200</v>
      </c>
      <c r="PX96" s="285"/>
      <c r="PY96" s="357">
        <v>16200</v>
      </c>
      <c r="PZ96" s="285"/>
      <c r="QA96" s="357">
        <v>16000</v>
      </c>
      <c r="QB96" s="285"/>
      <c r="QC96" s="357">
        <v>16000</v>
      </c>
      <c r="QF96" s="285"/>
      <c r="QG96" s="357">
        <v>16200</v>
      </c>
      <c r="QH96" s="285"/>
      <c r="QI96" s="357">
        <v>16200</v>
      </c>
      <c r="QJ96" s="285"/>
      <c r="QK96" s="357">
        <v>16200</v>
      </c>
      <c r="QL96" s="285"/>
      <c r="QM96" s="357">
        <v>16200</v>
      </c>
      <c r="QN96" s="285"/>
      <c r="QO96" s="357">
        <v>16200</v>
      </c>
      <c r="QP96" s="285"/>
      <c r="QQ96" s="357">
        <v>16200</v>
      </c>
    </row>
    <row r="97" spans="1:459" x14ac:dyDescent="0.45">
      <c r="A97" s="871"/>
      <c r="B97" s="180"/>
      <c r="C97" s="181"/>
      <c r="D97" s="199"/>
      <c r="E97" s="177"/>
      <c r="F97" s="285"/>
      <c r="G97" s="357"/>
      <c r="H97" s="285"/>
      <c r="I97" s="357"/>
      <c r="J97" s="285"/>
      <c r="K97" s="357"/>
      <c r="L97" s="285"/>
      <c r="M97" s="357"/>
      <c r="N97" s="285"/>
      <c r="O97" s="357"/>
      <c r="P97" s="285"/>
      <c r="Q97" s="357"/>
      <c r="R97" s="285"/>
      <c r="S97" s="357"/>
      <c r="T97" s="285"/>
      <c r="U97" s="357"/>
      <c r="V97" s="285"/>
      <c r="W97" s="357"/>
      <c r="X97" s="285"/>
      <c r="Y97" s="357"/>
      <c r="Z97" s="285"/>
      <c r="AA97" s="357"/>
      <c r="AB97" s="285"/>
      <c r="AC97" s="357"/>
      <c r="AD97" s="285"/>
      <c r="AE97" s="357"/>
      <c r="AF97" s="285"/>
      <c r="AG97" s="357"/>
      <c r="AH97" s="285"/>
      <c r="AI97" s="357"/>
      <c r="AJ97" s="285"/>
      <c r="AK97" s="357"/>
      <c r="AL97" s="285"/>
      <c r="AM97" s="357"/>
      <c r="AN97" s="285"/>
      <c r="AO97" s="357"/>
      <c r="AP97" s="285"/>
      <c r="AQ97" s="357"/>
      <c r="AR97" s="285"/>
      <c r="AS97" s="357"/>
      <c r="AT97" s="285"/>
      <c r="AU97" s="357"/>
      <c r="AV97" s="285"/>
      <c r="AW97" s="357"/>
      <c r="AX97" s="285"/>
      <c r="AY97" s="357"/>
      <c r="AZ97" s="285"/>
      <c r="BA97" s="357"/>
      <c r="BB97" s="285"/>
      <c r="BC97" s="357"/>
      <c r="BD97" s="285"/>
      <c r="BE97" s="357"/>
      <c r="BF97" s="285"/>
      <c r="BG97" s="357"/>
      <c r="BH97" s="285"/>
      <c r="BI97" s="357"/>
      <c r="BJ97" s="285"/>
      <c r="BK97" s="357"/>
      <c r="BL97" s="285"/>
      <c r="BM97" s="357"/>
      <c r="BN97" s="285"/>
      <c r="BO97" s="357"/>
      <c r="BP97" s="285"/>
      <c r="BQ97" s="357"/>
      <c r="BR97" s="285"/>
      <c r="BS97" s="357"/>
      <c r="BT97" s="285"/>
      <c r="BU97" s="357"/>
      <c r="BV97" s="285"/>
      <c r="BW97" s="357"/>
      <c r="BX97" s="285"/>
      <c r="BY97" s="357"/>
      <c r="BZ97" s="285"/>
      <c r="CA97" s="357"/>
      <c r="CB97" s="285"/>
      <c r="CC97" s="357"/>
      <c r="CD97" s="285"/>
      <c r="CE97" s="357"/>
      <c r="CF97" s="285"/>
      <c r="CG97" s="357"/>
      <c r="CH97" s="285"/>
      <c r="CI97" s="357"/>
      <c r="CJ97" s="285"/>
      <c r="CK97" s="357"/>
      <c r="CL97" s="285"/>
      <c r="CM97" s="357"/>
      <c r="CN97" s="285"/>
      <c r="CO97" s="357"/>
      <c r="CP97" s="285"/>
      <c r="CQ97" s="357"/>
      <c r="CR97" s="285"/>
      <c r="CS97" s="357"/>
      <c r="CT97" s="201"/>
      <c r="CU97" s="285"/>
      <c r="CV97" s="357"/>
      <c r="CW97" s="285"/>
      <c r="CX97" s="357"/>
      <c r="CY97" s="285"/>
      <c r="CZ97" s="357"/>
      <c r="DA97" s="285"/>
      <c r="DB97" s="357"/>
      <c r="DC97" s="285"/>
      <c r="DD97" s="357"/>
      <c r="DE97" s="285"/>
      <c r="DF97" s="357"/>
      <c r="DG97" s="285"/>
      <c r="DH97" s="357"/>
      <c r="DI97" s="285"/>
      <c r="DJ97" s="357"/>
      <c r="DK97" s="285"/>
      <c r="DL97" s="357"/>
      <c r="DM97" s="285"/>
      <c r="DN97" s="357"/>
      <c r="DO97" s="285"/>
      <c r="DP97" s="357"/>
      <c r="DQ97" s="285"/>
      <c r="DR97" s="357"/>
      <c r="DS97" s="285"/>
      <c r="DT97" s="357"/>
      <c r="DU97" s="285"/>
      <c r="DV97" s="357"/>
      <c r="DW97" s="285"/>
      <c r="DX97" s="357"/>
      <c r="DY97" s="285"/>
      <c r="DZ97" s="357"/>
      <c r="EA97" s="285"/>
      <c r="EB97" s="357"/>
      <c r="EC97" s="285"/>
      <c r="ED97" s="357"/>
      <c r="EE97" s="285"/>
      <c r="EF97" s="357"/>
      <c r="EG97" s="285"/>
      <c r="EH97" s="357"/>
      <c r="EI97" s="285"/>
      <c r="EJ97" s="357"/>
      <c r="EK97" s="285"/>
      <c r="EL97" s="357"/>
      <c r="EM97" s="285"/>
      <c r="EN97" s="357"/>
      <c r="EO97" s="285"/>
      <c r="EP97" s="357"/>
      <c r="EQ97" s="285"/>
      <c r="ER97" s="357"/>
      <c r="ES97" s="285"/>
      <c r="ET97" s="357"/>
      <c r="EU97" s="285"/>
      <c r="EV97" s="357"/>
      <c r="EW97" s="285"/>
      <c r="EX97" s="357"/>
      <c r="EY97" s="285"/>
      <c r="EZ97" s="357"/>
      <c r="FA97" s="285"/>
      <c r="FB97" s="357"/>
      <c r="FC97" s="285"/>
      <c r="FD97" s="357"/>
      <c r="FE97" s="285"/>
      <c r="FF97" s="357"/>
      <c r="FG97" s="285"/>
      <c r="FH97" s="357"/>
      <c r="FI97" s="285"/>
      <c r="FJ97" s="357"/>
      <c r="FK97" s="285"/>
      <c r="FL97" s="357"/>
      <c r="FM97" s="285"/>
      <c r="FN97" s="357"/>
      <c r="FO97" s="285"/>
      <c r="FP97" s="357"/>
      <c r="FQ97" s="177"/>
      <c r="FR97" s="285"/>
      <c r="FS97" s="357"/>
      <c r="FT97" s="285"/>
      <c r="FU97" s="357"/>
      <c r="FV97" s="285"/>
      <c r="FW97" s="357"/>
      <c r="FX97" s="285"/>
      <c r="FY97" s="357"/>
      <c r="FZ97" s="285"/>
      <c r="GA97" s="357"/>
      <c r="GB97" s="285"/>
      <c r="GC97" s="357"/>
      <c r="GD97" s="285"/>
      <c r="GE97" s="357"/>
      <c r="GF97" s="285"/>
      <c r="GG97" s="357"/>
      <c r="GH97" s="285"/>
      <c r="GI97" s="357"/>
      <c r="GJ97" s="285"/>
      <c r="GK97" s="357"/>
      <c r="GL97" s="285"/>
      <c r="GM97" s="357"/>
      <c r="GN97" s="285"/>
      <c r="GO97" s="357"/>
      <c r="GP97" s="285"/>
      <c r="GQ97" s="357"/>
      <c r="GR97" s="285"/>
      <c r="GS97" s="357"/>
      <c r="GT97" s="285"/>
      <c r="GU97" s="357"/>
      <c r="GV97" s="285"/>
      <c r="GW97" s="357"/>
      <c r="GX97" s="285"/>
      <c r="GY97" s="357"/>
      <c r="GZ97" s="285"/>
      <c r="HA97" s="357"/>
      <c r="HB97" s="285"/>
      <c r="HC97" s="357"/>
      <c r="HD97" s="285"/>
      <c r="HE97" s="357"/>
      <c r="HF97" s="285"/>
      <c r="HG97" s="357"/>
      <c r="HH97" s="285"/>
      <c r="HI97" s="357"/>
      <c r="HJ97" s="285"/>
      <c r="HK97" s="357"/>
      <c r="HL97" s="285"/>
      <c r="HM97" s="357"/>
      <c r="HN97" s="285"/>
      <c r="HO97" s="357"/>
      <c r="HP97" s="285"/>
      <c r="HQ97" s="357"/>
      <c r="HR97" s="285"/>
      <c r="HS97" s="357"/>
      <c r="HT97" s="285"/>
      <c r="HU97" s="357"/>
      <c r="HV97" s="285"/>
      <c r="HW97" s="357"/>
      <c r="HX97" s="285"/>
      <c r="HY97" s="357"/>
      <c r="HZ97" s="285"/>
      <c r="IA97" s="357"/>
      <c r="IB97" s="285"/>
      <c r="IC97" s="357"/>
      <c r="ID97" s="285"/>
      <c r="IE97" s="357"/>
      <c r="IF97" s="285"/>
      <c r="IG97" s="357"/>
      <c r="IH97" s="285"/>
      <c r="II97" s="357"/>
      <c r="IJ97" s="285"/>
      <c r="IK97" s="357"/>
      <c r="IL97" s="285"/>
      <c r="IM97" s="357"/>
      <c r="IN97" s="285"/>
      <c r="IO97" s="357"/>
      <c r="IP97" s="285"/>
      <c r="IQ97" s="357"/>
      <c r="IR97" s="285"/>
      <c r="IS97" s="357"/>
      <c r="IT97" s="285"/>
      <c r="IU97" s="357"/>
      <c r="IV97" s="285"/>
      <c r="IW97" s="357"/>
      <c r="IX97" s="285"/>
      <c r="IY97" s="357"/>
      <c r="IZ97" s="177"/>
      <c r="JA97" s="285"/>
      <c r="JB97" s="357"/>
      <c r="JC97" s="285"/>
      <c r="JD97" s="357"/>
      <c r="JE97" s="177"/>
      <c r="JF97" s="285"/>
      <c r="JG97" s="357"/>
      <c r="JH97" s="285"/>
      <c r="JI97" s="357"/>
      <c r="JJ97" s="285"/>
      <c r="JK97" s="357"/>
      <c r="JL97" s="285"/>
      <c r="JM97" s="357"/>
      <c r="JN97" s="285"/>
      <c r="JO97" s="357"/>
      <c r="JP97" s="285"/>
      <c r="JQ97" s="357"/>
      <c r="JR97" s="285"/>
      <c r="JS97" s="357"/>
      <c r="JT97" s="285"/>
      <c r="JU97" s="357"/>
      <c r="JV97" s="285"/>
      <c r="JW97" s="357"/>
      <c r="JX97" s="285"/>
      <c r="JY97" s="357"/>
      <c r="JZ97" s="285"/>
      <c r="KA97" s="357"/>
      <c r="KB97" s="285"/>
      <c r="KC97" s="357"/>
      <c r="KD97" s="285"/>
      <c r="KE97" s="357"/>
      <c r="KF97" s="285"/>
      <c r="KG97" s="357"/>
      <c r="KH97" s="285"/>
      <c r="KI97" s="357"/>
      <c r="KJ97" s="285"/>
      <c r="KK97" s="357"/>
      <c r="KL97" s="285"/>
      <c r="KM97" s="357"/>
      <c r="KN97" s="285"/>
      <c r="KO97" s="357"/>
      <c r="KP97" s="285"/>
      <c r="KQ97" s="357"/>
      <c r="KR97" s="285"/>
      <c r="KS97" s="357"/>
      <c r="KT97" s="285"/>
      <c r="KU97" s="357"/>
      <c r="KV97" s="285"/>
      <c r="KW97" s="357"/>
      <c r="KX97" s="285"/>
      <c r="KY97" s="357"/>
      <c r="KZ97" s="285"/>
      <c r="LA97" s="357"/>
      <c r="LB97" s="285"/>
      <c r="LC97" s="357"/>
      <c r="LD97" s="285"/>
      <c r="LE97" s="357"/>
      <c r="LF97" s="285"/>
      <c r="LG97" s="357"/>
      <c r="LH97" s="285"/>
      <c r="LI97" s="357"/>
      <c r="LJ97" s="285"/>
      <c r="LK97" s="357"/>
      <c r="LL97" s="285"/>
      <c r="LM97" s="357"/>
      <c r="LN97" s="285"/>
      <c r="LO97" s="357"/>
      <c r="LP97" s="285"/>
      <c r="LQ97" s="357"/>
      <c r="LR97" s="285"/>
      <c r="LS97" s="357"/>
      <c r="LT97" s="285"/>
      <c r="LU97" s="357"/>
      <c r="LV97" s="285"/>
      <c r="LW97" s="357"/>
      <c r="LX97" s="285"/>
      <c r="LY97" s="357"/>
      <c r="LZ97" s="285"/>
      <c r="MA97" s="357"/>
      <c r="MB97" s="285"/>
      <c r="MC97" s="357"/>
      <c r="MD97" s="285"/>
      <c r="ME97" s="357"/>
      <c r="MF97" s="285"/>
      <c r="MG97" s="357"/>
      <c r="MH97" s="177"/>
      <c r="MI97" s="285"/>
      <c r="MJ97" s="357"/>
      <c r="MK97" s="285"/>
      <c r="ML97" s="357"/>
      <c r="MM97" s="285"/>
      <c r="MN97" s="357"/>
      <c r="MO97" s="285"/>
      <c r="MP97" s="357"/>
      <c r="MQ97" s="285"/>
      <c r="MR97" s="357"/>
      <c r="MS97" s="285"/>
      <c r="MT97" s="357"/>
      <c r="MU97" s="285"/>
      <c r="MV97" s="357"/>
      <c r="MW97" s="285"/>
      <c r="MX97" s="357"/>
      <c r="MY97" s="285"/>
      <c r="MZ97" s="357"/>
      <c r="NA97" s="285"/>
      <c r="NB97" s="357"/>
      <c r="NC97" s="285"/>
      <c r="ND97" s="357"/>
      <c r="NE97" s="285"/>
      <c r="NF97" s="357"/>
      <c r="NG97" s="285"/>
      <c r="NH97" s="357"/>
      <c r="NI97" s="285"/>
      <c r="NJ97" s="357"/>
      <c r="NK97" s="285"/>
      <c r="NL97" s="357"/>
      <c r="NM97" s="285"/>
      <c r="NN97" s="357"/>
      <c r="NO97" s="285"/>
      <c r="NP97" s="357"/>
      <c r="NQ97" s="285"/>
      <c r="NR97" s="357"/>
      <c r="NS97" s="285"/>
      <c r="NT97" s="357"/>
      <c r="NU97" s="285"/>
      <c r="NV97" s="357"/>
      <c r="NW97" s="285"/>
      <c r="NX97" s="357"/>
      <c r="NY97" s="285"/>
      <c r="NZ97" s="357"/>
      <c r="OA97" s="285"/>
      <c r="OB97" s="357"/>
      <c r="OC97" s="285"/>
      <c r="OD97" s="357"/>
      <c r="OE97" s="285"/>
      <c r="OF97" s="357"/>
      <c r="OG97" s="285"/>
      <c r="OH97" s="357"/>
      <c r="OI97" s="285"/>
      <c r="OJ97" s="357"/>
      <c r="OK97" s="285"/>
      <c r="OL97" s="357"/>
      <c r="OM97" s="285"/>
      <c r="ON97" s="357"/>
      <c r="OO97" s="285"/>
      <c r="OP97" s="357"/>
      <c r="OQ97" s="285"/>
      <c r="OR97" s="357"/>
      <c r="OS97" s="285"/>
      <c r="OT97" s="357"/>
      <c r="OU97" s="285"/>
      <c r="OV97" s="357"/>
      <c r="OW97" s="285"/>
      <c r="OX97" s="357"/>
      <c r="OY97" s="285"/>
      <c r="OZ97" s="357"/>
      <c r="PA97" s="285"/>
      <c r="PB97" s="357"/>
      <c r="PC97" s="285"/>
      <c r="PD97" s="357"/>
      <c r="PE97" s="285"/>
      <c r="PF97" s="357"/>
      <c r="PG97" s="285"/>
      <c r="PH97" s="357"/>
      <c r="PI97" s="285"/>
      <c r="PJ97" s="357"/>
      <c r="PK97" s="285"/>
      <c r="PL97" s="357"/>
      <c r="PM97" s="285"/>
      <c r="PN97" s="357"/>
      <c r="PO97" s="285"/>
      <c r="PP97" s="357"/>
      <c r="PR97" s="285"/>
      <c r="PS97" s="357"/>
      <c r="PT97" s="285"/>
      <c r="PU97" s="357"/>
      <c r="PV97" s="285"/>
      <c r="PW97" s="357"/>
      <c r="PX97" s="285"/>
      <c r="PY97" s="357"/>
      <c r="PZ97" s="285"/>
      <c r="QA97" s="357"/>
      <c r="QB97" s="285"/>
      <c r="QC97" s="357"/>
      <c r="QF97" s="285"/>
      <c r="QG97" s="357"/>
      <c r="QH97" s="285"/>
      <c r="QI97" s="357"/>
      <c r="QJ97" s="285"/>
      <c r="QK97" s="357"/>
      <c r="QL97" s="285"/>
      <c r="QM97" s="357"/>
      <c r="QN97" s="285"/>
      <c r="QO97" s="357"/>
      <c r="QP97" s="285"/>
      <c r="QQ97" s="357"/>
    </row>
    <row r="98" spans="1:459" x14ac:dyDescent="0.45">
      <c r="A98" s="871"/>
      <c r="B98" s="453" t="s">
        <v>398</v>
      </c>
      <c r="C98" s="181"/>
      <c r="D98" s="199"/>
      <c r="E98" s="177"/>
      <c r="F98" s="285"/>
      <c r="G98" s="357"/>
      <c r="H98" s="285"/>
      <c r="I98" s="357"/>
      <c r="J98" s="285"/>
      <c r="K98" s="357"/>
      <c r="L98" s="285"/>
      <c r="M98" s="357"/>
      <c r="N98" s="285"/>
      <c r="O98" s="357"/>
      <c r="P98" s="285"/>
      <c r="Q98" s="357"/>
      <c r="R98" s="285"/>
      <c r="S98" s="357"/>
      <c r="T98" s="285"/>
      <c r="U98" s="357"/>
      <c r="V98" s="285"/>
      <c r="W98" s="357"/>
      <c r="X98" s="285"/>
      <c r="Y98" s="357"/>
      <c r="Z98" s="285"/>
      <c r="AA98" s="357"/>
      <c r="AB98" s="285"/>
      <c r="AC98" s="357"/>
      <c r="AD98" s="285"/>
      <c r="AE98" s="357"/>
      <c r="AF98" s="285"/>
      <c r="AG98" s="357"/>
      <c r="AH98" s="285"/>
      <c r="AI98" s="357"/>
      <c r="AJ98" s="285"/>
      <c r="AK98" s="357"/>
      <c r="AL98" s="285"/>
      <c r="AM98" s="357"/>
      <c r="AN98" s="285"/>
      <c r="AO98" s="357"/>
      <c r="AP98" s="285"/>
      <c r="AQ98" s="357"/>
      <c r="AR98" s="285"/>
      <c r="AS98" s="357"/>
      <c r="AT98" s="285"/>
      <c r="AU98" s="357"/>
      <c r="AV98" s="285"/>
      <c r="AW98" s="357"/>
      <c r="AX98" s="285"/>
      <c r="AY98" s="357"/>
      <c r="AZ98" s="285"/>
      <c r="BA98" s="357"/>
      <c r="BB98" s="285"/>
      <c r="BC98" s="357"/>
      <c r="BD98" s="285"/>
      <c r="BE98" s="357"/>
      <c r="BF98" s="285"/>
      <c r="BG98" s="357"/>
      <c r="BH98" s="285"/>
      <c r="BI98" s="357"/>
      <c r="BJ98" s="285"/>
      <c r="BK98" s="357"/>
      <c r="BL98" s="285"/>
      <c r="BM98" s="357"/>
      <c r="BN98" s="285"/>
      <c r="BO98" s="357"/>
      <c r="BP98" s="285"/>
      <c r="BQ98" s="357"/>
      <c r="BR98" s="285"/>
      <c r="BS98" s="357"/>
      <c r="BT98" s="285"/>
      <c r="BU98" s="357"/>
      <c r="BV98" s="285"/>
      <c r="BW98" s="357"/>
      <c r="BX98" s="285"/>
      <c r="BY98" s="357"/>
      <c r="BZ98" s="285"/>
      <c r="CA98" s="357"/>
      <c r="CB98" s="285"/>
      <c r="CC98" s="357"/>
      <c r="CD98" s="285"/>
      <c r="CE98" s="357"/>
      <c r="CF98" s="285"/>
      <c r="CG98" s="357"/>
      <c r="CH98" s="285"/>
      <c r="CI98" s="357"/>
      <c r="CJ98" s="285"/>
      <c r="CK98" s="357"/>
      <c r="CL98" s="285"/>
      <c r="CM98" s="357"/>
      <c r="CN98" s="285"/>
      <c r="CO98" s="357"/>
      <c r="CP98" s="285"/>
      <c r="CQ98" s="357"/>
      <c r="CR98" s="285"/>
      <c r="CS98" s="357"/>
      <c r="CT98" s="201"/>
      <c r="CU98" s="285"/>
      <c r="CV98" s="357"/>
      <c r="CW98" s="285"/>
      <c r="CX98" s="357"/>
      <c r="CY98" s="285"/>
      <c r="CZ98" s="357"/>
      <c r="DA98" s="285"/>
      <c r="DB98" s="357"/>
      <c r="DC98" s="285"/>
      <c r="DD98" s="357"/>
      <c r="DE98" s="285"/>
      <c r="DF98" s="357"/>
      <c r="DG98" s="285"/>
      <c r="DH98" s="357"/>
      <c r="DI98" s="285"/>
      <c r="DJ98" s="357"/>
      <c r="DK98" s="285"/>
      <c r="DL98" s="357"/>
      <c r="DM98" s="285"/>
      <c r="DN98" s="357"/>
      <c r="DO98" s="285"/>
      <c r="DP98" s="357"/>
      <c r="DQ98" s="285"/>
      <c r="DR98" s="357"/>
      <c r="DS98" s="285"/>
      <c r="DT98" s="357"/>
      <c r="DU98" s="285"/>
      <c r="DV98" s="357"/>
      <c r="DW98" s="285"/>
      <c r="DX98" s="357"/>
      <c r="DY98" s="285"/>
      <c r="DZ98" s="357"/>
      <c r="EA98" s="285"/>
      <c r="EB98" s="357"/>
      <c r="EC98" s="285"/>
      <c r="ED98" s="357"/>
      <c r="EE98" s="285"/>
      <c r="EF98" s="357"/>
      <c r="EG98" s="285"/>
      <c r="EH98" s="357"/>
      <c r="EI98" s="285"/>
      <c r="EJ98" s="357"/>
      <c r="EK98" s="285"/>
      <c r="EL98" s="357"/>
      <c r="EM98" s="285"/>
      <c r="EN98" s="357"/>
      <c r="EO98" s="285"/>
      <c r="EP98" s="357"/>
      <c r="EQ98" s="285"/>
      <c r="ER98" s="357"/>
      <c r="ES98" s="285"/>
      <c r="ET98" s="357"/>
      <c r="EU98" s="285"/>
      <c r="EV98" s="357"/>
      <c r="EW98" s="285"/>
      <c r="EX98" s="357"/>
      <c r="EY98" s="285"/>
      <c r="EZ98" s="357"/>
      <c r="FA98" s="285"/>
      <c r="FB98" s="357"/>
      <c r="FC98" s="285"/>
      <c r="FD98" s="357"/>
      <c r="FE98" s="285"/>
      <c r="FF98" s="357"/>
      <c r="FG98" s="285"/>
      <c r="FH98" s="357"/>
      <c r="FI98" s="285"/>
      <c r="FJ98" s="357"/>
      <c r="FK98" s="285"/>
      <c r="FL98" s="357"/>
      <c r="FM98" s="285"/>
      <c r="FN98" s="357"/>
      <c r="FO98" s="285"/>
      <c r="FP98" s="357"/>
      <c r="FQ98" s="177"/>
      <c r="FR98" s="285"/>
      <c r="FS98" s="357"/>
      <c r="FT98" s="285"/>
      <c r="FU98" s="357"/>
      <c r="FV98" s="285"/>
      <c r="FW98" s="357"/>
      <c r="FX98" s="285"/>
      <c r="FY98" s="357"/>
      <c r="FZ98" s="285"/>
      <c r="GA98" s="357"/>
      <c r="GB98" s="285"/>
      <c r="GC98" s="357"/>
      <c r="GD98" s="285"/>
      <c r="GE98" s="357"/>
      <c r="GF98" s="285"/>
      <c r="GG98" s="357"/>
      <c r="GH98" s="285"/>
      <c r="GI98" s="357"/>
      <c r="GJ98" s="285"/>
      <c r="GK98" s="357"/>
      <c r="GL98" s="285"/>
      <c r="GM98" s="357"/>
      <c r="GN98" s="285"/>
      <c r="GO98" s="357"/>
      <c r="GP98" s="285"/>
      <c r="GQ98" s="357"/>
      <c r="GR98" s="285"/>
      <c r="GS98" s="357"/>
      <c r="GT98" s="285"/>
      <c r="GU98" s="357"/>
      <c r="GV98" s="285"/>
      <c r="GW98" s="357"/>
      <c r="GX98" s="285"/>
      <c r="GY98" s="357"/>
      <c r="GZ98" s="285"/>
      <c r="HA98" s="357"/>
      <c r="HB98" s="285"/>
      <c r="HC98" s="357"/>
      <c r="HD98" s="285"/>
      <c r="HE98" s="357"/>
      <c r="HF98" s="285"/>
      <c r="HG98" s="357"/>
      <c r="HH98" s="285"/>
      <c r="HI98" s="357"/>
      <c r="HJ98" s="285"/>
      <c r="HK98" s="357"/>
      <c r="HL98" s="285"/>
      <c r="HM98" s="357"/>
      <c r="HN98" s="285"/>
      <c r="HO98" s="357"/>
      <c r="HP98" s="285"/>
      <c r="HQ98" s="357"/>
      <c r="HR98" s="285"/>
      <c r="HS98" s="357"/>
      <c r="HT98" s="285"/>
      <c r="HU98" s="357"/>
      <c r="HV98" s="285"/>
      <c r="HW98" s="357"/>
      <c r="HX98" s="285"/>
      <c r="HY98" s="357"/>
      <c r="HZ98" s="285"/>
      <c r="IA98" s="357"/>
      <c r="IB98" s="285"/>
      <c r="IC98" s="357"/>
      <c r="ID98" s="285"/>
      <c r="IE98" s="357"/>
      <c r="IF98" s="285"/>
      <c r="IG98" s="357"/>
      <c r="IH98" s="285"/>
      <c r="II98" s="357"/>
      <c r="IJ98" s="285"/>
      <c r="IK98" s="357"/>
      <c r="IL98" s="285"/>
      <c r="IM98" s="357"/>
      <c r="IN98" s="285"/>
      <c r="IO98" s="357"/>
      <c r="IP98" s="285"/>
      <c r="IQ98" s="357"/>
      <c r="IR98" s="285"/>
      <c r="IS98" s="357"/>
      <c r="IT98" s="285"/>
      <c r="IU98" s="357"/>
      <c r="IV98" s="285"/>
      <c r="IW98" s="357"/>
      <c r="IX98" s="285"/>
      <c r="IY98" s="357"/>
      <c r="IZ98" s="177"/>
      <c r="JA98" s="285"/>
      <c r="JB98" s="357"/>
      <c r="JC98" s="285"/>
      <c r="JD98" s="357"/>
      <c r="JE98" s="177"/>
      <c r="JF98" s="285"/>
      <c r="JG98" s="357"/>
      <c r="JH98" s="285"/>
      <c r="JI98" s="357"/>
      <c r="JJ98" s="285"/>
      <c r="JK98" s="357"/>
      <c r="JL98" s="285"/>
      <c r="JM98" s="357"/>
      <c r="JN98" s="285"/>
      <c r="JO98" s="357"/>
      <c r="JP98" s="285"/>
      <c r="JQ98" s="357"/>
      <c r="JR98" s="285"/>
      <c r="JS98" s="357"/>
      <c r="JT98" s="285"/>
      <c r="JU98" s="357"/>
      <c r="JV98" s="285"/>
      <c r="JW98" s="357"/>
      <c r="JX98" s="285"/>
      <c r="JY98" s="357"/>
      <c r="JZ98" s="285"/>
      <c r="KA98" s="357"/>
      <c r="KB98" s="285"/>
      <c r="KC98" s="357"/>
      <c r="KD98" s="285"/>
      <c r="KE98" s="357"/>
      <c r="KF98" s="285"/>
      <c r="KG98" s="357"/>
      <c r="KH98" s="285"/>
      <c r="KI98" s="357"/>
      <c r="KJ98" s="285"/>
      <c r="KK98" s="357"/>
      <c r="KL98" s="285"/>
      <c r="KM98" s="357"/>
      <c r="KN98" s="285"/>
      <c r="KO98" s="357"/>
      <c r="KP98" s="285"/>
      <c r="KQ98" s="357"/>
      <c r="KR98" s="285"/>
      <c r="KS98" s="357"/>
      <c r="KT98" s="285"/>
      <c r="KU98" s="357"/>
      <c r="KV98" s="285"/>
      <c r="KW98" s="357"/>
      <c r="KX98" s="285"/>
      <c r="KY98" s="357"/>
      <c r="KZ98" s="285"/>
      <c r="LA98" s="357"/>
      <c r="LB98" s="285"/>
      <c r="LC98" s="357"/>
      <c r="LD98" s="285"/>
      <c r="LE98" s="357"/>
      <c r="LF98" s="285"/>
      <c r="LG98" s="357"/>
      <c r="LH98" s="285"/>
      <c r="LI98" s="357"/>
      <c r="LJ98" s="285"/>
      <c r="LK98" s="357"/>
      <c r="LL98" s="285"/>
      <c r="LM98" s="357"/>
      <c r="LN98" s="285"/>
      <c r="LO98" s="357"/>
      <c r="LP98" s="285"/>
      <c r="LQ98" s="357"/>
      <c r="LR98" s="285"/>
      <c r="LS98" s="357"/>
      <c r="LT98" s="285"/>
      <c r="LU98" s="357"/>
      <c r="LV98" s="285"/>
      <c r="LW98" s="357"/>
      <c r="LX98" s="285"/>
      <c r="LY98" s="357"/>
      <c r="LZ98" s="285"/>
      <c r="MA98" s="357"/>
      <c r="MB98" s="285"/>
      <c r="MC98" s="357"/>
      <c r="MD98" s="285"/>
      <c r="ME98" s="357"/>
      <c r="MF98" s="285"/>
      <c r="MG98" s="357"/>
      <c r="MH98" s="177"/>
      <c r="MI98" s="285"/>
      <c r="MJ98" s="357"/>
      <c r="MK98" s="285"/>
      <c r="ML98" s="357"/>
      <c r="MM98" s="285"/>
      <c r="MN98" s="357"/>
      <c r="MO98" s="285"/>
      <c r="MP98" s="357"/>
      <c r="MQ98" s="285"/>
      <c r="MR98" s="357"/>
      <c r="MS98" s="285"/>
      <c r="MT98" s="357"/>
      <c r="MU98" s="285"/>
      <c r="MV98" s="357"/>
      <c r="MW98" s="285"/>
      <c r="MX98" s="357"/>
      <c r="MY98" s="285"/>
      <c r="MZ98" s="357"/>
      <c r="NA98" s="285"/>
      <c r="NB98" s="357"/>
      <c r="NC98" s="285"/>
      <c r="ND98" s="357"/>
      <c r="NE98" s="285"/>
      <c r="NF98" s="357"/>
      <c r="NG98" s="285"/>
      <c r="NH98" s="357"/>
      <c r="NI98" s="285"/>
      <c r="NJ98" s="357"/>
      <c r="NK98" s="285"/>
      <c r="NL98" s="357"/>
      <c r="NM98" s="285"/>
      <c r="NN98" s="357"/>
      <c r="NO98" s="285"/>
      <c r="NP98" s="357"/>
      <c r="NQ98" s="285"/>
      <c r="NR98" s="357"/>
      <c r="NS98" s="285"/>
      <c r="NT98" s="357"/>
      <c r="NU98" s="285"/>
      <c r="NV98" s="357"/>
      <c r="NW98" s="285"/>
      <c r="NX98" s="357"/>
      <c r="NY98" s="285"/>
      <c r="NZ98" s="357"/>
      <c r="OA98" s="285"/>
      <c r="OB98" s="357"/>
      <c r="OC98" s="285"/>
      <c r="OD98" s="357"/>
      <c r="OE98" s="285"/>
      <c r="OF98" s="357"/>
      <c r="OG98" s="285"/>
      <c r="OH98" s="357"/>
      <c r="OI98" s="285"/>
      <c r="OJ98" s="357"/>
      <c r="OK98" s="285"/>
      <c r="OL98" s="357"/>
      <c r="OM98" s="285"/>
      <c r="ON98" s="357"/>
      <c r="OO98" s="285"/>
      <c r="OP98" s="357"/>
      <c r="OQ98" s="285"/>
      <c r="OR98" s="357"/>
      <c r="OS98" s="285"/>
      <c r="OT98" s="357"/>
      <c r="OU98" s="285"/>
      <c r="OV98" s="357"/>
      <c r="OW98" s="285"/>
      <c r="OX98" s="357"/>
      <c r="OY98" s="285"/>
      <c r="OZ98" s="357"/>
      <c r="PA98" s="285"/>
      <c r="PB98" s="357"/>
      <c r="PC98" s="285"/>
      <c r="PD98" s="357"/>
      <c r="PE98" s="285"/>
      <c r="PF98" s="357"/>
      <c r="PG98" s="285"/>
      <c r="PH98" s="357"/>
      <c r="PI98" s="285"/>
      <c r="PJ98" s="357"/>
      <c r="PK98" s="285"/>
      <c r="PL98" s="357"/>
      <c r="PM98" s="285"/>
      <c r="PN98" s="357"/>
      <c r="PO98" s="285"/>
      <c r="PP98" s="357"/>
      <c r="PR98" s="285"/>
      <c r="PS98" s="357"/>
      <c r="PT98" s="285"/>
      <c r="PU98" s="357"/>
      <c r="PV98" s="285"/>
      <c r="PW98" s="357"/>
      <c r="PX98" s="285"/>
      <c r="PY98" s="357"/>
      <c r="PZ98" s="285"/>
      <c r="QA98" s="357"/>
      <c r="QB98" s="285"/>
      <c r="QC98" s="357"/>
      <c r="QF98" s="285"/>
      <c r="QG98" s="357"/>
      <c r="QH98" s="285"/>
      <c r="QI98" s="357"/>
      <c r="QJ98" s="285"/>
      <c r="QK98" s="357"/>
      <c r="QL98" s="285"/>
      <c r="QM98" s="357"/>
      <c r="QN98" s="285"/>
      <c r="QO98" s="357"/>
      <c r="QP98" s="285"/>
      <c r="QQ98" s="357"/>
    </row>
    <row r="99" spans="1:459" x14ac:dyDescent="0.45">
      <c r="A99" s="871"/>
      <c r="B99" s="180" t="s">
        <v>399</v>
      </c>
      <c r="C99" s="181"/>
      <c r="D99" s="199"/>
      <c r="E99" s="454"/>
      <c r="F99" s="285"/>
      <c r="G99" s="455">
        <f>G69-G85</f>
        <v>0.49645563527164338</v>
      </c>
      <c r="H99" s="285"/>
      <c r="I99" s="455">
        <f>I69-I85</f>
        <v>1.9964556352716434</v>
      </c>
      <c r="J99" s="285"/>
      <c r="K99" s="455">
        <f>K69-K85</f>
        <v>2.2233909208568443</v>
      </c>
      <c r="L99" s="285"/>
      <c r="M99" s="455">
        <f>M69-M85</f>
        <v>2.2233909208568443</v>
      </c>
      <c r="N99" s="285"/>
      <c r="O99" s="455">
        <f>O69-O85</f>
        <v>2.1106418474243442</v>
      </c>
      <c r="P99" s="285"/>
      <c r="Q99" s="456">
        <f>Q69-Q85</f>
        <v>2.0048369160965596</v>
      </c>
      <c r="R99" s="285"/>
      <c r="S99" s="455">
        <f>S69-S83</f>
        <v>1.612343093503668</v>
      </c>
      <c r="T99" s="285"/>
      <c r="U99" s="455">
        <f>U69-U83</f>
        <v>1.7123430935036685</v>
      </c>
      <c r="V99" s="285"/>
      <c r="W99" s="455">
        <f>W69-W83</f>
        <v>1.7123430935036685</v>
      </c>
      <c r="X99" s="285"/>
      <c r="Y99" s="455">
        <f>Y69-Y83</f>
        <v>1.612343093503668</v>
      </c>
      <c r="Z99" s="285"/>
      <c r="AA99" s="456">
        <f>AA69-AA85</f>
        <v>1.9131891790968831</v>
      </c>
      <c r="AB99" s="285"/>
      <c r="AC99" s="456">
        <f>AC69-AC85</f>
        <v>1.5667832167832172</v>
      </c>
      <c r="AD99" s="285"/>
      <c r="AE99" s="456">
        <f>AE69-AE85</f>
        <v>1.5079310344827581</v>
      </c>
      <c r="AF99" s="285"/>
      <c r="AG99" s="456">
        <f>AG69-AG85</f>
        <v>2.4728016608552164</v>
      </c>
      <c r="AH99" s="285"/>
      <c r="AI99" s="456">
        <f>AI69-AI85</f>
        <v>2.322258064516129</v>
      </c>
      <c r="AJ99" s="285"/>
      <c r="AK99" s="456">
        <f>AK69-AK85</f>
        <v>2.5385328618212668</v>
      </c>
      <c r="AL99" s="285"/>
      <c r="AM99" s="456">
        <f>AM69-AM85</f>
        <v>2.4106417665804871</v>
      </c>
      <c r="AN99" s="285"/>
      <c r="AO99" s="456">
        <f>AO69-AO85</f>
        <v>2.2978946768742503</v>
      </c>
      <c r="AP99" s="285"/>
      <c r="AQ99" s="456">
        <f>AQ69-AQ85</f>
        <v>2.1382278381110389</v>
      </c>
      <c r="AR99" s="285"/>
      <c r="AS99" s="456">
        <f>AS69-AS85</f>
        <v>1.9465517241379304</v>
      </c>
      <c r="AT99" s="285"/>
      <c r="AU99" s="456">
        <f>AU69-AU85</f>
        <v>2.2465517241379303</v>
      </c>
      <c r="AV99" s="285"/>
      <c r="AW99" s="456">
        <f>AW69-AW85</f>
        <v>2.4927329035251971</v>
      </c>
      <c r="AX99" s="285"/>
      <c r="AY99" s="456">
        <f>AY69-AY85</f>
        <v>2.7441877077560086</v>
      </c>
      <c r="AZ99" s="285"/>
      <c r="BA99" s="456">
        <f>BA69-BA85</f>
        <v>2.8207879449032855</v>
      </c>
      <c r="BB99" s="285"/>
      <c r="BC99" s="456">
        <f>BC69-BC85</f>
        <v>2.8222189286354</v>
      </c>
      <c r="BD99" s="285"/>
      <c r="BE99" s="456">
        <f>BE69-BE85</f>
        <v>2.8356194842143898</v>
      </c>
      <c r="BF99" s="285"/>
      <c r="BG99" s="456">
        <f>BG69-BG85</f>
        <v>3.0589016338846111</v>
      </c>
      <c r="BH99" s="285"/>
      <c r="BI99" s="456">
        <f>BI69-BI85</f>
        <v>3.2586451730883637</v>
      </c>
      <c r="BJ99" s="285"/>
      <c r="BK99" s="456">
        <f>BK69-BK85</f>
        <v>3.2894350205323892</v>
      </c>
      <c r="BL99" s="285"/>
      <c r="BM99" s="456">
        <f>BM69-BM85</f>
        <v>2.8294041177268969</v>
      </c>
      <c r="BN99" s="285"/>
      <c r="BO99" s="456">
        <f>BO69-BO85</f>
        <v>2.7287730788358635</v>
      </c>
      <c r="BP99" s="285"/>
      <c r="BQ99" s="456">
        <f>BQ69-BQ85</f>
        <v>2.5916254591728194</v>
      </c>
      <c r="BR99" s="285"/>
      <c r="BS99" s="456">
        <f>BS69-BS85</f>
        <v>2.9460146993020677</v>
      </c>
      <c r="BT99" s="285"/>
      <c r="BU99" s="456">
        <f>BU69-BU85</f>
        <v>2.7516757172812785</v>
      </c>
      <c r="BV99" s="285"/>
      <c r="BW99" s="456">
        <f>BW69-BW85</f>
        <v>2.7284151621005348</v>
      </c>
      <c r="BX99" s="285"/>
      <c r="BY99" s="456">
        <f>BY69-BY85</f>
        <v>2.9808500631480221</v>
      </c>
      <c r="BZ99" s="285"/>
      <c r="CA99" s="456">
        <f>CA69-CA85</f>
        <v>2.8486082743684014</v>
      </c>
      <c r="CB99" s="285"/>
      <c r="CC99" s="456">
        <f>CC69-CC85</f>
        <v>3.0864572953343998</v>
      </c>
      <c r="CD99" s="285"/>
      <c r="CE99" s="456">
        <f>CE69-CE85</f>
        <v>2.9596862135802837</v>
      </c>
      <c r="CF99" s="285"/>
      <c r="CG99" s="456">
        <f>CG69-CG85</f>
        <v>2.556083038053993</v>
      </c>
      <c r="CH99" s="285"/>
      <c r="CI99" s="456">
        <f>CI69-CI85</f>
        <v>2.6317156052344863</v>
      </c>
      <c r="CJ99" s="285"/>
      <c r="CK99" s="456">
        <f>CK69-CK85</f>
        <v>2.6964051435715346</v>
      </c>
      <c r="CL99" s="285"/>
      <c r="CM99" s="456">
        <f>CM69-CM85</f>
        <v>2.7925611085395632</v>
      </c>
      <c r="CN99" s="285"/>
      <c r="CO99" s="456">
        <f>CO69-CO85</f>
        <v>2.8007425371403025</v>
      </c>
      <c r="CP99" s="285"/>
      <c r="CQ99" s="456">
        <f>CQ69-CQ85</f>
        <v>2.7820987654320986</v>
      </c>
      <c r="CR99" s="285"/>
      <c r="CS99" s="456">
        <f>CS69-CS85</f>
        <v>2.7820987654320986</v>
      </c>
      <c r="CT99" s="201"/>
      <c r="CU99" s="285"/>
      <c r="CV99" s="456">
        <f>CV69-CV85</f>
        <v>3.156582180969921</v>
      </c>
      <c r="CW99" s="285"/>
      <c r="CX99" s="456">
        <f>CX69-CX85</f>
        <v>2.7609771118281161</v>
      </c>
      <c r="CY99" s="285"/>
      <c r="CZ99" s="456">
        <f>CZ69-CZ85</f>
        <v>2.8109771118281168</v>
      </c>
      <c r="DA99" s="285"/>
      <c r="DB99" s="456">
        <f>DB69-DB85</f>
        <v>1.9118881118881124</v>
      </c>
      <c r="DC99" s="285"/>
      <c r="DD99" s="456">
        <f>DD69-DD85</f>
        <v>2.2482758620689651</v>
      </c>
      <c r="DE99" s="285"/>
      <c r="DF99" s="456">
        <f>DF69-DF85</f>
        <v>3.6763886320198544</v>
      </c>
      <c r="DG99" s="285"/>
      <c r="DH99" s="456">
        <f>DH69-DH85</f>
        <v>3.2</v>
      </c>
      <c r="DI99" s="285"/>
      <c r="DJ99" s="456">
        <f>DJ69-DJ85</f>
        <v>3.8771780755704466</v>
      </c>
      <c r="DK99" s="285"/>
      <c r="DL99" s="456">
        <f>DL69-DL85</f>
        <v>3.5095684222772281</v>
      </c>
      <c r="DM99" s="285"/>
      <c r="DN99" s="456">
        <f>DN69-DN85</f>
        <v>3.5567313084003382</v>
      </c>
      <c r="DO99" s="285"/>
      <c r="DP99" s="456">
        <f>DP69-DP85</f>
        <v>3.6205630054544544</v>
      </c>
      <c r="DQ99" s="285"/>
      <c r="DR99" s="456">
        <f>DR69-DR85</f>
        <v>2.9517241379310351</v>
      </c>
      <c r="DS99" s="285"/>
      <c r="DT99" s="456">
        <f>DT69-DT85</f>
        <v>3.501724137931034</v>
      </c>
      <c r="DU99" s="285"/>
      <c r="DV99" s="456">
        <f>DV69-DV85</f>
        <v>3.8960311414525881</v>
      </c>
      <c r="DW99" s="285"/>
      <c r="DX99" s="456">
        <f>DX69-DX85</f>
        <v>3.9495225757628303</v>
      </c>
      <c r="DY99" s="285"/>
      <c r="DZ99" s="456">
        <f>DZ69-DZ85</f>
        <v>4.2276723280165838</v>
      </c>
      <c r="EA99" s="285"/>
      <c r="EB99" s="456">
        <f>EB69-EB85</f>
        <v>4.037668040640682</v>
      </c>
      <c r="EC99" s="285"/>
      <c r="ED99" s="456">
        <f>ED69-ED85</f>
        <v>4.3229206442143768</v>
      </c>
      <c r="EE99" s="285"/>
      <c r="EF99" s="456">
        <f>EF69-EF85</f>
        <v>4.4832227390912323</v>
      </c>
      <c r="EG99" s="285"/>
      <c r="EH99" s="456">
        <f>EH69-EH85</f>
        <v>4.4210176025090959</v>
      </c>
      <c r="EI99" s="285"/>
      <c r="EJ99" s="456">
        <f>EJ69-EJ85</f>
        <v>4.3757564811866088</v>
      </c>
      <c r="EK99" s="285"/>
      <c r="EL99" s="456">
        <f>EL69-EL85</f>
        <v>4.2091969716790558</v>
      </c>
      <c r="EM99" s="285"/>
      <c r="EN99" s="456">
        <f>EN69-EN85</f>
        <v>4.5837436131812623</v>
      </c>
      <c r="EO99" s="285"/>
      <c r="EP99" s="456">
        <f>EP69-EP85</f>
        <v>3.8889652434467514</v>
      </c>
      <c r="EQ99" s="285"/>
      <c r="ER99" s="456">
        <f>ER69-ER85</f>
        <v>4.5711310963685614</v>
      </c>
      <c r="ES99" s="285"/>
      <c r="ET99" s="456">
        <f>ET69-ET85</f>
        <v>4.3211524181149592</v>
      </c>
      <c r="EU99" s="285"/>
      <c r="EV99" s="456">
        <f>EV69-EV85</f>
        <v>4.4158066694794087</v>
      </c>
      <c r="EW99" s="285"/>
      <c r="EX99" s="456">
        <f>EX69-EX85</f>
        <v>4.5026905607091896</v>
      </c>
      <c r="EY99" s="285"/>
      <c r="EZ99" s="456">
        <f>EZ69-EZ85</f>
        <v>4.3234296220540847</v>
      </c>
      <c r="FA99" s="285"/>
      <c r="FB99" s="456">
        <f>FB69-FB85</f>
        <v>3.8896948794396744</v>
      </c>
      <c r="FC99" s="285"/>
      <c r="FD99" s="456">
        <f>FD69-FD85</f>
        <v>4.1101885038666088</v>
      </c>
      <c r="FE99" s="285"/>
      <c r="FF99" s="456">
        <f>FF69-FF85</f>
        <v>4.8106023267204581</v>
      </c>
      <c r="FG99" s="285"/>
      <c r="FH99" s="456">
        <f>FH69-FH85</f>
        <v>4.5208004819049457</v>
      </c>
      <c r="FI99" s="285"/>
      <c r="FJ99" s="456">
        <f>FJ69-FJ85</f>
        <v>4.3808788194337325</v>
      </c>
      <c r="FK99" s="285"/>
      <c r="FL99" s="456">
        <f>FL69-FL85</f>
        <v>4.3604562859378904</v>
      </c>
      <c r="FM99" s="285"/>
      <c r="FN99" s="456">
        <f>FN69-FN85</f>
        <v>4.3105431623128734</v>
      </c>
      <c r="FO99" s="285"/>
      <c r="FP99" s="456">
        <f>FP69-FP85</f>
        <v>4.3105431623128734</v>
      </c>
      <c r="FQ99" s="177"/>
      <c r="FR99" s="285"/>
      <c r="FS99" s="455">
        <f>FS69-FS85</f>
        <v>1.6424786055867875</v>
      </c>
      <c r="FT99" s="285"/>
      <c r="FU99" s="455">
        <f>FU69-FU85</f>
        <v>1.3521844327904384</v>
      </c>
      <c r="FV99" s="285"/>
      <c r="FW99" s="456">
        <f>FW69-FW85</f>
        <v>1.0950245329109585</v>
      </c>
      <c r="FX99" s="285"/>
      <c r="FY99" s="455">
        <f>FY69-FY83</f>
        <v>0.64794196732693088</v>
      </c>
      <c r="FZ99" s="285"/>
      <c r="GA99" s="455">
        <f>GA69-GA83</f>
        <v>0.74794196732693141</v>
      </c>
      <c r="GB99" s="285"/>
      <c r="GC99" s="455">
        <f>GC69-GC83</f>
        <v>0.74794196732693141</v>
      </c>
      <c r="GD99" s="285"/>
      <c r="GE99" s="455">
        <f>GE69-GE83</f>
        <v>0.64794196732693088</v>
      </c>
      <c r="GF99" s="285"/>
      <c r="GG99" s="456">
        <f>GG69-GG85</f>
        <v>0.95553211673956273</v>
      </c>
      <c r="GH99" s="285"/>
      <c r="GI99" s="456">
        <f>GI69-GI85</f>
        <v>1.2786713286713285</v>
      </c>
      <c r="GJ99" s="285"/>
      <c r="GK99" s="456">
        <f>GK69-GK85</f>
        <v>1.4724137931034482</v>
      </c>
      <c r="GL99" s="285"/>
      <c r="GM99" s="456">
        <f>GM69-GM85</f>
        <v>2.5018513847261312</v>
      </c>
      <c r="GN99" s="285"/>
      <c r="GO99" s="456">
        <f>GO69-GO85</f>
        <v>2.3645161290322587</v>
      </c>
      <c r="GP99" s="285"/>
      <c r="GQ99" s="456">
        <f>GQ69-GQ85</f>
        <v>2.5890908335634562</v>
      </c>
      <c r="GR99" s="285"/>
      <c r="GS99" s="456">
        <f>GS69-GS85</f>
        <v>2.4426610937519833</v>
      </c>
      <c r="GT99" s="285"/>
      <c r="GU99" s="456">
        <f>GU69-GU85</f>
        <v>2.5006453273269535</v>
      </c>
      <c r="GV99" s="285"/>
      <c r="GW99" s="456">
        <f>GW69-GW85</f>
        <v>1.659210857739799</v>
      </c>
      <c r="GX99" s="285"/>
      <c r="GY99" s="456">
        <f>GY69-GY85</f>
        <v>1.8310344827586214</v>
      </c>
      <c r="GZ99" s="285"/>
      <c r="HA99" s="456">
        <f>HA69-HA85</f>
        <v>2.181034482758621</v>
      </c>
      <c r="HB99" s="285"/>
      <c r="HC99" s="456">
        <f>HC69-HC85</f>
        <v>2.1932006681517011</v>
      </c>
      <c r="HD99" s="285"/>
      <c r="HE99" s="456">
        <f>HE69-HE85</f>
        <v>2.89845659977148</v>
      </c>
      <c r="HF99" s="285"/>
      <c r="HG99" s="456">
        <f>HG69-HG85</f>
        <v>2.8400563655796267</v>
      </c>
      <c r="HH99" s="285"/>
      <c r="HI99" s="456">
        <f>HI69-HI85</f>
        <v>2.9115418979177381</v>
      </c>
      <c r="HJ99" s="285"/>
      <c r="HK99" s="456">
        <f>HK69-HK85</f>
        <v>2.9493778949599179</v>
      </c>
      <c r="HL99" s="285"/>
      <c r="HM99" s="456">
        <f>HM69-HM85</f>
        <v>3.1467008206757612</v>
      </c>
      <c r="HN99" s="285"/>
      <c r="HO99" s="456">
        <f>HO69-HO85</f>
        <v>3.1201768630988784</v>
      </c>
      <c r="HP99" s="285"/>
      <c r="HQ99" s="456">
        <f>HQ69-HQ85</f>
        <v>3.0846151885182556</v>
      </c>
      <c r="HR99" s="285"/>
      <c r="HS99" s="456">
        <f>HS69-HS85</f>
        <v>2.8161559478258171</v>
      </c>
      <c r="HT99" s="285"/>
      <c r="HU99" s="456">
        <f>HU69-HU85</f>
        <v>2.8970554324029285</v>
      </c>
      <c r="HV99" s="285"/>
      <c r="HW99" s="456">
        <f>HW69-HW85</f>
        <v>2.7150526507926749</v>
      </c>
      <c r="HX99" s="285"/>
      <c r="HY99" s="456">
        <f>HY69-HY85</f>
        <v>2.0557378651694931</v>
      </c>
      <c r="HZ99" s="285"/>
      <c r="IA99" s="456">
        <f>IA69-IA85</f>
        <v>1.9241941242665739</v>
      </c>
      <c r="IB99" s="285"/>
      <c r="IC99" s="456">
        <f>IC69-IC85</f>
        <v>2.9180982422951987</v>
      </c>
      <c r="ID99" s="285"/>
      <c r="IE99" s="456">
        <f>IE69-IE85</f>
        <v>3.0099556748393423</v>
      </c>
      <c r="IF99" s="285"/>
      <c r="IG99" s="456">
        <f>IG69-IG85</f>
        <v>2.9782771589377353</v>
      </c>
      <c r="IH99" s="285"/>
      <c r="II99" s="456">
        <f>II69-II85</f>
        <v>2.8236729213346914</v>
      </c>
      <c r="IJ99" s="285"/>
      <c r="IK99" s="456">
        <f>IK69-IK85</f>
        <v>2.6623279081930882</v>
      </c>
      <c r="IL99" s="285"/>
      <c r="IM99" s="456">
        <f>IM69-IM85</f>
        <v>2.752530147013176</v>
      </c>
      <c r="IN99" s="285"/>
      <c r="IO99" s="456">
        <f>IO69-IO85</f>
        <v>2.8392625124836828</v>
      </c>
      <c r="IP99" s="285"/>
      <c r="IQ99" s="456">
        <f>IQ69-IQ85</f>
        <v>2.9134458555900675</v>
      </c>
      <c r="IR99" s="285"/>
      <c r="IS99" s="456">
        <f>IS69-IS85</f>
        <v>2.849974820068482</v>
      </c>
      <c r="IT99" s="285"/>
      <c r="IU99" s="456">
        <f>IU69-IU85</f>
        <v>2.7194637725447981</v>
      </c>
      <c r="IV99" s="285"/>
      <c r="IW99" s="456">
        <f>IW69-IW85</f>
        <v>2.963025110730622</v>
      </c>
      <c r="IX99" s="285"/>
      <c r="IY99" s="456">
        <f>IY69-IY85</f>
        <v>2.9413580246913584</v>
      </c>
      <c r="IZ99" s="454"/>
      <c r="JA99" s="285"/>
      <c r="JB99" s="456">
        <f>JB69-JB85</f>
        <v>2.5</v>
      </c>
      <c r="JC99" s="285"/>
      <c r="JD99" s="456">
        <f>JD69-JD85</f>
        <v>2.4272151898734178</v>
      </c>
      <c r="JE99" s="177"/>
      <c r="JF99" s="285"/>
      <c r="JG99" s="455">
        <f>JG69-JG85</f>
        <v>1.8807885316769841</v>
      </c>
      <c r="JH99" s="285"/>
      <c r="JI99" s="455">
        <f>JI69-JI85</f>
        <v>1.6009032626319541</v>
      </c>
      <c r="JJ99" s="285"/>
      <c r="JK99" s="456">
        <f>JK69-JK85</f>
        <v>1.3905867956955937</v>
      </c>
      <c r="JL99" s="285"/>
      <c r="JM99" s="455">
        <f>JM69-JM83</f>
        <v>1.0067953099430298</v>
      </c>
      <c r="JN99" s="285"/>
      <c r="JO99" s="455">
        <f>JO69-JO83</f>
        <v>1.3067953099430296</v>
      </c>
      <c r="JP99" s="285"/>
      <c r="JQ99" s="456">
        <f>JQ69-JQ85</f>
        <v>1.44818968173497</v>
      </c>
      <c r="JR99" s="285"/>
      <c r="JS99" s="456">
        <f>JS69-JS85</f>
        <v>0.93496503496503447</v>
      </c>
      <c r="JT99" s="285"/>
      <c r="JU99" s="456">
        <f>JU69-JU85</f>
        <v>1.193793103448276</v>
      </c>
      <c r="JV99" s="285"/>
      <c r="JW99" s="456">
        <f>JW69-JW85</f>
        <v>1.8438758171417069</v>
      </c>
      <c r="JX99" s="285"/>
      <c r="JY99" s="456">
        <f>JY69-JY85</f>
        <v>1.4896774193548383</v>
      </c>
      <c r="JZ99" s="285"/>
      <c r="KA99" s="456">
        <f>KA69-KA85</f>
        <v>1.8006390622272939</v>
      </c>
      <c r="KB99" s="285"/>
      <c r="KC99" s="456">
        <f>KC69-KC85</f>
        <v>1.7240468035837244</v>
      </c>
      <c r="KD99" s="285"/>
      <c r="KE99" s="456">
        <f>KE69-KE85</f>
        <v>1.7635321529178487</v>
      </c>
      <c r="KF99" s="285"/>
      <c r="KG99" s="456">
        <f>KG69-KG85</f>
        <v>1.2894651385045384</v>
      </c>
      <c r="KH99" s="285"/>
      <c r="KI99" s="456">
        <f>KI69-KI85</f>
        <v>1.3344827586206893</v>
      </c>
      <c r="KJ99" s="285"/>
      <c r="KK99" s="456">
        <f>KK69-KK85</f>
        <v>1.6344827586206891</v>
      </c>
      <c r="KL99" s="285"/>
      <c r="KM99" s="456">
        <f>KM69-KM85</f>
        <v>1.701151609180978</v>
      </c>
      <c r="KN99" s="285"/>
      <c r="KO99" s="456">
        <f>KO69-KO85</f>
        <v>1.9434616169659948</v>
      </c>
      <c r="KP99" s="285"/>
      <c r="KQ99" s="456">
        <f>KQ69-KQ85</f>
        <v>1.7606942451015231</v>
      </c>
      <c r="KR99" s="285"/>
      <c r="KS99" s="456">
        <f>KS69-KS85</f>
        <v>1.9981353119886469</v>
      </c>
      <c r="KT99" s="285"/>
      <c r="KU99" s="456">
        <f>KU69-KU85</f>
        <v>2.0231367089093988</v>
      </c>
      <c r="KV99" s="285"/>
      <c r="KW99" s="456">
        <f>KW69-KW85</f>
        <v>2.1832077458316173</v>
      </c>
      <c r="KX99" s="285"/>
      <c r="KY99" s="456">
        <f>KY69-KY85</f>
        <v>2.3223801064823233</v>
      </c>
      <c r="KZ99" s="285"/>
      <c r="LA99" s="456">
        <f>LA69-LA85</f>
        <v>2.4473090600897747</v>
      </c>
      <c r="LB99" s="285"/>
      <c r="LC99" s="456">
        <f>LC69-LC85</f>
        <v>2.0166945866398933</v>
      </c>
      <c r="LD99" s="285"/>
      <c r="LE99" s="456">
        <f>LE69-LE85</f>
        <v>1.969794943446332</v>
      </c>
      <c r="LF99" s="285"/>
      <c r="LG99" s="456">
        <f>LG69-LG85</f>
        <v>1.5073627107940002</v>
      </c>
      <c r="LH99" s="285"/>
      <c r="LI99" s="456">
        <f>LI69-LI85</f>
        <v>2.1192834660799775</v>
      </c>
      <c r="LJ99" s="285"/>
      <c r="LK99" s="456">
        <f>LK69-LK85</f>
        <v>1.8182523891842912</v>
      </c>
      <c r="LL99" s="285"/>
      <c r="LM99" s="456">
        <f>LM69-LM85</f>
        <v>2.1364767522497967</v>
      </c>
      <c r="LN99" s="285"/>
      <c r="LO99" s="456">
        <f>LO69-LO85</f>
        <v>2.225957398045165</v>
      </c>
      <c r="LP99" s="285"/>
      <c r="LQ99" s="456">
        <f>LQ69-LQ85</f>
        <v>2.0936860308193239</v>
      </c>
      <c r="LR99" s="285"/>
      <c r="LS99" s="456">
        <f>LS69-LS85</f>
        <v>1.8804634231776509</v>
      </c>
      <c r="LT99" s="285"/>
      <c r="LU99" s="456">
        <f>LU69-LU85</f>
        <v>1.7401339369578537</v>
      </c>
      <c r="LV99" s="285"/>
      <c r="LW99" s="456">
        <f>LW69-LW85</f>
        <v>1.8163538831786763</v>
      </c>
      <c r="LX99" s="285"/>
      <c r="LY99" s="456">
        <f>LY69-LY85</f>
        <v>1.8918244095082208</v>
      </c>
      <c r="LZ99" s="285"/>
      <c r="MA99" s="456">
        <f>MA69-MA85</f>
        <v>1.9563753521552059</v>
      </c>
      <c r="MB99" s="285"/>
      <c r="MC99" s="456">
        <f>MC69-MC85</f>
        <v>1.9318483300404958</v>
      </c>
      <c r="MD99" s="285"/>
      <c r="ME99" s="456">
        <f>ME69-ME85</f>
        <v>2.4614052378416913</v>
      </c>
      <c r="MF99" s="285"/>
      <c r="MG99" s="456">
        <f>MG69-MG85</f>
        <v>2.0320987654320986</v>
      </c>
      <c r="MH99" s="177"/>
      <c r="MI99" s="285"/>
      <c r="MJ99" s="455">
        <f>MJ69-MJ85</f>
        <v>1.9416051002957646</v>
      </c>
      <c r="MK99" s="285"/>
      <c r="ML99" s="455">
        <f>ML69-ML85</f>
        <v>1.7734922741610655</v>
      </c>
      <c r="MM99" s="285"/>
      <c r="MN99" s="456">
        <f>MN69-MN85</f>
        <v>1.5355162825618129</v>
      </c>
      <c r="MO99" s="285"/>
      <c r="MP99" s="455">
        <f>MP69-MP85+MP125</f>
        <v>1.1213429328261684</v>
      </c>
      <c r="MQ99" s="285"/>
      <c r="MR99" s="455">
        <f>MR69-MR85+MR125</f>
        <v>1.503647259515521</v>
      </c>
      <c r="MS99" s="285"/>
      <c r="MT99" s="456">
        <f>MT69-MT85</f>
        <v>1.4322930828755531</v>
      </c>
      <c r="MU99" s="285"/>
      <c r="MV99" s="456">
        <f>MV69-MV85</f>
        <v>1.255944055944056</v>
      </c>
      <c r="MW99" s="285"/>
      <c r="MX99" s="456">
        <f>MX69-MX85</f>
        <v>1.7979310344827582</v>
      </c>
      <c r="MY99" s="285"/>
      <c r="MZ99" s="456">
        <f>MZ69-MZ85</f>
        <v>2.4727686628949339</v>
      </c>
      <c r="NA99" s="285"/>
      <c r="NB99" s="456">
        <f>NB69-NB85</f>
        <v>2.2303225806451614</v>
      </c>
      <c r="NC99" s="285"/>
      <c r="ND99" s="456">
        <f>ND69-ND85</f>
        <v>2.4451993217643921</v>
      </c>
      <c r="NE99" s="285"/>
      <c r="NF99" s="456">
        <f>NF69-NF85</f>
        <v>2.4728027955721372</v>
      </c>
      <c r="NG99" s="285"/>
      <c r="NH99" s="456">
        <f>NH69-NH85</f>
        <v>2.4686036607351496</v>
      </c>
      <c r="NI99" s="285"/>
      <c r="NJ99" s="456">
        <f>NJ69-NJ85</f>
        <v>2.1072339863058467</v>
      </c>
      <c r="NK99" s="285"/>
      <c r="NL99" s="456">
        <f>NL69-NL85</f>
        <v>2.0241379310344829</v>
      </c>
      <c r="NM99" s="285"/>
      <c r="NN99" s="456">
        <f>NN69-NN85</f>
        <v>2.3241379310344827</v>
      </c>
      <c r="NO99" s="285"/>
      <c r="NP99" s="456">
        <f>NP69-NP85</f>
        <v>2.4911936174427254</v>
      </c>
      <c r="NQ99" s="285"/>
      <c r="NR99" s="456">
        <f>NR69-NR85</f>
        <v>2.7364753934074413</v>
      </c>
      <c r="NS99" s="285"/>
      <c r="NT99" s="456">
        <f>NT69-NT85</f>
        <v>2.8028920417733363</v>
      </c>
      <c r="NU99" s="285"/>
      <c r="NV99" s="456">
        <f>NV69-NV85</f>
        <v>2.2401117951374614</v>
      </c>
      <c r="NW99" s="285"/>
      <c r="NX99" s="456">
        <f>NX69-NX85</f>
        <v>2.7781369105113747</v>
      </c>
      <c r="NY99" s="285"/>
      <c r="NZ99" s="456">
        <f>NZ69-NZ85</f>
        <v>2.5792600649682909</v>
      </c>
      <c r="OA99" s="285"/>
      <c r="OB99" s="456">
        <f>OB69-OB85</f>
        <v>2.9935308917407073</v>
      </c>
      <c r="OC99" s="285"/>
      <c r="OD99" s="456">
        <f>OD69-OD85</f>
        <v>3.0361649938491926</v>
      </c>
      <c r="OE99" s="285"/>
      <c r="OF99" s="456">
        <f>OF69-OF85</f>
        <v>2.6961209289589982</v>
      </c>
      <c r="OG99" s="285"/>
      <c r="OH99" s="456">
        <f>OH69-OH85</f>
        <v>2.6066608021372004</v>
      </c>
      <c r="OI99" s="285"/>
      <c r="OJ99" s="456">
        <f>OJ69-OJ85</f>
        <v>2.4231359856753043</v>
      </c>
      <c r="OK99" s="285"/>
      <c r="OL99" s="456">
        <f>OL69-OL85</f>
        <v>2.632605470865792</v>
      </c>
      <c r="OM99" s="285"/>
      <c r="ON99" s="456">
        <f>ON69-ON85</f>
        <v>2.4072339863058465</v>
      </c>
      <c r="OO99" s="285"/>
      <c r="OP99" s="456">
        <f>OP69-OP85</f>
        <v>2.5529381519651775</v>
      </c>
      <c r="OQ99" s="285"/>
      <c r="OR99" s="456">
        <f>OR69-OR85</f>
        <v>2.5754810920667675</v>
      </c>
      <c r="OS99" s="285"/>
      <c r="OT99" s="456">
        <f>OT69-OT85</f>
        <v>2.4997711236182383</v>
      </c>
      <c r="OU99" s="285"/>
      <c r="OV99" s="456">
        <f>OV69-OV85</f>
        <v>1.9260628103933266</v>
      </c>
      <c r="OW99" s="285"/>
      <c r="OX99" s="456">
        <f>OX69-OX85</f>
        <v>1.787089164620097</v>
      </c>
      <c r="OY99" s="285"/>
      <c r="OZ99" s="456">
        <f>OZ69-OZ85</f>
        <v>1.8625726862397514</v>
      </c>
      <c r="PA99" s="285"/>
      <c r="PB99" s="456">
        <f>PB69-PB85</f>
        <v>1.9373140287400252</v>
      </c>
      <c r="PC99" s="285"/>
      <c r="PD99" s="456">
        <f>PD69-PD85</f>
        <v>2.0012412907817252</v>
      </c>
      <c r="PE99" s="285"/>
      <c r="PF99" s="456">
        <f>PF69-PF85</f>
        <v>2.2703752697287261</v>
      </c>
      <c r="PG99" s="285"/>
      <c r="PH99" s="456">
        <f>PH69-PH85</f>
        <v>2.8597726481029189</v>
      </c>
      <c r="PI99" s="285"/>
      <c r="PJ99" s="456">
        <f>PJ69-PJ85</f>
        <v>2.8019812538356859</v>
      </c>
      <c r="PK99" s="285"/>
      <c r="PL99" s="456">
        <f>PL69-PL85</f>
        <v>2.7368421052631575</v>
      </c>
      <c r="PM99" s="285"/>
      <c r="PN99" s="456">
        <f>PN69-PN85</f>
        <v>2.8962962962962959</v>
      </c>
      <c r="PO99" s="285"/>
      <c r="PP99" s="456">
        <f>PP69-PP85</f>
        <v>2.8962962962962959</v>
      </c>
      <c r="PR99" s="285"/>
      <c r="PS99" s="456">
        <f>PS69-PS85</f>
        <v>4.307710225926245</v>
      </c>
      <c r="PT99" s="285"/>
      <c r="PU99" s="456">
        <f>PU69-PU85</f>
        <v>4.6012345679012352</v>
      </c>
      <c r="PV99" s="285"/>
      <c r="PW99" s="456">
        <f>PW69-PW85</f>
        <v>4.307710225926245</v>
      </c>
      <c r="PX99" s="285"/>
      <c r="PY99" s="456">
        <f>PY69-PY85</f>
        <v>4.6012345679012352</v>
      </c>
      <c r="PZ99" s="285"/>
      <c r="QA99" s="456">
        <f>QA69-QA85</f>
        <v>4.2653066037503233</v>
      </c>
      <c r="QB99" s="285"/>
      <c r="QC99" s="456">
        <f>QC69-QC85</f>
        <v>4.5625</v>
      </c>
      <c r="QF99" s="285"/>
      <c r="QG99" s="456">
        <f>QG69-QG85</f>
        <v>3.7049382716049384</v>
      </c>
      <c r="QH99" s="285"/>
      <c r="QI99" s="456">
        <f>QI69-QI85</f>
        <v>3.9765432098765432</v>
      </c>
      <c r="QJ99" s="285"/>
      <c r="QK99" s="456">
        <f>QK69-QK85</f>
        <v>3.7049382716049384</v>
      </c>
      <c r="QL99" s="285"/>
      <c r="QM99" s="456">
        <f>QM69-QM85</f>
        <v>3.9765432098765432</v>
      </c>
      <c r="QN99" s="285"/>
      <c r="QO99" s="456">
        <f>QO69-QO85</f>
        <v>2.9049382716049386</v>
      </c>
      <c r="QP99" s="285"/>
      <c r="QQ99" s="456">
        <f>QQ69-QQ85</f>
        <v>3.1765432098765434</v>
      </c>
    </row>
    <row r="100" spans="1:459" x14ac:dyDescent="0.45">
      <c r="A100" s="871"/>
      <c r="B100" s="457" t="s">
        <v>400</v>
      </c>
      <c r="C100" s="458"/>
      <c r="D100" s="459"/>
      <c r="E100" s="460"/>
      <c r="F100" s="461"/>
      <c r="G100" s="462">
        <f>G99/G69</f>
        <v>9.7344242210126164E-2</v>
      </c>
      <c r="H100" s="461"/>
      <c r="I100" s="462">
        <f>I99/I69</f>
        <v>0.30249327807146115</v>
      </c>
      <c r="J100" s="461"/>
      <c r="K100" s="462">
        <f>K99/K69</f>
        <v>0.33687741225103701</v>
      </c>
      <c r="L100" s="461"/>
      <c r="M100" s="462">
        <f>M99/M69</f>
        <v>0.33687741225103701</v>
      </c>
      <c r="N100" s="461"/>
      <c r="O100" s="462">
        <f>O99/O69</f>
        <v>0.31979421930671886</v>
      </c>
      <c r="P100" s="461"/>
      <c r="Q100" s="463">
        <f>Q99/Q69</f>
        <v>0.30376316910553935</v>
      </c>
      <c r="R100" s="461"/>
      <c r="S100" s="462">
        <f>S99/S69</f>
        <v>0.24429440810661637</v>
      </c>
      <c r="T100" s="461"/>
      <c r="U100" s="462">
        <f>U99/U69</f>
        <v>0.25557359604532365</v>
      </c>
      <c r="V100" s="461"/>
      <c r="W100" s="462">
        <f>W99/W69</f>
        <v>0.25557359604532365</v>
      </c>
      <c r="X100" s="461"/>
      <c r="Y100" s="462">
        <f>Y99/Y69</f>
        <v>0.24429440810661637</v>
      </c>
      <c r="Z100" s="461"/>
      <c r="AA100" s="463">
        <f>AA99/AA69</f>
        <v>0.28343543394027898</v>
      </c>
      <c r="AB100" s="461"/>
      <c r="AC100" s="463">
        <f>AC99/AC69</f>
        <v>0.23211603211603218</v>
      </c>
      <c r="AD100" s="461"/>
      <c r="AE100" s="463">
        <f>AE99/AE69</f>
        <v>0.21389092687698696</v>
      </c>
      <c r="AF100" s="461"/>
      <c r="AG100" s="463">
        <f>AG99/AG69</f>
        <v>0.35075200863194561</v>
      </c>
      <c r="AH100" s="461"/>
      <c r="AI100" s="463">
        <f>AI99/AI69</f>
        <v>0.32939830702356443</v>
      </c>
      <c r="AJ100" s="461"/>
      <c r="AK100" s="463">
        <f>AK99/AK69</f>
        <v>0.36007558323705913</v>
      </c>
      <c r="AL100" s="461"/>
      <c r="AM100" s="463">
        <f>AM99/AM69</f>
        <v>0.34193500235184215</v>
      </c>
      <c r="AN100" s="461"/>
      <c r="AO100" s="463">
        <f>AO99/AO69</f>
        <v>0.32594250735804969</v>
      </c>
      <c r="AP100" s="461"/>
      <c r="AQ100" s="463">
        <f>AQ99/AQ69</f>
        <v>0.30329472881007646</v>
      </c>
      <c r="AR100" s="461"/>
      <c r="AS100" s="463">
        <f>AS99/AS69</f>
        <v>0.27610662753729509</v>
      </c>
      <c r="AT100" s="461"/>
      <c r="AU100" s="463">
        <f>AU99/AU69</f>
        <v>0.30565329580107897</v>
      </c>
      <c r="AV100" s="461"/>
      <c r="AW100" s="463">
        <f>AW99/AW69</f>
        <v>0.33914733381295198</v>
      </c>
      <c r="AX100" s="461"/>
      <c r="AY100" s="463">
        <f>AY99/AY69</f>
        <v>0.37335887180353861</v>
      </c>
      <c r="AZ100" s="461"/>
      <c r="BA100" s="463">
        <f>BA99/BA69</f>
        <v>0.38378067277595723</v>
      </c>
      <c r="BB100" s="461"/>
      <c r="BC100" s="463">
        <f>BC99/BC69</f>
        <v>0.38397536444019048</v>
      </c>
      <c r="BD100" s="461"/>
      <c r="BE100" s="463">
        <f>BE99/BE69</f>
        <v>0.38579856928086936</v>
      </c>
      <c r="BF100" s="461"/>
      <c r="BG100" s="463">
        <f>BG99/BG69</f>
        <v>0.41617709304552536</v>
      </c>
      <c r="BH100" s="461"/>
      <c r="BI100" s="463">
        <f>BI99/BI69</f>
        <v>0.44335308477392704</v>
      </c>
      <c r="BJ100" s="461"/>
      <c r="BK100" s="463">
        <f>BK99/BK69</f>
        <v>0.44754217966427068</v>
      </c>
      <c r="BL100" s="461"/>
      <c r="BM100" s="463">
        <f>BM99/BM69</f>
        <v>0.38495294118733292</v>
      </c>
      <c r="BN100" s="461"/>
      <c r="BO100" s="463">
        <f>BO99/BO69</f>
        <v>0.37126164337902906</v>
      </c>
      <c r="BP100" s="461"/>
      <c r="BQ100" s="463">
        <f>BQ99/BQ69</f>
        <v>0.35260210328881897</v>
      </c>
      <c r="BR100" s="461"/>
      <c r="BS100" s="463">
        <f>BS99/BS69</f>
        <v>0.40081832643565551</v>
      </c>
      <c r="BT100" s="461"/>
      <c r="BU100" s="463">
        <f>BU99/BU69</f>
        <v>0.37437764860969774</v>
      </c>
      <c r="BV100" s="461"/>
      <c r="BW100" s="463">
        <f>BW99/BW69</f>
        <v>0.37121294722456255</v>
      </c>
      <c r="BX100" s="461"/>
      <c r="BY100" s="463">
        <f>BY99/BY69</f>
        <v>0.40555783172081938</v>
      </c>
      <c r="BZ100" s="461"/>
      <c r="CA100" s="463">
        <f>CA99/CA69</f>
        <v>0.38756575161474849</v>
      </c>
      <c r="CB100" s="461"/>
      <c r="CC100" s="463">
        <f>CC99/CC69</f>
        <v>0.41992616263053062</v>
      </c>
      <c r="CD100" s="461"/>
      <c r="CE100" s="463">
        <f>CE99/CE69</f>
        <v>0.40267839640548081</v>
      </c>
      <c r="CF100" s="461"/>
      <c r="CG100" s="463">
        <f>CG99/CG69</f>
        <v>0.34776639973523715</v>
      </c>
      <c r="CH100" s="461"/>
      <c r="CI100" s="463">
        <f>CI99/CI69</f>
        <v>0.35805654492986211</v>
      </c>
      <c r="CJ100" s="461"/>
      <c r="CK100" s="463">
        <f>CK99/CK69</f>
        <v>0.36685784266279386</v>
      </c>
      <c r="CL100" s="461"/>
      <c r="CM100" s="463">
        <f>CM99/CM69</f>
        <v>0.37994028687613107</v>
      </c>
      <c r="CN100" s="461"/>
      <c r="CO100" s="463">
        <f>CO99/CO69</f>
        <v>0.3810534064136466</v>
      </c>
      <c r="CP100" s="461"/>
      <c r="CQ100" s="463">
        <f>CQ99/CQ69</f>
        <v>0.37851683883429915</v>
      </c>
      <c r="CR100" s="461"/>
      <c r="CS100" s="463">
        <f>CS99/CS69</f>
        <v>0.37851683883429915</v>
      </c>
      <c r="CT100" s="464"/>
      <c r="CU100" s="461"/>
      <c r="CV100" s="463">
        <f>CV99/CV69</f>
        <v>0.32375201856101754</v>
      </c>
      <c r="CW100" s="461"/>
      <c r="CX100" s="463">
        <f>CX99/CX69</f>
        <v>0.28317713967467856</v>
      </c>
      <c r="CY100" s="461"/>
      <c r="CZ100" s="463">
        <f>CZ99/CZ69</f>
        <v>0.28683439916613435</v>
      </c>
      <c r="DA100" s="461"/>
      <c r="DB100" s="463">
        <f>DB99/DB69</f>
        <v>0.19509062366205226</v>
      </c>
      <c r="DC100" s="461"/>
      <c r="DD100" s="463">
        <f>DD99/DD69</f>
        <v>0.21618037135278509</v>
      </c>
      <c r="DE100" s="461"/>
      <c r="DF100" s="463">
        <f>DF99/DF69</f>
        <v>0.35349890692498598</v>
      </c>
      <c r="DG100" s="461"/>
      <c r="DH100" s="463">
        <f>DH99/DH69</f>
        <v>0.30769230769230771</v>
      </c>
      <c r="DI100" s="461"/>
      <c r="DJ100" s="463">
        <f>DJ99/DJ69</f>
        <v>0.37280558418946602</v>
      </c>
      <c r="DK100" s="461"/>
      <c r="DL100" s="463">
        <f>DL99/DL69</f>
        <v>0.33745850214204115</v>
      </c>
      <c r="DM100" s="461"/>
      <c r="DN100" s="463">
        <f>DN99/DN69</f>
        <v>0.34199339503849407</v>
      </c>
      <c r="DO100" s="461"/>
      <c r="DP100" s="463">
        <f>DP99/DP69</f>
        <v>0.34813105821677442</v>
      </c>
      <c r="DQ100" s="461"/>
      <c r="DR100" s="463">
        <f>DR99/DR69</f>
        <v>0.28381962864721488</v>
      </c>
      <c r="DS100" s="461"/>
      <c r="DT100" s="463">
        <f>DT99/DT69</f>
        <v>0.31979215871516292</v>
      </c>
      <c r="DU100" s="461"/>
      <c r="DV100" s="463">
        <f>DV99/DV69</f>
        <v>0.35580193072626376</v>
      </c>
      <c r="DW100" s="461"/>
      <c r="DX100" s="463">
        <f>DX99/DX69</f>
        <v>0.36068699322034981</v>
      </c>
      <c r="DY100" s="461"/>
      <c r="DZ100" s="463">
        <f>DZ99/DZ69</f>
        <v>0.38608879707914012</v>
      </c>
      <c r="EA100" s="461"/>
      <c r="EB100" s="463">
        <f>EB99/EB69</f>
        <v>0.36873680736444586</v>
      </c>
      <c r="EC100" s="461"/>
      <c r="ED100" s="463">
        <f>ED99/ED69</f>
        <v>0.39478727344423536</v>
      </c>
      <c r="EE100" s="461"/>
      <c r="EF100" s="463">
        <f>EF99/EF69</f>
        <v>0.40942673416358288</v>
      </c>
      <c r="EG100" s="461"/>
      <c r="EH100" s="463">
        <f>EH99/EH69</f>
        <v>0.40374589977252018</v>
      </c>
      <c r="EI100" s="461"/>
      <c r="EJ100" s="463">
        <f>EJ99/EJ69</f>
        <v>0.39961246403530676</v>
      </c>
      <c r="EK100" s="461"/>
      <c r="EL100" s="463">
        <f>EL99/EL69</f>
        <v>0.38440154992502795</v>
      </c>
      <c r="EM100" s="461"/>
      <c r="EN100" s="463">
        <f>EN99/EN69</f>
        <v>0.41860672266495547</v>
      </c>
      <c r="EO100" s="461"/>
      <c r="EP100" s="463">
        <f>EP99/EP69</f>
        <v>0.3551566432371463</v>
      </c>
      <c r="EQ100" s="461"/>
      <c r="ER100" s="463">
        <f>ER99/ER69</f>
        <v>0.41745489464553076</v>
      </c>
      <c r="ES100" s="461"/>
      <c r="ET100" s="463">
        <f>ET99/ET69</f>
        <v>0.39462579160867212</v>
      </c>
      <c r="EU100" s="461"/>
      <c r="EV100" s="463">
        <f>EV99/EV69</f>
        <v>0.40327001547757158</v>
      </c>
      <c r="EW100" s="461"/>
      <c r="EX100" s="463">
        <f>EX99/EX69</f>
        <v>0.41120461741636438</v>
      </c>
      <c r="EY100" s="461"/>
      <c r="EZ100" s="463">
        <f>EZ99/EZ69</f>
        <v>0.39483375543872923</v>
      </c>
      <c r="FA100" s="461"/>
      <c r="FB100" s="463">
        <f>FB99/FB69</f>
        <v>0.35522327666115749</v>
      </c>
      <c r="FC100" s="461"/>
      <c r="FD100" s="463">
        <f>FD99/FD69</f>
        <v>0.3753596807184118</v>
      </c>
      <c r="FE100" s="461"/>
      <c r="FF100" s="463">
        <f>FF99/FF69</f>
        <v>0.43932441339912864</v>
      </c>
      <c r="FG100" s="461"/>
      <c r="FH100" s="463">
        <f>FH99/FH69</f>
        <v>0.41285849149816856</v>
      </c>
      <c r="FI100" s="461"/>
      <c r="FJ100" s="463">
        <f>FJ99/FJ69</f>
        <v>0.40008025748253268</v>
      </c>
      <c r="FK100" s="461"/>
      <c r="FL100" s="463">
        <f>FL99/FL69</f>
        <v>0.39821518593040095</v>
      </c>
      <c r="FM100" s="461"/>
      <c r="FN100" s="463">
        <f>FN99/FN69</f>
        <v>0.39365690980026241</v>
      </c>
      <c r="FO100" s="461"/>
      <c r="FP100" s="463">
        <f>FP99/FP69</f>
        <v>0.39365690980026241</v>
      </c>
      <c r="FQ100" s="465"/>
      <c r="FR100" s="461"/>
      <c r="FS100" s="462">
        <f>FS99/FS69</f>
        <v>0.2488603947858769</v>
      </c>
      <c r="FT100" s="461"/>
      <c r="FU100" s="462">
        <f>FU99/FU69</f>
        <v>0.20487642921067251</v>
      </c>
      <c r="FV100" s="461"/>
      <c r="FW100" s="463">
        <f>FW99/FW69</f>
        <v>0.16591280801681191</v>
      </c>
      <c r="FX100" s="461"/>
      <c r="FY100" s="462">
        <f>FY99/FY69</f>
        <v>9.8173025352565293E-2</v>
      </c>
      <c r="FZ100" s="461"/>
      <c r="GA100" s="462">
        <f>GA99/GA69</f>
        <v>0.1116331294517808</v>
      </c>
      <c r="GB100" s="461"/>
      <c r="GC100" s="462">
        <f>GC99/GC69</f>
        <v>0.1116331294517808</v>
      </c>
      <c r="GD100" s="461"/>
      <c r="GE100" s="462">
        <f>GE99/GE69</f>
        <v>9.8173025352565293E-2</v>
      </c>
      <c r="GF100" s="461"/>
      <c r="GG100" s="463">
        <f>GG99/GG69</f>
        <v>0.14156031359104634</v>
      </c>
      <c r="GH100" s="461"/>
      <c r="GI100" s="463">
        <f>GI99/GI69</f>
        <v>0.18943278943278941</v>
      </c>
      <c r="GJ100" s="461"/>
      <c r="GK100" s="463">
        <f>GK99/GK69</f>
        <v>0.18638149279790484</v>
      </c>
      <c r="GL100" s="461"/>
      <c r="GM100" s="463">
        <f>GM99/GM69</f>
        <v>0.31669004869951028</v>
      </c>
      <c r="GN100" s="461"/>
      <c r="GO100" s="463">
        <f>GO99/GO69</f>
        <v>0.2993058391180074</v>
      </c>
      <c r="GP100" s="461"/>
      <c r="GQ100" s="463">
        <f>GQ99/GQ69</f>
        <v>0.32773301690676659</v>
      </c>
      <c r="GR100" s="461"/>
      <c r="GS100" s="463">
        <f>GS99/GS69</f>
        <v>0.30919760680404851</v>
      </c>
      <c r="GT100" s="461"/>
      <c r="GU100" s="463">
        <f>GU99/GU69</f>
        <v>0.31653738320594349</v>
      </c>
      <c r="GV100" s="461"/>
      <c r="GW100" s="463">
        <f>GW99/GW69</f>
        <v>0.2100266908531391</v>
      </c>
      <c r="GX100" s="461"/>
      <c r="GY100" s="463">
        <f>GY99/GY69</f>
        <v>0.23177651680488875</v>
      </c>
      <c r="GZ100" s="461"/>
      <c r="HA100" s="463">
        <f>HA99/HA69</f>
        <v>0.26436781609195403</v>
      </c>
      <c r="HB100" s="461"/>
      <c r="HC100" s="463">
        <f>HC99/HC69</f>
        <v>0.26584250523050923</v>
      </c>
      <c r="HD100" s="461"/>
      <c r="HE100" s="463">
        <f>HE99/HE69</f>
        <v>0.35132807269957333</v>
      </c>
      <c r="HF100" s="461"/>
      <c r="HG100" s="463">
        <f>HG99/HG69</f>
        <v>0.34424925643389415</v>
      </c>
      <c r="HH100" s="461"/>
      <c r="HI100" s="463">
        <f>HI99/HI69</f>
        <v>0.35291416944457432</v>
      </c>
      <c r="HJ100" s="461"/>
      <c r="HK100" s="463">
        <f>HK99/HK69</f>
        <v>0.35750035090423249</v>
      </c>
      <c r="HL100" s="461"/>
      <c r="HM100" s="463">
        <f>HM99/HM69</f>
        <v>0.38141828129403166</v>
      </c>
      <c r="HN100" s="461"/>
      <c r="HO100" s="463">
        <f>HO99/HO69</f>
        <v>0.37820325613319739</v>
      </c>
      <c r="HP100" s="461"/>
      <c r="HQ100" s="463">
        <f>HQ99/HQ69</f>
        <v>0.37389275012342493</v>
      </c>
      <c r="HR100" s="461"/>
      <c r="HS100" s="463">
        <f>HS99/HS69</f>
        <v>0.34135223610009907</v>
      </c>
      <c r="HT100" s="461"/>
      <c r="HU100" s="463">
        <f>HU99/HU69</f>
        <v>0.35115823423065801</v>
      </c>
      <c r="HV100" s="461"/>
      <c r="HW100" s="463">
        <f>HW99/HW69</f>
        <v>0.32909729100517271</v>
      </c>
      <c r="HX100" s="461"/>
      <c r="HY100" s="463">
        <f>HY99/HY69</f>
        <v>0.24918034729327188</v>
      </c>
      <c r="HZ100" s="461"/>
      <c r="IA100" s="463">
        <f>IA99/IA69</f>
        <v>0.23323565142625138</v>
      </c>
      <c r="IB100" s="461"/>
      <c r="IC100" s="463">
        <f>IC99/IC69</f>
        <v>0.35370887785396349</v>
      </c>
      <c r="ID100" s="461"/>
      <c r="IE100" s="463">
        <f>IE99/IE69</f>
        <v>0.36484311210173848</v>
      </c>
      <c r="IF100" s="461"/>
      <c r="IG100" s="463">
        <f>IG99/IG69</f>
        <v>0.36100329199245274</v>
      </c>
      <c r="IH100" s="461"/>
      <c r="II100" s="463">
        <f>II99/II69</f>
        <v>0.34226338440420501</v>
      </c>
      <c r="IJ100" s="461"/>
      <c r="IK100" s="463">
        <f>IK99/IK69</f>
        <v>0.32270641311431369</v>
      </c>
      <c r="IL100" s="461"/>
      <c r="IM100" s="463">
        <f>IM99/IM69</f>
        <v>0.33364001781977892</v>
      </c>
      <c r="IN100" s="461"/>
      <c r="IO100" s="463">
        <f>IO99/IO69</f>
        <v>0.34415303181620399</v>
      </c>
      <c r="IP100" s="461"/>
      <c r="IQ100" s="463">
        <f>IQ99/IQ69</f>
        <v>0.35314495219273545</v>
      </c>
      <c r="IR100" s="461"/>
      <c r="IS100" s="463">
        <f>IS99/IS69</f>
        <v>0.34545149334163416</v>
      </c>
      <c r="IT100" s="461"/>
      <c r="IU100" s="463">
        <f>IU99/IU69</f>
        <v>0.32963197242967252</v>
      </c>
      <c r="IV100" s="461"/>
      <c r="IW100" s="463">
        <f>IW99/IW69</f>
        <v>0.35915455887643905</v>
      </c>
      <c r="IX100" s="461"/>
      <c r="IY100" s="463">
        <f>IY99/IY69</f>
        <v>0.35652824541713435</v>
      </c>
      <c r="IZ100" s="460"/>
      <c r="JA100" s="461"/>
      <c r="JB100" s="463">
        <f>JB99/JB69</f>
        <v>0.30303030303030304</v>
      </c>
      <c r="JC100" s="461"/>
      <c r="JD100" s="463">
        <f>JD99/JD69</f>
        <v>0.29420790180283851</v>
      </c>
      <c r="JE100" s="465"/>
      <c r="JF100" s="461"/>
      <c r="JG100" s="462">
        <f>JG99/JG69</f>
        <v>0.31346475527949735</v>
      </c>
      <c r="JH100" s="461"/>
      <c r="JI100" s="462">
        <f>JI99/JI69</f>
        <v>0.26681721043865902</v>
      </c>
      <c r="JJ100" s="461"/>
      <c r="JK100" s="463">
        <f>JK99/JK69</f>
        <v>0.23176446594926561</v>
      </c>
      <c r="JL100" s="461"/>
      <c r="JM100" s="462">
        <f>JM99/JM69</f>
        <v>0.16779921832383829</v>
      </c>
      <c r="JN100" s="461"/>
      <c r="JO100" s="462">
        <f>JO99/JO69</f>
        <v>0.20742782697508408</v>
      </c>
      <c r="JP100" s="461"/>
      <c r="JQ100" s="463">
        <f>JQ99/JQ69</f>
        <v>0.22987137805316984</v>
      </c>
      <c r="JR100" s="461"/>
      <c r="JS100" s="463">
        <f>JS99/JS69</f>
        <v>0.14840714840714833</v>
      </c>
      <c r="JT100" s="461"/>
      <c r="JU100" s="463">
        <f>JU99/JU69</f>
        <v>0.18949096880131366</v>
      </c>
      <c r="JV100" s="461"/>
      <c r="JW100" s="463">
        <f>JW99/JW69</f>
        <v>0.29267870113360428</v>
      </c>
      <c r="JX100" s="461"/>
      <c r="JY100" s="463">
        <f>JY99/JY69</f>
        <v>0.23645673323092672</v>
      </c>
      <c r="JZ100" s="461"/>
      <c r="KA100" s="463">
        <f>KA99/KA69</f>
        <v>0.2858157241630625</v>
      </c>
      <c r="KB100" s="461"/>
      <c r="KC100" s="463">
        <f>KC99/KC69</f>
        <v>0.27365822279106738</v>
      </c>
      <c r="KD100" s="461"/>
      <c r="KE100" s="463">
        <f>KE99/KE69</f>
        <v>0.2799257385583887</v>
      </c>
      <c r="KF100" s="461"/>
      <c r="KG100" s="463">
        <f>KG99/KG69</f>
        <v>0.20467700611183148</v>
      </c>
      <c r="KH100" s="461"/>
      <c r="KI100" s="463">
        <f>KI99/KI69</f>
        <v>0.21182266009852213</v>
      </c>
      <c r="KJ100" s="461"/>
      <c r="KK100" s="463">
        <f>KK99/KK69</f>
        <v>0.24764890282131655</v>
      </c>
      <c r="KL100" s="461"/>
      <c r="KM100" s="463">
        <f>KM99/KM69</f>
        <v>0.25775024381529971</v>
      </c>
      <c r="KN100" s="461"/>
      <c r="KO100" s="463">
        <f>KO99/KO69</f>
        <v>0.29446388135848406</v>
      </c>
      <c r="KP100" s="461"/>
      <c r="KQ100" s="463">
        <f>KQ99/KQ69</f>
        <v>0.26677185531841258</v>
      </c>
      <c r="KR100" s="461"/>
      <c r="KS100" s="463">
        <f>KS99/KS69</f>
        <v>0.30274777454373442</v>
      </c>
      <c r="KT100" s="461"/>
      <c r="KU100" s="463">
        <f>KU99/KU69</f>
        <v>0.30653586498627255</v>
      </c>
      <c r="KV100" s="461"/>
      <c r="KW100" s="463">
        <f>KW99/KW69</f>
        <v>0.33078905239872991</v>
      </c>
      <c r="KX100" s="461"/>
      <c r="KY100" s="463">
        <f>KY99/KY69</f>
        <v>0.35187577370944295</v>
      </c>
      <c r="KZ100" s="461"/>
      <c r="LA100" s="463">
        <f>LA99/LA69</f>
        <v>0.37080440304390527</v>
      </c>
      <c r="LB100" s="461"/>
      <c r="LC100" s="463">
        <f>LC99/LC69</f>
        <v>0.30555978585452931</v>
      </c>
      <c r="LD100" s="461"/>
      <c r="LE100" s="463">
        <f>LE99/LE69</f>
        <v>0.29845377931005029</v>
      </c>
      <c r="LF100" s="461"/>
      <c r="LG100" s="463">
        <f>LG99/LG69</f>
        <v>0.22838828951424248</v>
      </c>
      <c r="LH100" s="461"/>
      <c r="LI100" s="463">
        <f>LI99/LI69</f>
        <v>0.3211035554666633</v>
      </c>
      <c r="LJ100" s="461"/>
      <c r="LK100" s="463">
        <f>LK99/LK69</f>
        <v>0.27549278624004414</v>
      </c>
      <c r="LL100" s="461"/>
      <c r="LM100" s="463">
        <f>LM99/LM69</f>
        <v>0.32370859882572678</v>
      </c>
      <c r="LN100" s="461"/>
      <c r="LO100" s="463">
        <f>LO99/LO69</f>
        <v>0.33726627243108565</v>
      </c>
      <c r="LP100" s="461"/>
      <c r="LQ100" s="463">
        <f>LQ99/LQ69</f>
        <v>0.31722515618474606</v>
      </c>
      <c r="LR100" s="461"/>
      <c r="LS100" s="463">
        <f>LS99/LS69</f>
        <v>0.28491870048146228</v>
      </c>
      <c r="LT100" s="461"/>
      <c r="LU100" s="463">
        <f>LU99/LU69</f>
        <v>0.26365665711482633</v>
      </c>
      <c r="LV100" s="461"/>
      <c r="LW100" s="463">
        <f>LW99/LW69</f>
        <v>0.27520513381495099</v>
      </c>
      <c r="LX100" s="461"/>
      <c r="LY100" s="463">
        <f>LY99/LY69</f>
        <v>0.28664006204670012</v>
      </c>
      <c r="LZ100" s="461"/>
      <c r="MA100" s="463">
        <f>MA99/MA69</f>
        <v>0.29642050790230395</v>
      </c>
      <c r="MB100" s="461"/>
      <c r="MC100" s="463">
        <f>MC99/MC69</f>
        <v>0.29270429243037815</v>
      </c>
      <c r="MD100" s="461"/>
      <c r="ME100" s="463">
        <f>ME99/ME69</f>
        <v>0.37294018755177144</v>
      </c>
      <c r="MF100" s="461"/>
      <c r="MG100" s="463">
        <f>MG99/MG69</f>
        <v>0.30789375233819677</v>
      </c>
      <c r="MH100" s="465"/>
      <c r="MI100" s="461"/>
      <c r="MJ100" s="462">
        <f>MJ99/MJ69</f>
        <v>0.35955650005477119</v>
      </c>
      <c r="MK100" s="461"/>
      <c r="ML100" s="462">
        <f>ML99/ML69</f>
        <v>0.3284244952150121</v>
      </c>
      <c r="MM100" s="461"/>
      <c r="MN100" s="463">
        <f>MN99/MN69</f>
        <v>0.28435486714107644</v>
      </c>
      <c r="MO100" s="461"/>
      <c r="MP100" s="462">
        <f>MP99/MP69</f>
        <v>0.20765609867151263</v>
      </c>
      <c r="MQ100" s="461"/>
      <c r="MR100" s="462">
        <f>MR99/MR69</f>
        <v>0.2685084391992002</v>
      </c>
      <c r="MS100" s="461"/>
      <c r="MT100" s="463">
        <f>MT99/MT69</f>
        <v>0.26041692415919149</v>
      </c>
      <c r="MU100" s="461"/>
      <c r="MV100" s="463">
        <f>MV99/MV69</f>
        <v>0.22427572427572431</v>
      </c>
      <c r="MW100" s="461"/>
      <c r="MX100" s="463">
        <f>MX99/MX69</f>
        <v>0.28538587848932667</v>
      </c>
      <c r="MY100" s="461"/>
      <c r="MZ100" s="463">
        <f>MZ99/MZ69</f>
        <v>0.39250296236427523</v>
      </c>
      <c r="NA100" s="461"/>
      <c r="NB100" s="463">
        <f>NB99/NB69</f>
        <v>0.35401945724526374</v>
      </c>
      <c r="NC100" s="461"/>
      <c r="ND100" s="463">
        <f>ND99/ND69</f>
        <v>0.38812687647053845</v>
      </c>
      <c r="NE100" s="461"/>
      <c r="NF100" s="463">
        <f>NF99/NF69</f>
        <v>0.3925083802495456</v>
      </c>
      <c r="NG100" s="461"/>
      <c r="NH100" s="463">
        <f>NH99/NH69</f>
        <v>0.39184185091034124</v>
      </c>
      <c r="NI100" s="461"/>
      <c r="NJ100" s="463">
        <f>NJ99/NJ69</f>
        <v>0.33448158512791221</v>
      </c>
      <c r="NK100" s="461"/>
      <c r="NL100" s="463">
        <f>NL99/NL69</f>
        <v>0.32129173508483855</v>
      </c>
      <c r="NM100" s="461"/>
      <c r="NN100" s="463">
        <f>NN99/NN69</f>
        <v>0.35214211076280044</v>
      </c>
      <c r="NO100" s="461"/>
      <c r="NP100" s="463">
        <f>NP99/NP69</f>
        <v>0.37745357840041294</v>
      </c>
      <c r="NQ100" s="461"/>
      <c r="NR100" s="463">
        <f>NR99/NR69</f>
        <v>0.41461748384961233</v>
      </c>
      <c r="NS100" s="461"/>
      <c r="NT100" s="463">
        <f>NT99/NT69</f>
        <v>0.42468061238989946</v>
      </c>
      <c r="NU100" s="461"/>
      <c r="NV100" s="463">
        <f>NV99/NV69</f>
        <v>0.33941087805113052</v>
      </c>
      <c r="NW100" s="461"/>
      <c r="NX100" s="463">
        <f>NX99/NX69</f>
        <v>0.42092983492596586</v>
      </c>
      <c r="NY100" s="461"/>
      <c r="NZ100" s="463">
        <f>NZ99/NZ69</f>
        <v>0.39079697954065012</v>
      </c>
      <c r="OA100" s="461"/>
      <c r="OB100" s="463">
        <f>OB99/OB69</f>
        <v>0.45356528662737994</v>
      </c>
      <c r="OC100" s="461"/>
      <c r="OD100" s="463">
        <f>OD99/OD69</f>
        <v>0.46002499906805949</v>
      </c>
      <c r="OE100" s="461"/>
      <c r="OF100" s="463">
        <f>OF99/OF69</f>
        <v>0.40850317105439371</v>
      </c>
      <c r="OG100" s="461"/>
      <c r="OH100" s="463">
        <f>OH99/OH69</f>
        <v>0.39494860638442431</v>
      </c>
      <c r="OI100" s="461"/>
      <c r="OJ100" s="463">
        <f>OJ99/OJ69</f>
        <v>0.36714181601140977</v>
      </c>
      <c r="OK100" s="461"/>
      <c r="OL100" s="463">
        <f>OL99/OL69</f>
        <v>0.39887961679784728</v>
      </c>
      <c r="OM100" s="461"/>
      <c r="ON100" s="463">
        <f>ON99/ON69</f>
        <v>0.36473242216755253</v>
      </c>
      <c r="OO100" s="461"/>
      <c r="OP100" s="463">
        <f>OP99/OP69</f>
        <v>0.3868088109038148</v>
      </c>
      <c r="OQ100" s="461"/>
      <c r="OR100" s="463">
        <f>OR99/OR69</f>
        <v>0.39022440788890417</v>
      </c>
      <c r="OS100" s="461"/>
      <c r="OT100" s="463">
        <f>OT99/OT69</f>
        <v>0.37875320054821793</v>
      </c>
      <c r="OU100" s="461"/>
      <c r="OV100" s="463">
        <f>OV99/OV69</f>
        <v>0.29182769854444346</v>
      </c>
      <c r="OW100" s="461"/>
      <c r="OX100" s="463">
        <f>OX99/OX69</f>
        <v>0.27077108554849955</v>
      </c>
      <c r="OY100" s="461"/>
      <c r="OZ100" s="463">
        <f>OZ99/OZ69</f>
        <v>0.28220798276359871</v>
      </c>
      <c r="PA100" s="461"/>
      <c r="PB100" s="463">
        <f>PB99/PB69</f>
        <v>0.29353242859697354</v>
      </c>
      <c r="PC100" s="461"/>
      <c r="PD100" s="463">
        <f>PD99/PD69</f>
        <v>0.30321837739117052</v>
      </c>
      <c r="PE100" s="461"/>
      <c r="PF100" s="463">
        <f>PF99/PF69</f>
        <v>0.34399625298920095</v>
      </c>
      <c r="PG100" s="461"/>
      <c r="PH100" s="463">
        <f>PH99/PH69</f>
        <v>0.43329888607619987</v>
      </c>
      <c r="PI100" s="461"/>
      <c r="PJ100" s="463">
        <f>PJ99/PJ69</f>
        <v>0.4245426142175282</v>
      </c>
      <c r="PK100" s="461"/>
      <c r="PL100" s="463">
        <f>PL99/PL69</f>
        <v>0.41467304625199358</v>
      </c>
      <c r="PM100" s="461"/>
      <c r="PN100" s="463">
        <f>PN99/PN69</f>
        <v>0.43883277216610544</v>
      </c>
      <c r="PO100" s="461"/>
      <c r="PP100" s="463">
        <f>PP99/PP69</f>
        <v>0.43883277216610544</v>
      </c>
      <c r="PQ100" s="466"/>
      <c r="PR100" s="461"/>
      <c r="PS100" s="463">
        <f>PS99/PS69</f>
        <v>0.55944288648392793</v>
      </c>
      <c r="PT100" s="461"/>
      <c r="PU100" s="463">
        <f>PU99/PU69</f>
        <v>0.59756293089626433</v>
      </c>
      <c r="PV100" s="461"/>
      <c r="PW100" s="463">
        <f>PW99/PW69</f>
        <v>0.55944288648392793</v>
      </c>
      <c r="PX100" s="461"/>
      <c r="PY100" s="463">
        <f>PY99/PY69</f>
        <v>0.59756293089626433</v>
      </c>
      <c r="PZ100" s="461"/>
      <c r="QA100" s="463">
        <f>QA99/QA69</f>
        <v>0.55393592256497703</v>
      </c>
      <c r="QB100" s="461"/>
      <c r="QC100" s="463">
        <f>QC99/QC69</f>
        <v>0.59253246753246747</v>
      </c>
      <c r="QD100" s="466"/>
      <c r="QE100" s="466"/>
      <c r="QF100" s="461"/>
      <c r="QG100" s="463">
        <f>QG99/QG69</f>
        <v>0.48116081449414783</v>
      </c>
      <c r="QH100" s="461"/>
      <c r="QI100" s="463">
        <f>QI99/QI69</f>
        <v>0.51643418310084976</v>
      </c>
      <c r="QJ100" s="461"/>
      <c r="QK100" s="463">
        <f>QK99/QK69</f>
        <v>0.48116081449414783</v>
      </c>
      <c r="QL100" s="461"/>
      <c r="QM100" s="463">
        <f>QM99/QM69</f>
        <v>0.51643418310084976</v>
      </c>
      <c r="QN100" s="461"/>
      <c r="QO100" s="463">
        <f>QO99/QO69</f>
        <v>0.42100554660941136</v>
      </c>
      <c r="QP100" s="461"/>
      <c r="QQ100" s="463">
        <f>QQ99/QQ69</f>
        <v>0.46036858114152801</v>
      </c>
    </row>
    <row r="101" spans="1:459" x14ac:dyDescent="0.45">
      <c r="A101" s="871"/>
      <c r="B101" s="180" t="s">
        <v>401</v>
      </c>
      <c r="C101" s="181"/>
      <c r="D101" s="199"/>
      <c r="E101" s="454"/>
      <c r="F101" s="285"/>
      <c r="G101" s="455">
        <f>G99-G84</f>
        <v>0.37597916922226066</v>
      </c>
      <c r="H101" s="285"/>
      <c r="I101" s="455">
        <f>I99-I84</f>
        <v>1.8759791692222607</v>
      </c>
      <c r="J101" s="285"/>
      <c r="K101" s="455">
        <f>K99-K84</f>
        <v>2.1066068832981588</v>
      </c>
      <c r="L101" s="285"/>
      <c r="M101" s="455">
        <f>M99-M84</f>
        <v>2.1066068832981588</v>
      </c>
      <c r="N101" s="285"/>
      <c r="O101" s="455">
        <f>O99-O84</f>
        <v>1.99284050813863</v>
      </c>
      <c r="P101" s="285"/>
      <c r="Q101" s="455">
        <f>Q99-Q84</f>
        <v>1.8880528785378741</v>
      </c>
      <c r="R101" s="285"/>
      <c r="S101" s="455">
        <f>S99-S84</f>
        <v>1.4955590559449825</v>
      </c>
      <c r="T101" s="285"/>
      <c r="U101" s="455">
        <f>U99-U84</f>
        <v>1.595559055944983</v>
      </c>
      <c r="V101" s="285"/>
      <c r="W101" s="455">
        <f>W99-W84</f>
        <v>1.595559055944983</v>
      </c>
      <c r="X101" s="285"/>
      <c r="Y101" s="455">
        <f>Y99-Y84</f>
        <v>1.4955590559449825</v>
      </c>
      <c r="Z101" s="285"/>
      <c r="AA101" s="455">
        <f>AA99-AA84</f>
        <v>1.7969031214045754</v>
      </c>
      <c r="AB101" s="285"/>
      <c r="AC101" s="455">
        <f>AC99-AC84</f>
        <v>1.4504971590909095</v>
      </c>
      <c r="AD101" s="285"/>
      <c r="AE101" s="455">
        <f>AE99-AE84</f>
        <v>1.3926203304597695</v>
      </c>
      <c r="AF101" s="285"/>
      <c r="AG101" s="455">
        <f>AG99-AG84</f>
        <v>2.3626030704704779</v>
      </c>
      <c r="AH101" s="285"/>
      <c r="AI101" s="455">
        <f>AI99-AI84</f>
        <v>2.2114465725806451</v>
      </c>
      <c r="AJ101" s="285"/>
      <c r="AK101" s="455">
        <f>AK99-AK84</f>
        <v>2.4267070652486593</v>
      </c>
      <c r="AL101" s="285"/>
      <c r="AM101" s="455">
        <f>AM99-AM84</f>
        <v>2.2982960500138336</v>
      </c>
      <c r="AN101" s="285"/>
      <c r="AO101" s="455">
        <f>AO99-AO84</f>
        <v>2.1862584214006993</v>
      </c>
      <c r="AP101" s="285"/>
      <c r="AQ101" s="455">
        <f>AQ99-AQ84</f>
        <v>2.0246887593664757</v>
      </c>
      <c r="AR101" s="285"/>
      <c r="AS101" s="455">
        <f>AS99-AS84</f>
        <v>1.8312410201149418</v>
      </c>
      <c r="AT101" s="285"/>
      <c r="AU101" s="455">
        <f>AU99-AU84</f>
        <v>2.1312410201149419</v>
      </c>
      <c r="AV101" s="285"/>
      <c r="AW101" s="455">
        <f>AW99-AW84</f>
        <v>2.3789693046263647</v>
      </c>
      <c r="AX101" s="285"/>
      <c r="AY101" s="455">
        <f>AY99-AY84</f>
        <v>2.6309412102893397</v>
      </c>
      <c r="AZ101" s="285"/>
      <c r="BA101" s="455">
        <f>BA99-BA84</f>
        <v>2.708042585549856</v>
      </c>
      <c r="BB101" s="285"/>
      <c r="BC101" s="455">
        <f>BC99-BC84</f>
        <v>2.7103611677762252</v>
      </c>
      <c r="BD101" s="285"/>
      <c r="BE101" s="455">
        <f>BE99-BE84</f>
        <v>2.7242315131560999</v>
      </c>
      <c r="BF101" s="285"/>
      <c r="BG101" s="455">
        <f>BG99-BG84</f>
        <v>2.9491056599229304</v>
      </c>
      <c r="BH101" s="285"/>
      <c r="BI101" s="455">
        <f>BI99-BI84</f>
        <v>3.1482314255604109</v>
      </c>
      <c r="BJ101" s="285"/>
      <c r="BK101" s="455">
        <f>BK99-BK84</f>
        <v>3.1785717743638227</v>
      </c>
      <c r="BL101" s="285"/>
      <c r="BM101" s="455">
        <f>BM99-BM84</f>
        <v>2.7174736427584842</v>
      </c>
      <c r="BN101" s="285"/>
      <c r="BO101" s="455">
        <f>BO99-BO84</f>
        <v>2.6184217227868811</v>
      </c>
      <c r="BP101" s="285"/>
      <c r="BQ101" s="455">
        <f>BQ99-BQ84</f>
        <v>2.4814825467934378</v>
      </c>
      <c r="BR101" s="285"/>
      <c r="BS101" s="455">
        <f>BS99-BS84</f>
        <v>2.8360732469425569</v>
      </c>
      <c r="BT101" s="285"/>
      <c r="BU101" s="455">
        <f>BU99-BU84</f>
        <v>2.6432171274706806</v>
      </c>
      <c r="BV101" s="285"/>
      <c r="BW101" s="455">
        <f>BW99-BW84</f>
        <v>2.6199149817870144</v>
      </c>
      <c r="BX101" s="285"/>
      <c r="BY101" s="455">
        <f>BY99-BY84</f>
        <v>2.873433986994387</v>
      </c>
      <c r="BZ101" s="285"/>
      <c r="CA101" s="455">
        <f>CA99-CA84</f>
        <v>2.7408183274248179</v>
      </c>
      <c r="CB101" s="285"/>
      <c r="CC101" s="455">
        <f>CC99-CC84</f>
        <v>2.976842704565279</v>
      </c>
      <c r="CD101" s="285"/>
      <c r="CE101" s="455">
        <f>CE99-CE84</f>
        <v>2.8481674241515766</v>
      </c>
      <c r="CF101" s="285"/>
      <c r="CG101" s="455">
        <f>CG99-CG84</f>
        <v>2.4455985139342893</v>
      </c>
      <c r="CH101" s="285"/>
      <c r="CI101" s="455">
        <f>CI99-CI84</f>
        <v>2.5222551771828741</v>
      </c>
      <c r="CJ101" s="285"/>
      <c r="CK101" s="455">
        <f>CK99-CK84</f>
        <v>2.587820638476491</v>
      </c>
      <c r="CL101" s="285"/>
      <c r="CM101" s="455">
        <f>CM99-CM84</f>
        <v>2.6832271665121503</v>
      </c>
      <c r="CN101" s="285"/>
      <c r="CO101" s="455">
        <f>CO99-CO84</f>
        <v>2.693004760084122</v>
      </c>
      <c r="CP101" s="285"/>
      <c r="CQ101" s="455">
        <f>CQ99-CQ84</f>
        <v>2.6741062242798352</v>
      </c>
      <c r="CR101" s="285"/>
      <c r="CS101" s="455">
        <f>CS99-CS84</f>
        <v>2.6741062242798352</v>
      </c>
      <c r="CT101" s="201"/>
      <c r="CU101" s="285"/>
      <c r="CV101" s="455">
        <f>CV99-CV84</f>
        <v>2.9719251183596556</v>
      </c>
      <c r="CW101" s="285"/>
      <c r="CX101" s="455">
        <f>CX99-CX84</f>
        <v>2.5763200492178506</v>
      </c>
      <c r="CY101" s="285"/>
      <c r="CZ101" s="455">
        <f>CZ99-CZ84</f>
        <v>2.6263200492178513</v>
      </c>
      <c r="DA101" s="285"/>
      <c r="DB101" s="455">
        <f>DB99-DB84</f>
        <v>1.7280096736108472</v>
      </c>
      <c r="DC101" s="285"/>
      <c r="DD101" s="455">
        <f>DD99-DD84</f>
        <v>2.0659224535197835</v>
      </c>
      <c r="DE101" s="285"/>
      <c r="DF101" s="455">
        <f>DF99-DF84</f>
        <v>3.5020283499815057</v>
      </c>
      <c r="DG101" s="285"/>
      <c r="DH101" s="455">
        <f>DH99-DH84</f>
        <v>3.0246814060029461</v>
      </c>
      <c r="DI101" s="285"/>
      <c r="DJ101" s="455">
        <f>DJ99-DJ84</f>
        <v>3.7002735494406651</v>
      </c>
      <c r="DK101" s="285"/>
      <c r="DL101" s="455">
        <f>DL99-DL84</f>
        <v>3.3318509669792014</v>
      </c>
      <c r="DM101" s="285"/>
      <c r="DN101" s="455">
        <f>DN99-DN84</f>
        <v>3.3801231422678044</v>
      </c>
      <c r="DO101" s="285"/>
      <c r="DP101" s="455">
        <f>DP99-DP84</f>
        <v>3.4409796497605707</v>
      </c>
      <c r="DQ101" s="285"/>
      <c r="DR101" s="455">
        <f>DR99-DR84</f>
        <v>2.7693707293818535</v>
      </c>
      <c r="DS101" s="285"/>
      <c r="DT101" s="455">
        <f>DT99-DT84</f>
        <v>3.3193707293818524</v>
      </c>
      <c r="DU101" s="285"/>
      <c r="DV101" s="455">
        <f>DV99-DV84</f>
        <v>3.7160967337038602</v>
      </c>
      <c r="DW101" s="285"/>
      <c r="DX101" s="455">
        <f>DX99-DX84</f>
        <v>3.7703966901751298</v>
      </c>
      <c r="DY101" s="285"/>
      <c r="DZ101" s="455">
        <f>DZ99-DZ84</f>
        <v>4.0493300048889491</v>
      </c>
      <c r="EA101" s="285"/>
      <c r="EB101" s="455">
        <f>EB99-EB84</f>
        <v>3.8607135362427245</v>
      </c>
      <c r="EC101" s="285"/>
      <c r="ED101" s="455">
        <f>ED99-ED84</f>
        <v>4.1467006871245768</v>
      </c>
      <c r="EE101" s="285"/>
      <c r="EF101" s="455">
        <f>EF99-EF84</f>
        <v>4.3094919743587505</v>
      </c>
      <c r="EG101" s="285"/>
      <c r="EH101" s="455">
        <f>EH99-EH84</f>
        <v>4.2463209081006168</v>
      </c>
      <c r="EI101" s="285"/>
      <c r="EJ101" s="455">
        <f>EJ99-EJ84</f>
        <v>4.2003569660360416</v>
      </c>
      <c r="EK101" s="285"/>
      <c r="EL101" s="455">
        <f>EL99-EL84</f>
        <v>4.0321287739801681</v>
      </c>
      <c r="EM101" s="285"/>
      <c r="EN101" s="455">
        <f>EN99-EN84</f>
        <v>4.4091444719611301</v>
      </c>
      <c r="EO101" s="285"/>
      <c r="EP101" s="455">
        <f>EP99-EP84</f>
        <v>3.7146920176384044</v>
      </c>
      <c r="EQ101" s="285"/>
      <c r="ER101" s="455">
        <f>ER99-ER84</f>
        <v>4.3971728665754934</v>
      </c>
      <c r="ES101" s="285"/>
      <c r="ET101" s="455">
        <f>ET99-ET84</f>
        <v>4.1495127416230062</v>
      </c>
      <c r="EU101" s="285"/>
      <c r="EV101" s="455">
        <f>EV99-EV84</f>
        <v>4.2441019634957353</v>
      </c>
      <c r="EW101" s="285"/>
      <c r="EX101" s="455">
        <f>EX99-EX84</f>
        <v>4.3326809230111758</v>
      </c>
      <c r="EY101" s="285"/>
      <c r="EZ101" s="455">
        <f>EZ99-EZ84</f>
        <v>4.1528354127416209</v>
      </c>
      <c r="FA101" s="285"/>
      <c r="FB101" s="455">
        <f>FB99-FB84</f>
        <v>3.716247719280108</v>
      </c>
      <c r="FC101" s="285"/>
      <c r="FD101" s="455">
        <f>FD99-FD84</f>
        <v>3.9337640036350323</v>
      </c>
      <c r="FE101" s="285"/>
      <c r="FF101" s="455">
        <f>FF99-FF84</f>
        <v>4.6357949684473025</v>
      </c>
      <c r="FG101" s="285"/>
      <c r="FH101" s="455">
        <f>FH99-FH84</f>
        <v>4.3475943653119931</v>
      </c>
      <c r="FI101" s="285"/>
      <c r="FJ101" s="455">
        <f>FJ99-FJ84</f>
        <v>4.2090422660979838</v>
      </c>
      <c r="FK101" s="285"/>
      <c r="FL101" s="455">
        <f>FL99-FL84</f>
        <v>4.1874479385779448</v>
      </c>
      <c r="FM101" s="285"/>
      <c r="FN101" s="455">
        <f>FN99-FN84</f>
        <v>4.1400305240568409</v>
      </c>
      <c r="FO101" s="285"/>
      <c r="FP101" s="455">
        <f>FP99-FP84</f>
        <v>4.1400305240568409</v>
      </c>
      <c r="FQ101" s="177"/>
      <c r="FR101" s="285"/>
      <c r="FS101" s="455">
        <f>FS99-FS84</f>
        <v>1.5246772663010733</v>
      </c>
      <c r="FT101" s="285"/>
      <c r="FU101" s="455">
        <f>FU99-FU84</f>
        <v>1.2343830935047242</v>
      </c>
      <c r="FV101" s="285"/>
      <c r="FW101" s="455">
        <f>FW99-FW84</f>
        <v>0.97824049535227298</v>
      </c>
      <c r="FX101" s="285"/>
      <c r="FY101" s="455">
        <f>FY99-FY84</f>
        <v>0.53115792976824538</v>
      </c>
      <c r="FZ101" s="285"/>
      <c r="GA101" s="455">
        <f>GA99-GA84</f>
        <v>0.63115792976824592</v>
      </c>
      <c r="GB101" s="285"/>
      <c r="GC101" s="455">
        <f>GC99-GC84</f>
        <v>0.63115792976824592</v>
      </c>
      <c r="GD101" s="285"/>
      <c r="GE101" s="455">
        <f>GE99-GE84</f>
        <v>0.53115792976824538</v>
      </c>
      <c r="GF101" s="285"/>
      <c r="GG101" s="455">
        <f>GG99-GG84</f>
        <v>0.83924605904725502</v>
      </c>
      <c r="GH101" s="285"/>
      <c r="GI101" s="455">
        <f>GI99-GI84</f>
        <v>1.1623852709790208</v>
      </c>
      <c r="GJ101" s="285"/>
      <c r="GK101" s="455">
        <f>GK99-GK84</f>
        <v>1.3571030890804596</v>
      </c>
      <c r="GL101" s="285"/>
      <c r="GM101" s="455">
        <f>GM99-GM84</f>
        <v>2.3916527943413928</v>
      </c>
      <c r="GN101" s="285"/>
      <c r="GO101" s="455">
        <f>GO99-GO84</f>
        <v>2.2537046370967748</v>
      </c>
      <c r="GP101" s="285"/>
      <c r="GQ101" s="455">
        <f>GQ99-GQ84</f>
        <v>2.4772650369908487</v>
      </c>
      <c r="GR101" s="285"/>
      <c r="GS101" s="455">
        <f>GS99-GS84</f>
        <v>2.3303153771853298</v>
      </c>
      <c r="GT101" s="285"/>
      <c r="GU101" s="455">
        <f>GU99-GU84</f>
        <v>2.3890090718534025</v>
      </c>
      <c r="GV101" s="285"/>
      <c r="GW101" s="455">
        <f>GW99-GW84</f>
        <v>1.5456717789952357</v>
      </c>
      <c r="GX101" s="285"/>
      <c r="GY101" s="455">
        <f>GY99-GY84</f>
        <v>1.7157237787356328</v>
      </c>
      <c r="GZ101" s="285"/>
      <c r="HA101" s="455">
        <f>HA99-HA84</f>
        <v>2.0657237787356326</v>
      </c>
      <c r="HB101" s="285"/>
      <c r="HC101" s="455">
        <f>HC99-HC84</f>
        <v>2.0794370692528688</v>
      </c>
      <c r="HD101" s="285"/>
      <c r="HE101" s="455">
        <f>HE99-HE84</f>
        <v>2.785210102304811</v>
      </c>
      <c r="HF101" s="285"/>
      <c r="HG101" s="455">
        <f>HG99-HG84</f>
        <v>2.7273110062261972</v>
      </c>
      <c r="HH101" s="285"/>
      <c r="HI101" s="455">
        <f>HI99-HI84</f>
        <v>2.7996841370585632</v>
      </c>
      <c r="HJ101" s="285"/>
      <c r="HK101" s="455">
        <f>HK99-HK84</f>
        <v>2.837989923901628</v>
      </c>
      <c r="HL101" s="285"/>
      <c r="HM101" s="455">
        <f>HM99-HM84</f>
        <v>3.0369048467140805</v>
      </c>
      <c r="HN101" s="285"/>
      <c r="HO101" s="455">
        <f>HO99-HO84</f>
        <v>3.0097631155709257</v>
      </c>
      <c r="HP101" s="285"/>
      <c r="HQ101" s="455">
        <f>HQ99-HQ84</f>
        <v>2.973751942349689</v>
      </c>
      <c r="HR101" s="285"/>
      <c r="HS101" s="455">
        <f>HS99-HS84</f>
        <v>2.7042254728574044</v>
      </c>
      <c r="HT101" s="285"/>
      <c r="HU101" s="455">
        <f>HU99-HU84</f>
        <v>2.7867040763539461</v>
      </c>
      <c r="HV101" s="285"/>
      <c r="HW101" s="455">
        <f>HW99-HW84</f>
        <v>2.6049097384132933</v>
      </c>
      <c r="HX101" s="285"/>
      <c r="HY101" s="455">
        <f>HY99-HY84</f>
        <v>1.9457964128099823</v>
      </c>
      <c r="HZ101" s="285"/>
      <c r="IA101" s="455">
        <f>IA99-IA84</f>
        <v>1.815735534455976</v>
      </c>
      <c r="IB101" s="285"/>
      <c r="IC101" s="455">
        <f>IC99-IC84</f>
        <v>2.8095980619816783</v>
      </c>
      <c r="ID101" s="285"/>
      <c r="IE101" s="455">
        <f>IE99-IE84</f>
        <v>2.9025395986857072</v>
      </c>
      <c r="IF101" s="285"/>
      <c r="IG101" s="455">
        <f>IG99-IG84</f>
        <v>2.8704872119941518</v>
      </c>
      <c r="IH101" s="285"/>
      <c r="II101" s="455">
        <f>II99-II84</f>
        <v>2.7140583305655706</v>
      </c>
      <c r="IJ101" s="285"/>
      <c r="IK101" s="455">
        <f>IK99-IK84</f>
        <v>2.5508091187643811</v>
      </c>
      <c r="IL101" s="285"/>
      <c r="IM101" s="455">
        <f>IM99-IM84</f>
        <v>2.6420456228934723</v>
      </c>
      <c r="IN101" s="285"/>
      <c r="IO101" s="455">
        <f>IO99-IO84</f>
        <v>2.7298020844320705</v>
      </c>
      <c r="IP101" s="285"/>
      <c r="IQ101" s="455">
        <f>IQ99-IQ84</f>
        <v>2.8048613504950239</v>
      </c>
      <c r="IR101" s="285"/>
      <c r="IS101" s="455">
        <f>IS99-IS84</f>
        <v>2.7406408780410692</v>
      </c>
      <c r="IT101" s="285"/>
      <c r="IU101" s="455">
        <f>IU99-IU84</f>
        <v>2.6101298305173852</v>
      </c>
      <c r="IV101" s="285"/>
      <c r="IW101" s="455">
        <f>IW99-IW84</f>
        <v>2.8552873336744415</v>
      </c>
      <c r="IX101" s="285"/>
      <c r="IY101" s="455">
        <f>IY99-IY84</f>
        <v>2.8333654835390951</v>
      </c>
      <c r="IZ101" s="454"/>
      <c r="JA101" s="285"/>
      <c r="JB101" s="455">
        <f>JB99-JB84</f>
        <v>2.3912272135416668</v>
      </c>
      <c r="JC101" s="285"/>
      <c r="JD101" s="455">
        <f>JD99-JD84</f>
        <v>2.3176424050632911</v>
      </c>
      <c r="JE101" s="177"/>
      <c r="JF101" s="285"/>
      <c r="JG101" s="455">
        <f>JG99-JG84</f>
        <v>1.773561838182685</v>
      </c>
      <c r="JH101" s="285"/>
      <c r="JI101" s="455">
        <f>JI99-JI84</f>
        <v>1.493676569137655</v>
      </c>
      <c r="JJ101" s="285"/>
      <c r="JK101" s="455">
        <f>JK99-JK84</f>
        <v>1.2833601022012946</v>
      </c>
      <c r="JL101" s="285"/>
      <c r="JM101" s="455">
        <f>JM99-JM84</f>
        <v>0.89956861644873065</v>
      </c>
      <c r="JN101" s="285"/>
      <c r="JO101" s="455">
        <f>JO99-JO84</f>
        <v>1.1995686164487305</v>
      </c>
      <c r="JP101" s="285"/>
      <c r="JQ101" s="455">
        <f>JQ99-JQ84</f>
        <v>1.3414214499667383</v>
      </c>
      <c r="JR101" s="285"/>
      <c r="JS101" s="455">
        <f>JS99-JS84</f>
        <v>0.82819680319680267</v>
      </c>
      <c r="JT101" s="285"/>
      <c r="JU101" s="455">
        <f>JU99-JU84</f>
        <v>1.0879228243021348</v>
      </c>
      <c r="JV101" s="285"/>
      <c r="JW101" s="455">
        <f>JW99-JW84</f>
        <v>1.7339510068590005</v>
      </c>
      <c r="JX101" s="285"/>
      <c r="JY101" s="455">
        <f>JY99-JY84</f>
        <v>1.3791411813992456</v>
      </c>
      <c r="JZ101" s="285"/>
      <c r="KA101" s="455">
        <f>KA99-KA84</f>
        <v>1.6890909587883782</v>
      </c>
      <c r="KB101" s="285"/>
      <c r="KC101" s="455">
        <f>KC99-KC84</f>
        <v>1.6119800304307907</v>
      </c>
      <c r="KD101" s="285"/>
      <c r="KE101" s="455">
        <f>KE99-KE84</f>
        <v>1.6521731347781485</v>
      </c>
      <c r="KF101" s="285"/>
      <c r="KG101" s="455">
        <f>KG99-KG84</f>
        <v>1.1762078729169507</v>
      </c>
      <c r="KH101" s="285"/>
      <c r="KI101" s="455">
        <f>KI99-KI84</f>
        <v>1.2194581280788175</v>
      </c>
      <c r="KJ101" s="285"/>
      <c r="KK101" s="455">
        <f>KK99-KK84</f>
        <v>1.5194581280788173</v>
      </c>
      <c r="KL101" s="285"/>
      <c r="KM101" s="455">
        <f>KM99-KM84</f>
        <v>1.5876703633550082</v>
      </c>
      <c r="KN101" s="285"/>
      <c r="KO101" s="455">
        <f>KO99-KO84</f>
        <v>1.8304962290701108</v>
      </c>
      <c r="KP101" s="285"/>
      <c r="KQ101" s="455">
        <f>KQ99-KQ84</f>
        <v>1.6482287902046662</v>
      </c>
      <c r="KR101" s="285"/>
      <c r="KS101" s="455">
        <f>KS99-KS84</f>
        <v>1.886555321129431</v>
      </c>
      <c r="KT101" s="285"/>
      <c r="KU101" s="455">
        <f>KU99-KU84</f>
        <v>1.9120253781218557</v>
      </c>
      <c r="KV101" s="285"/>
      <c r="KW101" s="455">
        <f>KW99-KW84</f>
        <v>2.0736845837782498</v>
      </c>
      <c r="KX101" s="285"/>
      <c r="KY101" s="455">
        <f>KY99-KY84</f>
        <v>2.2122406564565451</v>
      </c>
      <c r="KZ101" s="285"/>
      <c r="LA101" s="455">
        <f>LA99-LA84</f>
        <v>2.3367211923573326</v>
      </c>
      <c r="LB101" s="285"/>
      <c r="LC101" s="455">
        <f>LC99-LC84</f>
        <v>1.9050420565310324</v>
      </c>
      <c r="LD101" s="285"/>
      <c r="LE101" s="455">
        <f>LE99-LE84</f>
        <v>1.859717734863324</v>
      </c>
      <c r="LF101" s="285"/>
      <c r="LG101" s="455">
        <f>LG99-LG84</f>
        <v>1.3974934446247076</v>
      </c>
      <c r="LH101" s="285"/>
      <c r="LI101" s="455">
        <f>LI99-LI84</f>
        <v>2.0096151754686349</v>
      </c>
      <c r="LJ101" s="285"/>
      <c r="LK101" s="455">
        <f>LK99-LK84</f>
        <v>1.7100633952012394</v>
      </c>
      <c r="LL101" s="285"/>
      <c r="LM101" s="455">
        <f>LM99-LM84</f>
        <v>2.028246267778778</v>
      </c>
      <c r="LN101" s="285"/>
      <c r="LO101" s="455">
        <f>LO99-LO84</f>
        <v>2.1188084107295033</v>
      </c>
      <c r="LP101" s="285"/>
      <c r="LQ101" s="455">
        <f>LQ99-LQ84</f>
        <v>1.9861640717812372</v>
      </c>
      <c r="LR101" s="285"/>
      <c r="LS101" s="455">
        <f>LS99-LS84</f>
        <v>1.7711212081347658</v>
      </c>
      <c r="LT101" s="285"/>
      <c r="LU101" s="455">
        <f>LU99-LU84</f>
        <v>1.6288921023859793</v>
      </c>
      <c r="LV101" s="285"/>
      <c r="LW101" s="455">
        <f>LW99-LW84</f>
        <v>1.7061438267614857</v>
      </c>
      <c r="LX101" s="285"/>
      <c r="LY101" s="455">
        <f>LY99-LY84</f>
        <v>1.7826359864593315</v>
      </c>
      <c r="LZ101" s="285"/>
      <c r="MA101" s="455">
        <f>MA99-MA84</f>
        <v>1.8480607456830753</v>
      </c>
      <c r="MB101" s="285"/>
      <c r="MC101" s="455">
        <f>MC99-MC84</f>
        <v>1.8227860888479501</v>
      </c>
      <c r="MD101" s="285"/>
      <c r="ME101" s="455">
        <f>ME99-ME84</f>
        <v>2.3539353232352282</v>
      </c>
      <c r="MF101" s="285"/>
      <c r="MG101" s="455">
        <f>MG99-MG84</f>
        <v>1.9243746993746991</v>
      </c>
      <c r="MH101" s="177"/>
      <c r="MI101" s="285"/>
      <c r="MJ101" s="455">
        <f>MJ99-MJ84</f>
        <v>1.8322473250590257</v>
      </c>
      <c r="MK101" s="285"/>
      <c r="ML101" s="455">
        <f>ML99-ML84</f>
        <v>1.6641344989243265</v>
      </c>
      <c r="MM101" s="285"/>
      <c r="MN101" s="455">
        <f>MN99-MN84</f>
        <v>1.426158507325074</v>
      </c>
      <c r="MO101" s="285"/>
      <c r="MP101" s="455">
        <f>MP99-MP84+MP125</f>
        <v>0.82968083090007627</v>
      </c>
      <c r="MQ101" s="285"/>
      <c r="MR101" s="455">
        <f>MR99-MR84+MR125</f>
        <v>1.3942894842787821</v>
      </c>
      <c r="MS101" s="285"/>
      <c r="MT101" s="455">
        <f>MT99-MT84</f>
        <v>1.3234025810584591</v>
      </c>
      <c r="MU101" s="285"/>
      <c r="MV101" s="455">
        <f>MV99-MV84</f>
        <v>1.147053554126962</v>
      </c>
      <c r="MW101" s="285"/>
      <c r="MX101" s="455">
        <f>MX99-MX84</f>
        <v>1.6899557440531066</v>
      </c>
      <c r="MY101" s="285"/>
      <c r="MZ101" s="455">
        <f>MZ99-MZ84</f>
        <v>2.3695902628270034</v>
      </c>
      <c r="NA101" s="285"/>
      <c r="NB101" s="455">
        <f>NB99-NB84</f>
        <v>2.1265690717769381</v>
      </c>
      <c r="NC101" s="285"/>
      <c r="ND101" s="455">
        <f>ND99-ND84</f>
        <v>2.3418775758723527</v>
      </c>
      <c r="NE101" s="285"/>
      <c r="NF101" s="455">
        <f>NF99-NF84</f>
        <v>2.3696766402910319</v>
      </c>
      <c r="NG101" s="285"/>
      <c r="NH101" s="455">
        <f>NH99-NH84</f>
        <v>2.3656665430412294</v>
      </c>
      <c r="NI101" s="285"/>
      <c r="NJ101" s="455">
        <f>NJ99-NJ84</f>
        <v>2.0056882948539831</v>
      </c>
      <c r="NK101" s="285"/>
      <c r="NL101" s="455">
        <f>NL99-NL84</f>
        <v>1.9161626406048313</v>
      </c>
      <c r="NM101" s="285"/>
      <c r="NN101" s="455">
        <f>NN99-NN84</f>
        <v>2.2161626406048311</v>
      </c>
      <c r="NO101" s="285"/>
      <c r="NP101" s="455">
        <f>NP99-NP84</f>
        <v>2.3846700345031238</v>
      </c>
      <c r="NQ101" s="285"/>
      <c r="NR101" s="455">
        <f>NR99-NR84</f>
        <v>2.6304370263788122</v>
      </c>
      <c r="NS101" s="285"/>
      <c r="NT101" s="455">
        <f>NT99-NT84</f>
        <v>2.697323911667318</v>
      </c>
      <c r="NU101" s="285"/>
      <c r="NV101" s="455">
        <f>NV99-NV84</f>
        <v>2.1353765324055778</v>
      </c>
      <c r="NW101" s="285"/>
      <c r="NX101" s="455">
        <f>NX99-NX84</f>
        <v>2.673842469390153</v>
      </c>
      <c r="NY101" s="285"/>
      <c r="NZ101" s="455">
        <f>NZ99-NZ84</f>
        <v>2.4764594551796661</v>
      </c>
      <c r="OA101" s="285"/>
      <c r="OB101" s="455">
        <f>OB99-OB84</f>
        <v>2.8901506015546037</v>
      </c>
      <c r="OC101" s="285"/>
      <c r="OD101" s="455">
        <f>OD99-OD84</f>
        <v>2.932362922018676</v>
      </c>
      <c r="OE101" s="285"/>
      <c r="OF101" s="455">
        <f>OF99-OF84</f>
        <v>2.5921469498750866</v>
      </c>
      <c r="OG101" s="285"/>
      <c r="OH101" s="455">
        <f>OH99-OH84</f>
        <v>2.503339056245161</v>
      </c>
      <c r="OI101" s="285"/>
      <c r="OJ101" s="455">
        <f>OJ99-OJ84</f>
        <v>2.3200098303941989</v>
      </c>
      <c r="OK101" s="285"/>
      <c r="OL101" s="455">
        <f>OL99-OL84</f>
        <v>2.5296683531718718</v>
      </c>
      <c r="OM101" s="285"/>
      <c r="ON101" s="455">
        <f>ON99-ON84</f>
        <v>2.305688294853983</v>
      </c>
      <c r="OO101" s="285"/>
      <c r="OP101" s="455">
        <f>OP99-OP84</f>
        <v>2.4513534345650023</v>
      </c>
      <c r="OQ101" s="285"/>
      <c r="OR101" s="455">
        <f>OR99-OR84</f>
        <v>2.4749136307691848</v>
      </c>
      <c r="OS101" s="285"/>
      <c r="OT101" s="455">
        <f>OT99-OT84</f>
        <v>2.3988528451605253</v>
      </c>
      <c r="OU101" s="285"/>
      <c r="OV101" s="455">
        <f>OV99-OV84</f>
        <v>1.8234323993423935</v>
      </c>
      <c r="OW101" s="285"/>
      <c r="OX101" s="455">
        <f>OX99-OX84</f>
        <v>1.682671971654023</v>
      </c>
      <c r="OY101" s="285"/>
      <c r="OZ101" s="455">
        <f>OZ99-OZ84</f>
        <v>1.7591259836898332</v>
      </c>
      <c r="PA101" s="285"/>
      <c r="PB101" s="455">
        <f>PB99-PB84</f>
        <v>1.8348282744213333</v>
      </c>
      <c r="PC101" s="285"/>
      <c r="PD101" s="455">
        <f>PD99-PD84</f>
        <v>1.8995774482367733</v>
      </c>
      <c r="PE101" s="285"/>
      <c r="PF101" s="455">
        <f>PF99-PF84</f>
        <v>2.1680082020499074</v>
      </c>
      <c r="PG101" s="285"/>
      <c r="PH101" s="455">
        <f>PH99-PH84</f>
        <v>2.758903322631733</v>
      </c>
      <c r="PI101" s="285"/>
      <c r="PJ101" s="455">
        <f>PJ99-PJ84</f>
        <v>2.6970195377442905</v>
      </c>
      <c r="PK101" s="285"/>
      <c r="PL101" s="455">
        <f>PL99-PL84</f>
        <v>2.6318803891717621</v>
      </c>
      <c r="PM101" s="285"/>
      <c r="PN101" s="455">
        <f>PN99-PN84</f>
        <v>2.7951879159989672</v>
      </c>
      <c r="PO101" s="285"/>
      <c r="PP101" s="455">
        <f>PP99-PP84</f>
        <v>2.7951879159989672</v>
      </c>
      <c r="PR101" s="285"/>
      <c r="PS101" s="455">
        <f>PS99-PS84</f>
        <v>4.2346472203919747</v>
      </c>
      <c r="PT101" s="285"/>
      <c r="PU101" s="455">
        <f>PU99-PU84</f>
        <v>4.5281715623669649</v>
      </c>
      <c r="PV101" s="285"/>
      <c r="PW101" s="455">
        <f>PW99-PW84</f>
        <v>4.2346472203919747</v>
      </c>
      <c r="PX101" s="285"/>
      <c r="PY101" s="455">
        <f>PY99-PY84</f>
        <v>4.5281715623669649</v>
      </c>
      <c r="PZ101" s="285"/>
      <c r="QA101" s="455">
        <f>QA99-QA84</f>
        <v>4.191707465819289</v>
      </c>
      <c r="QB101" s="285"/>
      <c r="QC101" s="455">
        <f>QC99-QC84</f>
        <v>4.4889008620689657</v>
      </c>
      <c r="QF101" s="285"/>
      <c r="QG101" s="455">
        <f>QG99-QG84</f>
        <v>3.6318752660706686</v>
      </c>
      <c r="QH101" s="285"/>
      <c r="QI101" s="455">
        <f>QI99-QI84</f>
        <v>3.9034802043422734</v>
      </c>
      <c r="QJ101" s="285"/>
      <c r="QK101" s="455">
        <f>QK99-QK84</f>
        <v>3.6318752660706686</v>
      </c>
      <c r="QL101" s="285"/>
      <c r="QM101" s="455">
        <f>QM99-QM84</f>
        <v>3.9034802043422734</v>
      </c>
      <c r="QN101" s="285"/>
      <c r="QO101" s="455">
        <f>QO99-QO84</f>
        <v>2.8318752660706688</v>
      </c>
      <c r="QP101" s="285"/>
      <c r="QQ101" s="455">
        <f>QQ99-QQ84</f>
        <v>3.1034802043422736</v>
      </c>
    </row>
    <row r="102" spans="1:459" x14ac:dyDescent="0.45">
      <c r="A102" s="871"/>
      <c r="B102" s="457" t="s">
        <v>402</v>
      </c>
      <c r="C102" s="458"/>
      <c r="D102" s="459"/>
      <c r="E102" s="460"/>
      <c r="F102" s="461"/>
      <c r="G102" s="462">
        <f>G101/G69</f>
        <v>7.3721405729855041E-2</v>
      </c>
      <c r="H102" s="461"/>
      <c r="I102" s="462">
        <f>I101/I69</f>
        <v>0.28423926806397892</v>
      </c>
      <c r="J102" s="461"/>
      <c r="K102" s="462">
        <f>K101/K69</f>
        <v>0.31918286110578165</v>
      </c>
      <c r="L102" s="461"/>
      <c r="M102" s="462">
        <f>M101/M69</f>
        <v>0.31918286110578165</v>
      </c>
      <c r="N102" s="461"/>
      <c r="O102" s="462">
        <f>O101/O69</f>
        <v>0.30194553153615605</v>
      </c>
      <c r="P102" s="461"/>
      <c r="Q102" s="462">
        <f>Q101/Q69</f>
        <v>0.28606861796028399</v>
      </c>
      <c r="R102" s="461"/>
      <c r="S102" s="462">
        <f>S101/S69</f>
        <v>0.22659985696136101</v>
      </c>
      <c r="T102" s="461"/>
      <c r="U102" s="462">
        <f>U101/U69</f>
        <v>0.23814314267835568</v>
      </c>
      <c r="V102" s="461"/>
      <c r="W102" s="462">
        <f>W101/W69</f>
        <v>0.23814314267835568</v>
      </c>
      <c r="X102" s="461"/>
      <c r="Y102" s="462">
        <f>Y101/Y69</f>
        <v>0.22659985696136101</v>
      </c>
      <c r="Z102" s="461"/>
      <c r="AA102" s="462">
        <f>AA101/AA69</f>
        <v>0.26620786983771488</v>
      </c>
      <c r="AB102" s="461"/>
      <c r="AC102" s="462">
        <f>AC101/AC69</f>
        <v>0.21488846801346806</v>
      </c>
      <c r="AD102" s="461"/>
      <c r="AE102" s="462">
        <f>AE101/AE69</f>
        <v>0.19753479864677581</v>
      </c>
      <c r="AF102" s="461"/>
      <c r="AG102" s="462">
        <f>AG101/AG69</f>
        <v>0.33512100290361391</v>
      </c>
      <c r="AH102" s="461"/>
      <c r="AI102" s="462">
        <f>AI101/AI69</f>
        <v>0.31368036490505607</v>
      </c>
      <c r="AJ102" s="461"/>
      <c r="AK102" s="462">
        <f>AK101/AK69</f>
        <v>0.34421376812037724</v>
      </c>
      <c r="AL102" s="461"/>
      <c r="AM102" s="462">
        <f>AM101/AM69</f>
        <v>0.32599943971827428</v>
      </c>
      <c r="AN102" s="461"/>
      <c r="AO102" s="462">
        <f>AO101/AO69</f>
        <v>0.31010757750364532</v>
      </c>
      <c r="AP102" s="461"/>
      <c r="AQ102" s="462">
        <f>AQ101/AQ69</f>
        <v>0.28718989494559938</v>
      </c>
      <c r="AR102" s="461"/>
      <c r="AS102" s="462">
        <f>AS101/AS69</f>
        <v>0.25975049930708394</v>
      </c>
      <c r="AT102" s="461"/>
      <c r="AU102" s="462">
        <f>AU101/AU69</f>
        <v>0.28996476464148868</v>
      </c>
      <c r="AV102" s="461"/>
      <c r="AW102" s="462">
        <f>AW101/AW69</f>
        <v>0.32366929314644421</v>
      </c>
      <c r="AX102" s="461"/>
      <c r="AY102" s="462">
        <f>AY101/AY69</f>
        <v>0.35795118507337959</v>
      </c>
      <c r="AZ102" s="461"/>
      <c r="BA102" s="462">
        <f>BA101/BA69</f>
        <v>0.36844116810202127</v>
      </c>
      <c r="BB102" s="461"/>
      <c r="BC102" s="462">
        <f>BC101/BC69</f>
        <v>0.36875662146615312</v>
      </c>
      <c r="BD102" s="461"/>
      <c r="BE102" s="462">
        <f>BE101/BE69</f>
        <v>0.3706437432865442</v>
      </c>
      <c r="BF102" s="461"/>
      <c r="BG102" s="462">
        <f>BG101/BG69</f>
        <v>0.40123886529563679</v>
      </c>
      <c r="BH102" s="461"/>
      <c r="BI102" s="462">
        <f>BI101/BI69</f>
        <v>0.4283308061986954</v>
      </c>
      <c r="BJ102" s="461"/>
      <c r="BK102" s="462">
        <f>BK101/BK69</f>
        <v>0.43245874481140445</v>
      </c>
      <c r="BL102" s="461"/>
      <c r="BM102" s="462">
        <f>BM101/BM69</f>
        <v>0.36972430513720878</v>
      </c>
      <c r="BN102" s="461"/>
      <c r="BO102" s="462">
        <f>BO101/BO69</f>
        <v>0.356247853440392</v>
      </c>
      <c r="BP102" s="461"/>
      <c r="BQ102" s="462">
        <f>BQ101/BQ69</f>
        <v>0.33761667303312082</v>
      </c>
      <c r="BR102" s="461"/>
      <c r="BS102" s="462">
        <f>BS101/BS69</f>
        <v>0.38586030570647034</v>
      </c>
      <c r="BT102" s="461"/>
      <c r="BU102" s="462">
        <f>BU101/BU69</f>
        <v>0.35962137788716747</v>
      </c>
      <c r="BV102" s="461"/>
      <c r="BW102" s="462">
        <f>BW101/BW69</f>
        <v>0.35645101793020606</v>
      </c>
      <c r="BX102" s="461"/>
      <c r="BY102" s="462">
        <f>BY101/BY69</f>
        <v>0.3909433995910731</v>
      </c>
      <c r="BZ102" s="461"/>
      <c r="CA102" s="462">
        <f>CA101/CA69</f>
        <v>0.37290045271085959</v>
      </c>
      <c r="CB102" s="461"/>
      <c r="CC102" s="462">
        <f>CC101/CC69</f>
        <v>0.40501261286602436</v>
      </c>
      <c r="CD102" s="461"/>
      <c r="CE102" s="462">
        <f>CE101/CE69</f>
        <v>0.3875057719934118</v>
      </c>
      <c r="CF102" s="461"/>
      <c r="CG102" s="462">
        <f>CG101/CG69</f>
        <v>0.33273449169174008</v>
      </c>
      <c r="CH102" s="461"/>
      <c r="CI102" s="462">
        <f>CI101/CI69</f>
        <v>0.34316396968474477</v>
      </c>
      <c r="CJ102" s="461"/>
      <c r="CK102" s="462">
        <f>CK101/CK69</f>
        <v>0.35208444060904642</v>
      </c>
      <c r="CL102" s="461"/>
      <c r="CM102" s="462">
        <f>CM101/CM69</f>
        <v>0.365064920613898</v>
      </c>
      <c r="CN102" s="461"/>
      <c r="CO102" s="462">
        <f>CO101/CO69</f>
        <v>0.36639520545362209</v>
      </c>
      <c r="CP102" s="461"/>
      <c r="CQ102" s="462">
        <f>CQ101/CQ69</f>
        <v>0.36382397609249462</v>
      </c>
      <c r="CR102" s="461"/>
      <c r="CS102" s="462">
        <f>CS101/CS69</f>
        <v>0.36382397609249462</v>
      </c>
      <c r="CT102" s="464"/>
      <c r="CU102" s="461"/>
      <c r="CV102" s="462">
        <f>CV101/CV69</f>
        <v>0.30481283265227238</v>
      </c>
      <c r="CW102" s="461"/>
      <c r="CX102" s="462">
        <f>CX101/CX69</f>
        <v>0.2642379537659334</v>
      </c>
      <c r="CY102" s="461"/>
      <c r="CZ102" s="462">
        <f>CZ101/CZ69</f>
        <v>0.26799184175692359</v>
      </c>
      <c r="DA102" s="461"/>
      <c r="DB102" s="462">
        <f>DB101/DB69</f>
        <v>0.17632751771539257</v>
      </c>
      <c r="DC102" s="461"/>
      <c r="DD102" s="462">
        <f>DD101/DD69</f>
        <v>0.19864638976151763</v>
      </c>
      <c r="DE102" s="461"/>
      <c r="DF102" s="462">
        <f>DF101/DF69</f>
        <v>0.33673349519052936</v>
      </c>
      <c r="DG102" s="461"/>
      <c r="DH102" s="462">
        <f>DH101/DH69</f>
        <v>0.29083475057720637</v>
      </c>
      <c r="DI102" s="461"/>
      <c r="DJ102" s="462">
        <f>DJ101/DJ69</f>
        <v>0.35579553360006394</v>
      </c>
      <c r="DK102" s="461"/>
      <c r="DL102" s="462">
        <f>DL101/DL69</f>
        <v>0.32037028528646166</v>
      </c>
      <c r="DM102" s="461"/>
      <c r="DN102" s="462">
        <f>DN101/DN69</f>
        <v>0.32501184060267346</v>
      </c>
      <c r="DO102" s="461"/>
      <c r="DP102" s="462">
        <f>DP101/DP69</f>
        <v>0.33086342786159334</v>
      </c>
      <c r="DQ102" s="461"/>
      <c r="DR102" s="462">
        <f>DR101/DR69</f>
        <v>0.26628564705594743</v>
      </c>
      <c r="DS102" s="461"/>
      <c r="DT102" s="462">
        <f>DT101/DT69</f>
        <v>0.30313887939560297</v>
      </c>
      <c r="DU102" s="461"/>
      <c r="DV102" s="462">
        <f>DV101/DV69</f>
        <v>0.33936956472181373</v>
      </c>
      <c r="DW102" s="461"/>
      <c r="DX102" s="462">
        <f>DX101/DX69</f>
        <v>0.34432846485617624</v>
      </c>
      <c r="DY102" s="461"/>
      <c r="DZ102" s="462">
        <f>DZ101/DZ69</f>
        <v>0.36980182693049768</v>
      </c>
      <c r="EA102" s="461"/>
      <c r="EB102" s="462">
        <f>EB101/EB69</f>
        <v>0.35257657865230363</v>
      </c>
      <c r="EC102" s="461"/>
      <c r="ED102" s="462">
        <f>ED101/ED69</f>
        <v>0.37869412667804359</v>
      </c>
      <c r="EE102" s="461"/>
      <c r="EF102" s="462">
        <f>EF101/EF69</f>
        <v>0.39356091090034256</v>
      </c>
      <c r="EG102" s="461"/>
      <c r="EH102" s="462">
        <f>EH101/EH69</f>
        <v>0.38779186375348101</v>
      </c>
      <c r="EI102" s="461"/>
      <c r="EJ102" s="462">
        <f>EJ101/EJ69</f>
        <v>0.38359424347361115</v>
      </c>
      <c r="EK102" s="461"/>
      <c r="EL102" s="462">
        <f>EL101/EL69</f>
        <v>0.36823093826302905</v>
      </c>
      <c r="EM102" s="461"/>
      <c r="EN102" s="462">
        <f>EN101/EN69</f>
        <v>0.40266159561288861</v>
      </c>
      <c r="EO102" s="461"/>
      <c r="EP102" s="462">
        <f>EP101/EP69</f>
        <v>0.33924128014962601</v>
      </c>
      <c r="EQ102" s="461"/>
      <c r="ER102" s="462">
        <f>ER101/ER69</f>
        <v>0.40156829831739671</v>
      </c>
      <c r="ES102" s="461"/>
      <c r="ET102" s="462">
        <f>ET101/ET69</f>
        <v>0.37895093530803714</v>
      </c>
      <c r="EU102" s="461"/>
      <c r="EV102" s="462">
        <f>EV101/EV69</f>
        <v>0.38758922041056948</v>
      </c>
      <c r="EW102" s="461"/>
      <c r="EX102" s="462">
        <f>EX101/EX69</f>
        <v>0.39567862310604346</v>
      </c>
      <c r="EY102" s="461"/>
      <c r="EZ102" s="462">
        <f>EZ101/EZ69</f>
        <v>0.37925437559284214</v>
      </c>
      <c r="FA102" s="461"/>
      <c r="FB102" s="462">
        <f>FB101/FB69</f>
        <v>0.33938335335891401</v>
      </c>
      <c r="FC102" s="461"/>
      <c r="FD102" s="462">
        <f>FD101/FD69</f>
        <v>0.35924785421324501</v>
      </c>
      <c r="FE102" s="461"/>
      <c r="FF102" s="462">
        <f>FF101/FF69</f>
        <v>0.42336027109107788</v>
      </c>
      <c r="FG102" s="461"/>
      <c r="FH102" s="462">
        <f>FH101/FH69</f>
        <v>0.39704058130703135</v>
      </c>
      <c r="FI102" s="461"/>
      <c r="FJ102" s="462">
        <f>FJ101/FJ69</f>
        <v>0.38438742156145972</v>
      </c>
      <c r="FK102" s="461"/>
      <c r="FL102" s="462">
        <f>FL101/FL69</f>
        <v>0.38241533685643336</v>
      </c>
      <c r="FM102" s="461"/>
      <c r="FN102" s="462">
        <f>FN101/FN69</f>
        <v>0.37808497936592156</v>
      </c>
      <c r="FO102" s="461"/>
      <c r="FP102" s="462">
        <f>FP101/FP69</f>
        <v>0.37808497936592156</v>
      </c>
      <c r="FQ102" s="465"/>
      <c r="FR102" s="461"/>
      <c r="FS102" s="462">
        <f>FS101/FS69</f>
        <v>0.23101170701531415</v>
      </c>
      <c r="FT102" s="461"/>
      <c r="FU102" s="462">
        <f>FU101/FU69</f>
        <v>0.18702774144010972</v>
      </c>
      <c r="FV102" s="461"/>
      <c r="FW102" s="462">
        <f>FW101/FW69</f>
        <v>0.14821825687155651</v>
      </c>
      <c r="FX102" s="461"/>
      <c r="FY102" s="462">
        <f>FY101/FY69</f>
        <v>8.0478474207309914E-2</v>
      </c>
      <c r="FZ102" s="461"/>
      <c r="GA102" s="462">
        <f>GA101/GA69</f>
        <v>9.4202676084812823E-2</v>
      </c>
      <c r="GB102" s="461"/>
      <c r="GC102" s="462">
        <f>GC101/GC69</f>
        <v>9.4202676084812823E-2</v>
      </c>
      <c r="GD102" s="461"/>
      <c r="GE102" s="462">
        <f>GE101/GE69</f>
        <v>8.0478474207309914E-2</v>
      </c>
      <c r="GF102" s="461"/>
      <c r="GG102" s="462">
        <f>GG101/GG69</f>
        <v>0.12433274948848222</v>
      </c>
      <c r="GH102" s="461"/>
      <c r="GI102" s="462">
        <f>GI101/GI69</f>
        <v>0.17220522533022531</v>
      </c>
      <c r="GJ102" s="461"/>
      <c r="GK102" s="462">
        <f>GK101/GK69</f>
        <v>0.17178520114942525</v>
      </c>
      <c r="GL102" s="461"/>
      <c r="GM102" s="462">
        <f>GM101/GM69</f>
        <v>0.30274086004321427</v>
      </c>
      <c r="GN102" s="461"/>
      <c r="GO102" s="462">
        <f>GO101/GO69</f>
        <v>0.28527906798693353</v>
      </c>
      <c r="GP102" s="461"/>
      <c r="GQ102" s="462">
        <f>GQ101/GQ69</f>
        <v>0.31357785278365169</v>
      </c>
      <c r="GR102" s="461"/>
      <c r="GS102" s="462">
        <f>GS101/GS69</f>
        <v>0.29497663002345947</v>
      </c>
      <c r="GT102" s="461"/>
      <c r="GU102" s="462">
        <f>GU101/GU69</f>
        <v>0.30240621162701298</v>
      </c>
      <c r="GV102" s="461"/>
      <c r="GW102" s="462">
        <f>GW101/GW69</f>
        <v>0.19565465556901718</v>
      </c>
      <c r="GX102" s="461"/>
      <c r="GY102" s="462">
        <f>GY101/GY69</f>
        <v>0.2171802251564092</v>
      </c>
      <c r="GZ102" s="461"/>
      <c r="HA102" s="462">
        <f>HA101/HA69</f>
        <v>0.25039076105886454</v>
      </c>
      <c r="HB102" s="461"/>
      <c r="HC102" s="462">
        <f>HC101/HC69</f>
        <v>0.25205297809125682</v>
      </c>
      <c r="HD102" s="461"/>
      <c r="HE102" s="462">
        <f>HE101/HE69</f>
        <v>0.33760122452179525</v>
      </c>
      <c r="HF102" s="461"/>
      <c r="HG102" s="462">
        <f>HG101/HG69</f>
        <v>0.33058315226984208</v>
      </c>
      <c r="HH102" s="461"/>
      <c r="HI102" s="462">
        <f>HI101/HI69</f>
        <v>0.33935565297679554</v>
      </c>
      <c r="HJ102" s="461"/>
      <c r="HK102" s="462">
        <f>HK101/HK69</f>
        <v>0.34399877865474277</v>
      </c>
      <c r="HL102" s="461"/>
      <c r="HM102" s="462">
        <f>HM101/HM69</f>
        <v>0.36810967838958553</v>
      </c>
      <c r="HN102" s="461"/>
      <c r="HO102" s="462">
        <f>HO101/HO69</f>
        <v>0.36481977158435464</v>
      </c>
      <c r="HP102" s="461"/>
      <c r="HQ102" s="462">
        <f>HQ101/HQ69</f>
        <v>0.36045478089087141</v>
      </c>
      <c r="HR102" s="461"/>
      <c r="HS102" s="462">
        <f>HS101/HS69</f>
        <v>0.32778490580089753</v>
      </c>
      <c r="HT102" s="461"/>
      <c r="HU102" s="462">
        <f>HU101/HU69</f>
        <v>0.33778231228532679</v>
      </c>
      <c r="HV102" s="461"/>
      <c r="HW102" s="462">
        <f>HW101/HW69</f>
        <v>0.31574663495918709</v>
      </c>
      <c r="HX102" s="461"/>
      <c r="HY102" s="462">
        <f>HY101/HY69</f>
        <v>0.23585411064363421</v>
      </c>
      <c r="HZ102" s="461"/>
      <c r="IA102" s="462">
        <f>IA101/IA69</f>
        <v>0.22008915569163345</v>
      </c>
      <c r="IB102" s="461"/>
      <c r="IC102" s="462">
        <f>IC101/IC69</f>
        <v>0.34055734084626405</v>
      </c>
      <c r="ID102" s="461"/>
      <c r="IE102" s="462">
        <f>IE101/IE69</f>
        <v>0.3518229816588736</v>
      </c>
      <c r="IF102" s="461"/>
      <c r="IG102" s="462">
        <f>IG101/IG69</f>
        <v>0.34793784387807902</v>
      </c>
      <c r="IH102" s="461"/>
      <c r="II102" s="462">
        <f>II101/II69</f>
        <v>0.32897676734128128</v>
      </c>
      <c r="IJ102" s="461"/>
      <c r="IK102" s="462">
        <f>IK101/IK69</f>
        <v>0.30918898409265227</v>
      </c>
      <c r="IL102" s="461"/>
      <c r="IM102" s="462">
        <f>IM101/IM69</f>
        <v>0.32024795429011788</v>
      </c>
      <c r="IN102" s="461"/>
      <c r="IO102" s="462">
        <f>IO101/IO69</f>
        <v>0.33088510114328129</v>
      </c>
      <c r="IP102" s="461"/>
      <c r="IQ102" s="462">
        <f>IQ101/IQ69</f>
        <v>0.33998319399939686</v>
      </c>
      <c r="IR102" s="461"/>
      <c r="IS102" s="462">
        <f>IS101/IS69</f>
        <v>0.33219889430800836</v>
      </c>
      <c r="IT102" s="461"/>
      <c r="IU102" s="462">
        <f>IU101/IU69</f>
        <v>0.31637937339604671</v>
      </c>
      <c r="IV102" s="461"/>
      <c r="IW102" s="462">
        <f>IW101/IW69</f>
        <v>0.3460954343847808</v>
      </c>
      <c r="IX102" s="461"/>
      <c r="IY102" s="462">
        <f>IY101/IY69</f>
        <v>0.34343824042898125</v>
      </c>
      <c r="IZ102" s="460"/>
      <c r="JA102" s="461"/>
      <c r="JB102" s="462">
        <f>JB101/JB69</f>
        <v>0.28984572285353538</v>
      </c>
      <c r="JC102" s="461"/>
      <c r="JD102" s="462">
        <f>JD101/JD69</f>
        <v>0.28092635212888378</v>
      </c>
      <c r="JE102" s="465"/>
      <c r="JF102" s="461"/>
      <c r="JG102" s="462">
        <f>JG101/JG69</f>
        <v>0.29559363969711416</v>
      </c>
      <c r="JH102" s="461"/>
      <c r="JI102" s="462">
        <f>JI101/JI69</f>
        <v>0.24894609485627583</v>
      </c>
      <c r="JJ102" s="461"/>
      <c r="JK102" s="462">
        <f>JK101/JK69</f>
        <v>0.21389335036688242</v>
      </c>
      <c r="JL102" s="461"/>
      <c r="JM102" s="462">
        <f>JM101/JM69</f>
        <v>0.1499281027414551</v>
      </c>
      <c r="JN102" s="461"/>
      <c r="JO102" s="462">
        <f>JO101/JO69</f>
        <v>0.19040771689662389</v>
      </c>
      <c r="JP102" s="461"/>
      <c r="JQ102" s="462">
        <f>JQ101/JQ69</f>
        <v>0.21292403967726006</v>
      </c>
      <c r="JR102" s="461"/>
      <c r="JS102" s="462">
        <f>JS101/JS69</f>
        <v>0.13145981003123852</v>
      </c>
      <c r="JT102" s="461"/>
      <c r="JU102" s="462">
        <f>JU101/JU69</f>
        <v>0.17268616258764044</v>
      </c>
      <c r="JV102" s="461"/>
      <c r="JW102" s="462">
        <f>JW101/JW69</f>
        <v>0.27523031854904773</v>
      </c>
      <c r="JX102" s="461"/>
      <c r="JY102" s="462">
        <f>JY101/JY69</f>
        <v>0.21891129863480088</v>
      </c>
      <c r="JZ102" s="461"/>
      <c r="KA102" s="462">
        <f>KA101/KA69</f>
        <v>0.26810967599815527</v>
      </c>
      <c r="KB102" s="461"/>
      <c r="KC102" s="462">
        <f>KC101/KC69</f>
        <v>0.25586984610012553</v>
      </c>
      <c r="KD102" s="461"/>
      <c r="KE102" s="462">
        <f>KE101/KE69</f>
        <v>0.26224970393303948</v>
      </c>
      <c r="KF102" s="461"/>
      <c r="KG102" s="462">
        <f>KG101/KG69</f>
        <v>0.18669966236776997</v>
      </c>
      <c r="KH102" s="461"/>
      <c r="KI102" s="462">
        <f>KI101/KI69</f>
        <v>0.19356478223473295</v>
      </c>
      <c r="KJ102" s="461"/>
      <c r="KK102" s="462">
        <f>KK101/KK69</f>
        <v>0.23022092849679052</v>
      </c>
      <c r="KL102" s="461"/>
      <c r="KM102" s="462">
        <f>KM101/KM69</f>
        <v>0.24055611565984975</v>
      </c>
      <c r="KN102" s="461"/>
      <c r="KO102" s="462">
        <f>KO101/KO69</f>
        <v>0.27734791349547133</v>
      </c>
      <c r="KP102" s="461"/>
      <c r="KQ102" s="462">
        <f>KQ101/KQ69</f>
        <v>0.2497316348794949</v>
      </c>
      <c r="KR102" s="461"/>
      <c r="KS102" s="462">
        <f>KS101/KS69</f>
        <v>0.28584171532264108</v>
      </c>
      <c r="KT102" s="461"/>
      <c r="KU102" s="462">
        <f>KU101/KU69</f>
        <v>0.28970081486694782</v>
      </c>
      <c r="KV102" s="461"/>
      <c r="KW102" s="462">
        <f>KW101/KW69</f>
        <v>0.31419463390579544</v>
      </c>
      <c r="KX102" s="461"/>
      <c r="KY102" s="462">
        <f>KY101/KY69</f>
        <v>0.33518797825099172</v>
      </c>
      <c r="KZ102" s="461"/>
      <c r="LA102" s="462">
        <f>LA101/LA69</f>
        <v>0.35404866550868674</v>
      </c>
      <c r="LB102" s="461"/>
      <c r="LC102" s="462">
        <f>LC101/LC69</f>
        <v>0.28864273583803524</v>
      </c>
      <c r="LD102" s="461"/>
      <c r="LE102" s="462">
        <f>LE101/LE69</f>
        <v>0.28177541437323095</v>
      </c>
      <c r="LF102" s="461"/>
      <c r="LG102" s="462">
        <f>LG101/LG69</f>
        <v>0.2117414310037436</v>
      </c>
      <c r="LH102" s="461"/>
      <c r="LI102" s="462">
        <f>LI101/LI69</f>
        <v>0.30448714779827801</v>
      </c>
      <c r="LJ102" s="461"/>
      <c r="LK102" s="462">
        <f>LK101/LK69</f>
        <v>0.25910051442443022</v>
      </c>
      <c r="LL102" s="461"/>
      <c r="LM102" s="462">
        <f>LM101/LM69</f>
        <v>0.30731004057254213</v>
      </c>
      <c r="LN102" s="461"/>
      <c r="LO102" s="462">
        <f>LO101/LO69</f>
        <v>0.3210315773832581</v>
      </c>
      <c r="LP102" s="461"/>
      <c r="LQ102" s="462">
        <f>LQ101/LQ69</f>
        <v>0.30093395026988445</v>
      </c>
      <c r="LR102" s="461"/>
      <c r="LS102" s="462">
        <f>LS101/LS69</f>
        <v>0.26835169820223725</v>
      </c>
      <c r="LT102" s="461"/>
      <c r="LU102" s="462">
        <f>LU101/LU69</f>
        <v>0.24680183369484535</v>
      </c>
      <c r="LV102" s="461"/>
      <c r="LW102" s="462">
        <f>LW101/LW69</f>
        <v>0.25850664041840693</v>
      </c>
      <c r="LX102" s="461"/>
      <c r="LY102" s="462">
        <f>LY101/LY69</f>
        <v>0.2700963615847472</v>
      </c>
      <c r="LZ102" s="461"/>
      <c r="MA102" s="462">
        <f>MA101/MA69</f>
        <v>0.28000920389137507</v>
      </c>
      <c r="MB102" s="461"/>
      <c r="MC102" s="462">
        <f>MC101/MC69</f>
        <v>0.27617971043150763</v>
      </c>
      <c r="MD102" s="461"/>
      <c r="ME102" s="462">
        <f>ME101/ME69</f>
        <v>0.3566568671568528</v>
      </c>
      <c r="MF102" s="461"/>
      <c r="MG102" s="462">
        <f>MG101/MG69</f>
        <v>0.29157192414768168</v>
      </c>
      <c r="MH102" s="465"/>
      <c r="MI102" s="461"/>
      <c r="MJ102" s="462">
        <f>MJ101/MJ69</f>
        <v>0.33930506019611584</v>
      </c>
      <c r="MK102" s="461"/>
      <c r="ML102" s="462">
        <f>ML101/ML69</f>
        <v>0.30817305535635675</v>
      </c>
      <c r="MM102" s="461"/>
      <c r="MN102" s="462">
        <f>MN101/MN69</f>
        <v>0.26410342728242109</v>
      </c>
      <c r="MO102" s="461"/>
      <c r="MP102" s="462">
        <f>MP101/MP69</f>
        <v>0.15364459831482893</v>
      </c>
      <c r="MQ102" s="461"/>
      <c r="MR102" s="462">
        <f>MR101/MR69</f>
        <v>0.24898026504978252</v>
      </c>
      <c r="MS102" s="461"/>
      <c r="MT102" s="462">
        <f>MT101/MT69</f>
        <v>0.24061865110153802</v>
      </c>
      <c r="MU102" s="461"/>
      <c r="MV102" s="462">
        <f>MV101/MV69</f>
        <v>0.20483099180838607</v>
      </c>
      <c r="MW102" s="461"/>
      <c r="MX102" s="462">
        <f>MX101/MX69</f>
        <v>0.26824694350049311</v>
      </c>
      <c r="MY102" s="461"/>
      <c r="MZ102" s="462">
        <f>MZ101/MZ69</f>
        <v>0.37612543854396879</v>
      </c>
      <c r="NA102" s="461"/>
      <c r="NB102" s="462">
        <f>NB101/NB69</f>
        <v>0.33755064631379972</v>
      </c>
      <c r="NC102" s="461"/>
      <c r="ND102" s="462">
        <f>ND101/ND69</f>
        <v>0.37172659934481789</v>
      </c>
      <c r="NE102" s="461"/>
      <c r="NF102" s="462">
        <f>NF101/NF69</f>
        <v>0.37613914925254477</v>
      </c>
      <c r="NG102" s="461"/>
      <c r="NH102" s="462">
        <f>NH101/NH69</f>
        <v>0.37550262587956024</v>
      </c>
      <c r="NI102" s="461"/>
      <c r="NJ102" s="462">
        <f>NJ101/NJ69</f>
        <v>0.31836322140539414</v>
      </c>
      <c r="NK102" s="461"/>
      <c r="NL102" s="462">
        <f>NL101/NL69</f>
        <v>0.30415280009600498</v>
      </c>
      <c r="NM102" s="461"/>
      <c r="NN102" s="462">
        <f>NN101/NN69</f>
        <v>0.33578221827345928</v>
      </c>
      <c r="NO102" s="461"/>
      <c r="NP102" s="462">
        <f>NP101/NP69</f>
        <v>0.36131364159138241</v>
      </c>
      <c r="NQ102" s="461"/>
      <c r="NR102" s="462">
        <f>NR101/NR69</f>
        <v>0.39855106460285034</v>
      </c>
      <c r="NS102" s="461"/>
      <c r="NT102" s="462">
        <f>NT101/NT69</f>
        <v>0.40868544116171485</v>
      </c>
      <c r="NU102" s="461"/>
      <c r="NV102" s="462">
        <f>NV101/NV69</f>
        <v>0.32354189884932999</v>
      </c>
      <c r="NW102" s="461"/>
      <c r="NX102" s="462">
        <f>NX101/NX69</f>
        <v>0.40512764687729591</v>
      </c>
      <c r="NY102" s="461"/>
      <c r="NZ102" s="462">
        <f>NZ101/NZ69</f>
        <v>0.37522112957267673</v>
      </c>
      <c r="OA102" s="461"/>
      <c r="OB102" s="462">
        <f>OB101/OB69</f>
        <v>0.4379016062961521</v>
      </c>
      <c r="OC102" s="461"/>
      <c r="OD102" s="462">
        <f>OD101/OD69</f>
        <v>0.44429741242707216</v>
      </c>
      <c r="OE102" s="461"/>
      <c r="OF102" s="462">
        <f>OF101/OF69</f>
        <v>0.39274953785986161</v>
      </c>
      <c r="OG102" s="461"/>
      <c r="OH102" s="462">
        <f>OH101/OH69</f>
        <v>0.37929379640078198</v>
      </c>
      <c r="OI102" s="461"/>
      <c r="OJ102" s="462">
        <f>OJ101/OJ69</f>
        <v>0.35151664096881802</v>
      </c>
      <c r="OK102" s="461"/>
      <c r="OL102" s="462">
        <f>OL101/OL69</f>
        <v>0.38328308381392001</v>
      </c>
      <c r="OM102" s="461"/>
      <c r="ON102" s="462">
        <f>ON101/ON69</f>
        <v>0.34934671134151257</v>
      </c>
      <c r="OO102" s="461"/>
      <c r="OP102" s="462">
        <f>OP101/OP69</f>
        <v>0.37141718705530341</v>
      </c>
      <c r="OQ102" s="461"/>
      <c r="OR102" s="462">
        <f>OR101/OR69</f>
        <v>0.37498691375290683</v>
      </c>
      <c r="OS102" s="461"/>
      <c r="OT102" s="462">
        <f>OT101/OT69</f>
        <v>0.36346255229704932</v>
      </c>
      <c r="OU102" s="461"/>
      <c r="OV102" s="462">
        <f>OV101/OV69</f>
        <v>0.27627763626399904</v>
      </c>
      <c r="OW102" s="461"/>
      <c r="OX102" s="462">
        <f>OX101/OX69</f>
        <v>0.25495029873545805</v>
      </c>
      <c r="OY102" s="461"/>
      <c r="OZ102" s="462">
        <f>OZ101/OZ69</f>
        <v>0.26653423995300507</v>
      </c>
      <c r="PA102" s="461"/>
      <c r="PB102" s="462">
        <f>PB101/PB69</f>
        <v>0.27800428400323235</v>
      </c>
      <c r="PC102" s="461"/>
      <c r="PD102" s="462">
        <f>PD101/PD69</f>
        <v>0.28781476488435959</v>
      </c>
      <c r="PE102" s="461"/>
      <c r="PF102" s="462">
        <f>PF101/PF69</f>
        <v>0.32848609121968297</v>
      </c>
      <c r="PG102" s="461"/>
      <c r="PH102" s="462">
        <f>PH101/PH69</f>
        <v>0.41801565494420201</v>
      </c>
      <c r="PI102" s="461"/>
      <c r="PJ102" s="462">
        <f>PJ101/PJ69</f>
        <v>0.40863932390065011</v>
      </c>
      <c r="PK102" s="461"/>
      <c r="PL102" s="462">
        <f>PL101/PL69</f>
        <v>0.39876975593511549</v>
      </c>
      <c r="PM102" s="461"/>
      <c r="PN102" s="462">
        <f>PN101/PN69</f>
        <v>0.42351332060590413</v>
      </c>
      <c r="PO102" s="461"/>
      <c r="PP102" s="462">
        <f>PP101/PP69</f>
        <v>0.42351332060590413</v>
      </c>
      <c r="PQ102" s="466"/>
      <c r="PR102" s="461"/>
      <c r="PS102" s="462">
        <f>PS101/PS69</f>
        <v>0.54995418446649025</v>
      </c>
      <c r="PT102" s="461"/>
      <c r="PU102" s="462">
        <f>PU101/PU69</f>
        <v>0.58807422887882665</v>
      </c>
      <c r="PV102" s="461"/>
      <c r="PW102" s="462">
        <f>PW101/PW69</f>
        <v>0.54995418446649025</v>
      </c>
      <c r="PX102" s="461"/>
      <c r="PY102" s="462">
        <f>PY101/PY69</f>
        <v>0.58807422887882665</v>
      </c>
      <c r="PZ102" s="461"/>
      <c r="QA102" s="462">
        <f>QA101/QA69</f>
        <v>0.54437759296354404</v>
      </c>
      <c r="QB102" s="461"/>
      <c r="QC102" s="462">
        <f>QC101/QC69</f>
        <v>0.58297413793103448</v>
      </c>
      <c r="QD102" s="466"/>
      <c r="QE102" s="466"/>
      <c r="QF102" s="461"/>
      <c r="QG102" s="462">
        <f>QG101/QG69</f>
        <v>0.4716721124767102</v>
      </c>
      <c r="QH102" s="461"/>
      <c r="QI102" s="462">
        <f>QI101/QI69</f>
        <v>0.50694548108341209</v>
      </c>
      <c r="QJ102" s="461"/>
      <c r="QK102" s="462">
        <f>QK101/QK69</f>
        <v>0.4716721124767102</v>
      </c>
      <c r="QL102" s="461"/>
      <c r="QM102" s="462">
        <f>QM101/QM69</f>
        <v>0.50694548108341209</v>
      </c>
      <c r="QN102" s="461"/>
      <c r="QO102" s="462">
        <f>QO101/QO69</f>
        <v>0.41041670522763313</v>
      </c>
      <c r="QP102" s="461"/>
      <c r="QQ102" s="462">
        <f>QQ101/QQ69</f>
        <v>0.44977973975974977</v>
      </c>
    </row>
    <row r="103" spans="1:459" x14ac:dyDescent="0.45">
      <c r="A103" s="871"/>
      <c r="B103" s="180" t="s">
        <v>403</v>
      </c>
      <c r="C103" s="181"/>
      <c r="D103" s="199"/>
      <c r="E103" s="454"/>
      <c r="F103" s="285"/>
      <c r="G103" s="455">
        <f>G101-G57</f>
        <v>-1.7240208307777394</v>
      </c>
      <c r="H103" s="285"/>
      <c r="I103" s="455">
        <f>I101-I57</f>
        <v>-0.22402083077773938</v>
      </c>
      <c r="J103" s="285"/>
      <c r="K103" s="455">
        <f>K101-K57</f>
        <v>1.1566068832981589</v>
      </c>
      <c r="L103" s="285"/>
      <c r="M103" s="455">
        <f>M101-M57</f>
        <v>1.1566068832981589</v>
      </c>
      <c r="N103" s="285"/>
      <c r="O103" s="455">
        <f>O101-O57</f>
        <v>1.3928405081386299</v>
      </c>
      <c r="P103" s="285"/>
      <c r="Q103" s="455">
        <f>Q101-Q57</f>
        <v>1.588052878537874</v>
      </c>
      <c r="R103" s="285"/>
      <c r="S103" s="455">
        <f>S101-S57</f>
        <v>1.1955590559449825</v>
      </c>
      <c r="T103" s="285"/>
      <c r="U103" s="455">
        <f>U101-U57</f>
        <v>1.3955590559449831</v>
      </c>
      <c r="V103" s="285"/>
      <c r="W103" s="455">
        <f>W101-W57</f>
        <v>1.3955590559449831</v>
      </c>
      <c r="X103" s="285"/>
      <c r="Y103" s="455">
        <f>Y101-Y57</f>
        <v>1.3955590559449824</v>
      </c>
      <c r="Z103" s="285"/>
      <c r="AA103" s="455">
        <f>AA101-AA57</f>
        <v>1.4969031214045754</v>
      </c>
      <c r="AB103" s="285"/>
      <c r="AC103" s="455">
        <f>AC101-AC57</f>
        <v>1.1504971590909094</v>
      </c>
      <c r="AD103" s="285"/>
      <c r="AE103" s="455">
        <f>AE101-AE57</f>
        <v>1.2926203304597694</v>
      </c>
      <c r="AF103" s="285"/>
      <c r="AG103" s="455">
        <f>AG101-AG57</f>
        <v>2.2626030704704778</v>
      </c>
      <c r="AH103" s="285"/>
      <c r="AI103" s="455">
        <f>AI101-AI57</f>
        <v>2.1114465725806451</v>
      </c>
      <c r="AJ103" s="285"/>
      <c r="AK103" s="455">
        <f>AK101-AK57</f>
        <v>2.3267070652486592</v>
      </c>
      <c r="AL103" s="285"/>
      <c r="AM103" s="455">
        <f>AM101-AM57</f>
        <v>2.1982960500138335</v>
      </c>
      <c r="AN103" s="285"/>
      <c r="AO103" s="455">
        <f>AO101-AO57</f>
        <v>2.0862584214006992</v>
      </c>
      <c r="AP103" s="285"/>
      <c r="AQ103" s="455">
        <f>AQ101-AQ57</f>
        <v>1.9246887593664757</v>
      </c>
      <c r="AR103" s="285"/>
      <c r="AS103" s="455">
        <f>AS101-AS57</f>
        <v>1.7312410201149417</v>
      </c>
      <c r="AT103" s="285"/>
      <c r="AU103" s="455">
        <f>AU101-AU57</f>
        <v>2.0312410201149418</v>
      </c>
      <c r="AV103" s="285"/>
      <c r="AW103" s="455">
        <f>AW101-AW57</f>
        <v>2.2789693046263646</v>
      </c>
      <c r="AX103" s="285"/>
      <c r="AY103" s="455">
        <f>AY101-AY57</f>
        <v>2.5309412102893396</v>
      </c>
      <c r="AZ103" s="285"/>
      <c r="BA103" s="455">
        <f>BA101-BA57</f>
        <v>2.6080425855498559</v>
      </c>
      <c r="BB103" s="285"/>
      <c r="BC103" s="455">
        <f>BC101-BC57</f>
        <v>2.6103611677762251</v>
      </c>
      <c r="BD103" s="285"/>
      <c r="BE103" s="455">
        <f>BE101-BE57</f>
        <v>2.6242315131560998</v>
      </c>
      <c r="BF103" s="285"/>
      <c r="BG103" s="455">
        <f>BG101-BG57</f>
        <v>2.8491056599229303</v>
      </c>
      <c r="BH103" s="285"/>
      <c r="BI103" s="455">
        <f>BI101-BI57</f>
        <v>3.0482314255604108</v>
      </c>
      <c r="BJ103" s="285"/>
      <c r="BK103" s="455">
        <f>BK101-BK57</f>
        <v>3.0785717743638226</v>
      </c>
      <c r="BL103" s="285"/>
      <c r="BM103" s="455">
        <f>BM101-BM57</f>
        <v>2.6174736427584842</v>
      </c>
      <c r="BN103" s="285"/>
      <c r="BO103" s="455">
        <f>BO101-BO57</f>
        <v>2.518421722786881</v>
      </c>
      <c r="BP103" s="285"/>
      <c r="BQ103" s="455">
        <f>BQ101-BQ57</f>
        <v>2.3814825467934377</v>
      </c>
      <c r="BR103" s="285"/>
      <c r="BS103" s="455">
        <f>BS101-BS57</f>
        <v>2.7360732469425568</v>
      </c>
      <c r="BT103" s="285"/>
      <c r="BU103" s="455">
        <f>BU101-BU57</f>
        <v>2.5432171274706805</v>
      </c>
      <c r="BV103" s="285"/>
      <c r="BW103" s="455">
        <f>BW101-BW57</f>
        <v>2.5199149817870143</v>
      </c>
      <c r="BX103" s="285"/>
      <c r="BY103" s="455">
        <f>BY101-BY57</f>
        <v>2.7734339869943869</v>
      </c>
      <c r="BZ103" s="285"/>
      <c r="CA103" s="455">
        <f>CA101-CA57</f>
        <v>2.6408183274248178</v>
      </c>
      <c r="CB103" s="285"/>
      <c r="CC103" s="455">
        <f>CC101-CC57</f>
        <v>2.8768427045652789</v>
      </c>
      <c r="CD103" s="285"/>
      <c r="CE103" s="455">
        <f>CE101-CE57</f>
        <v>2.7481674241515766</v>
      </c>
      <c r="CF103" s="285"/>
      <c r="CG103" s="455">
        <f>CG101-CG57</f>
        <v>2.3455985139342892</v>
      </c>
      <c r="CH103" s="285"/>
      <c r="CI103" s="455">
        <f>CI101-CI57</f>
        <v>2.422255177182874</v>
      </c>
      <c r="CJ103" s="285"/>
      <c r="CK103" s="455">
        <f>CK101-CK57</f>
        <v>2.4878206384764909</v>
      </c>
      <c r="CL103" s="285"/>
      <c r="CM103" s="455">
        <f>CM101-CM57</f>
        <v>2.5832271665121502</v>
      </c>
      <c r="CN103" s="285"/>
      <c r="CO103" s="455">
        <f>CO101-CO57</f>
        <v>2.593004760084122</v>
      </c>
      <c r="CP103" s="285"/>
      <c r="CQ103" s="455">
        <f>CQ101-CQ57</f>
        <v>2.5741062242798352</v>
      </c>
      <c r="CR103" s="285"/>
      <c r="CS103" s="455">
        <f>CS101-CS57</f>
        <v>2.5741062242798352</v>
      </c>
      <c r="CT103" s="201"/>
      <c r="CU103" s="285"/>
      <c r="CV103" s="455">
        <f>CV101-CV57</f>
        <v>2.1719251183596553</v>
      </c>
      <c r="CW103" s="285"/>
      <c r="CX103" s="455">
        <f>CX101-CX57</f>
        <v>1.7763200492178506</v>
      </c>
      <c r="CY103" s="285"/>
      <c r="CZ103" s="455">
        <f>CZ101-CZ57</f>
        <v>1.8263200492178513</v>
      </c>
      <c r="DA103" s="285"/>
      <c r="DB103" s="455">
        <f>DB101-DB57</f>
        <v>0.92800967361084719</v>
      </c>
      <c r="DC103" s="285"/>
      <c r="DD103" s="455">
        <f>DD101-DD57</f>
        <v>1.6159224535197836</v>
      </c>
      <c r="DE103" s="285"/>
      <c r="DF103" s="455">
        <f>DF101-DF57</f>
        <v>3.0520283499815055</v>
      </c>
      <c r="DG103" s="285"/>
      <c r="DH103" s="455">
        <f>DH101-DH57</f>
        <v>2.5746814060029459</v>
      </c>
      <c r="DI103" s="285"/>
      <c r="DJ103" s="455">
        <f>DJ101-DJ57</f>
        <v>3.2502735494406649</v>
      </c>
      <c r="DK103" s="285"/>
      <c r="DL103" s="455">
        <f>DL101-DL57</f>
        <v>2.8818509669792012</v>
      </c>
      <c r="DM103" s="285"/>
      <c r="DN103" s="455">
        <f>DN101-DN57</f>
        <v>2.9301231422678042</v>
      </c>
      <c r="DO103" s="285"/>
      <c r="DP103" s="455">
        <f>DP101-DP57</f>
        <v>2.9909796497605705</v>
      </c>
      <c r="DQ103" s="285"/>
      <c r="DR103" s="455">
        <f>DR101-DR57</f>
        <v>2.3193707293818533</v>
      </c>
      <c r="DS103" s="285"/>
      <c r="DT103" s="455">
        <f>DT101-DT57</f>
        <v>2.8693707293818522</v>
      </c>
      <c r="DU103" s="285"/>
      <c r="DV103" s="455">
        <f>DV101-DV57</f>
        <v>3.26609673370386</v>
      </c>
      <c r="DW103" s="285"/>
      <c r="DX103" s="455">
        <f>DX101-DX57</f>
        <v>3.3203966901751296</v>
      </c>
      <c r="DY103" s="285"/>
      <c r="DZ103" s="455">
        <f>DZ101-DZ57</f>
        <v>3.5993300048889489</v>
      </c>
      <c r="EA103" s="285"/>
      <c r="EB103" s="455">
        <f>EB101-EB57</f>
        <v>3.4107135362427243</v>
      </c>
      <c r="EC103" s="285"/>
      <c r="ED103" s="455">
        <f>ED101-ED57</f>
        <v>3.6967006871245767</v>
      </c>
      <c r="EE103" s="285"/>
      <c r="EF103" s="455">
        <f>EF101-EF57</f>
        <v>3.8594919743587504</v>
      </c>
      <c r="EG103" s="285"/>
      <c r="EH103" s="455">
        <f>EH101-EH57</f>
        <v>3.7963209081006166</v>
      </c>
      <c r="EI103" s="285"/>
      <c r="EJ103" s="455">
        <f>EJ101-EJ57</f>
        <v>3.7503569660360414</v>
      </c>
      <c r="EK103" s="285"/>
      <c r="EL103" s="455">
        <f>EL101-EL57</f>
        <v>3.5821287739801679</v>
      </c>
      <c r="EM103" s="285"/>
      <c r="EN103" s="455">
        <f>EN101-EN57</f>
        <v>3.95914447196113</v>
      </c>
      <c r="EO103" s="285"/>
      <c r="EP103" s="455">
        <f>EP101-EP57</f>
        <v>3.2646920176384042</v>
      </c>
      <c r="EQ103" s="285"/>
      <c r="ER103" s="455">
        <f>ER101-ER57</f>
        <v>3.9471728665754933</v>
      </c>
      <c r="ES103" s="285"/>
      <c r="ET103" s="455">
        <f>ET101-ET57</f>
        <v>3.699512741623006</v>
      </c>
      <c r="EU103" s="285"/>
      <c r="EV103" s="455">
        <f>EV101-EV57</f>
        <v>3.7941019634957351</v>
      </c>
      <c r="EW103" s="285"/>
      <c r="EX103" s="455">
        <f>EX101-EX57</f>
        <v>3.8826809230111756</v>
      </c>
      <c r="EY103" s="285"/>
      <c r="EZ103" s="455">
        <f>EZ101-EZ57</f>
        <v>3.7028354127416208</v>
      </c>
      <c r="FA103" s="285"/>
      <c r="FB103" s="455">
        <f>FB101-FB57</f>
        <v>3.2662477192801078</v>
      </c>
      <c r="FC103" s="285"/>
      <c r="FD103" s="455">
        <f>FD101-FD57</f>
        <v>3.4837640036350321</v>
      </c>
      <c r="FE103" s="285"/>
      <c r="FF103" s="455">
        <f>FF101-FF57</f>
        <v>4.1857949684473024</v>
      </c>
      <c r="FG103" s="285"/>
      <c r="FH103" s="455">
        <f>FH101-FH57</f>
        <v>3.8975943653119929</v>
      </c>
      <c r="FI103" s="285"/>
      <c r="FJ103" s="455">
        <f>FJ101-FJ57</f>
        <v>3.7590422660979836</v>
      </c>
      <c r="FK103" s="285"/>
      <c r="FL103" s="455">
        <f>FL101-FL57</f>
        <v>3.7374479385779447</v>
      </c>
      <c r="FM103" s="285"/>
      <c r="FN103" s="455">
        <f>FN101-FN57</f>
        <v>3.6900305240568407</v>
      </c>
      <c r="FO103" s="285"/>
      <c r="FP103" s="455">
        <f>FP101-FP57</f>
        <v>3.6900305240568407</v>
      </c>
      <c r="FQ103" s="177"/>
      <c r="FR103" s="285"/>
      <c r="FS103" s="455">
        <f>FS101-FS57</f>
        <v>0.5746772663010733</v>
      </c>
      <c r="FT103" s="285"/>
      <c r="FU103" s="455">
        <f>FU101-FU57</f>
        <v>0.63438309350472422</v>
      </c>
      <c r="FV103" s="285"/>
      <c r="FW103" s="455">
        <f>FW101-FW57</f>
        <v>0.67824049535227293</v>
      </c>
      <c r="FX103" s="285"/>
      <c r="FY103" s="455">
        <f>FY101-FY57</f>
        <v>0.2311579297682454</v>
      </c>
      <c r="FZ103" s="285"/>
      <c r="GA103" s="455">
        <f>GA101-GA57</f>
        <v>0.43115792976824591</v>
      </c>
      <c r="GB103" s="285"/>
      <c r="GC103" s="455">
        <f>GC101-GC57</f>
        <v>0.43115792976824591</v>
      </c>
      <c r="GD103" s="285"/>
      <c r="GE103" s="455">
        <f>GE101-GE57</f>
        <v>0.43115792976824541</v>
      </c>
      <c r="GF103" s="285"/>
      <c r="GG103" s="455">
        <f>GG101-GG57</f>
        <v>0.53924605904725498</v>
      </c>
      <c r="GH103" s="285"/>
      <c r="GI103" s="455">
        <f>GI101-GI57</f>
        <v>0.86238527097902073</v>
      </c>
      <c r="GJ103" s="285"/>
      <c r="GK103" s="455">
        <f>GK101-GK57</f>
        <v>1.0571030890804596</v>
      </c>
      <c r="GL103" s="285"/>
      <c r="GM103" s="455">
        <f>GM101-GM57</f>
        <v>2.091652794341393</v>
      </c>
      <c r="GN103" s="285"/>
      <c r="GO103" s="455">
        <f>GO101-GO57</f>
        <v>1.9537046370967748</v>
      </c>
      <c r="GP103" s="285"/>
      <c r="GQ103" s="455">
        <f>GQ101-GQ57</f>
        <v>2.1772650369908488</v>
      </c>
      <c r="GR103" s="285"/>
      <c r="GS103" s="455">
        <f>GS101-GS57</f>
        <v>2.03031537718533</v>
      </c>
      <c r="GT103" s="285"/>
      <c r="GU103" s="455">
        <f>GU101-GU57</f>
        <v>2.0890090718534027</v>
      </c>
      <c r="GV103" s="285"/>
      <c r="GW103" s="455">
        <f>GW101-GW57</f>
        <v>1.2456717789952356</v>
      </c>
      <c r="GX103" s="285"/>
      <c r="GY103" s="455">
        <f>GY101-GY57</f>
        <v>1.4157237787356327</v>
      </c>
      <c r="GZ103" s="285"/>
      <c r="HA103" s="455">
        <f>HA101-HA57</f>
        <v>1.7657237787356326</v>
      </c>
      <c r="HB103" s="285"/>
      <c r="HC103" s="455">
        <f>HC101-HC57</f>
        <v>1.7794370692528687</v>
      </c>
      <c r="HD103" s="285"/>
      <c r="HE103" s="455">
        <f>HE101-HE57</f>
        <v>2.4852101023048112</v>
      </c>
      <c r="HF103" s="285"/>
      <c r="HG103" s="455">
        <f>HG101-HG57</f>
        <v>2.4273110062261973</v>
      </c>
      <c r="HH103" s="285"/>
      <c r="HI103" s="455">
        <f>HI101-HI57</f>
        <v>2.4996841370585634</v>
      </c>
      <c r="HJ103" s="285"/>
      <c r="HK103" s="455">
        <f>HK101-HK57</f>
        <v>2.5379899239016281</v>
      </c>
      <c r="HL103" s="285"/>
      <c r="HM103" s="455">
        <f>HM101-HM57</f>
        <v>2.7369048467140806</v>
      </c>
      <c r="HN103" s="285"/>
      <c r="HO103" s="455">
        <f>HO101-HO57</f>
        <v>2.7097631155709259</v>
      </c>
      <c r="HP103" s="285"/>
      <c r="HQ103" s="455">
        <f>HQ101-HQ57</f>
        <v>2.6737519423496892</v>
      </c>
      <c r="HR103" s="285"/>
      <c r="HS103" s="455">
        <f>HS101-HS57</f>
        <v>2.4042254728574046</v>
      </c>
      <c r="HT103" s="285"/>
      <c r="HU103" s="455">
        <f>HU101-HU57</f>
        <v>2.4867040763539463</v>
      </c>
      <c r="HV103" s="285"/>
      <c r="HW103" s="455">
        <f>HW101-HW57</f>
        <v>2.3049097384132935</v>
      </c>
      <c r="HX103" s="285"/>
      <c r="HY103" s="455">
        <f>HY101-HY57</f>
        <v>1.6457964128099822</v>
      </c>
      <c r="HZ103" s="285"/>
      <c r="IA103" s="455">
        <f>IA101-IA57</f>
        <v>1.515735534455976</v>
      </c>
      <c r="IB103" s="285"/>
      <c r="IC103" s="455">
        <f>IC101-IC57</f>
        <v>2.5095980619816785</v>
      </c>
      <c r="ID103" s="285"/>
      <c r="IE103" s="455">
        <f>IE101-IE57</f>
        <v>2.6025395986857074</v>
      </c>
      <c r="IF103" s="285"/>
      <c r="IG103" s="455">
        <f>IG101-IG57</f>
        <v>2.570487211994152</v>
      </c>
      <c r="IH103" s="285"/>
      <c r="II103" s="455">
        <f>II101-II57</f>
        <v>2.4140583305655707</v>
      </c>
      <c r="IJ103" s="285"/>
      <c r="IK103" s="455">
        <f>IK101-IK57</f>
        <v>2.2508091187643813</v>
      </c>
      <c r="IL103" s="285"/>
      <c r="IM103" s="455">
        <f>IM101-IM57</f>
        <v>2.3420456228934725</v>
      </c>
      <c r="IN103" s="285"/>
      <c r="IO103" s="455">
        <f>IO101-IO57</f>
        <v>2.4298020844320707</v>
      </c>
      <c r="IP103" s="285"/>
      <c r="IQ103" s="455">
        <f>IQ101-IQ57</f>
        <v>2.5048613504950241</v>
      </c>
      <c r="IR103" s="285"/>
      <c r="IS103" s="455">
        <f>IS101-IS57</f>
        <v>2.4406408780410693</v>
      </c>
      <c r="IT103" s="285"/>
      <c r="IU103" s="455">
        <f>IU101-IU57</f>
        <v>2.3101298305173854</v>
      </c>
      <c r="IV103" s="285"/>
      <c r="IW103" s="455">
        <f>IW101-IW57</f>
        <v>2.5552873336744417</v>
      </c>
      <c r="IX103" s="285"/>
      <c r="IY103" s="455">
        <f>IY101-IY57</f>
        <v>2.5333654835390953</v>
      </c>
      <c r="IZ103" s="454"/>
      <c r="JA103" s="285"/>
      <c r="JB103" s="455">
        <f>JB101-JB57</f>
        <v>2.091227213541667</v>
      </c>
      <c r="JC103" s="285"/>
      <c r="JD103" s="455">
        <f>JD101-JD57</f>
        <v>2.0176424050632913</v>
      </c>
      <c r="JE103" s="177"/>
      <c r="JF103" s="285"/>
      <c r="JG103" s="455">
        <f>JG101-JG57</f>
        <v>1.073561838182685</v>
      </c>
      <c r="JH103" s="285"/>
      <c r="JI103" s="455">
        <f>JI101-JI57</f>
        <v>1.1436765691376549</v>
      </c>
      <c r="JJ103" s="285"/>
      <c r="JK103" s="455">
        <f>JK101-JK57</f>
        <v>1.1833601022012945</v>
      </c>
      <c r="JL103" s="285"/>
      <c r="JM103" s="455">
        <f>JM101-JM57</f>
        <v>0.79956861644873067</v>
      </c>
      <c r="JN103" s="285"/>
      <c r="JO103" s="455">
        <f>JO101-JO57</f>
        <v>1.0995686164487304</v>
      </c>
      <c r="JP103" s="285"/>
      <c r="JQ103" s="455">
        <f>JQ101-JQ57</f>
        <v>1.2414214499667382</v>
      </c>
      <c r="JR103" s="285"/>
      <c r="JS103" s="455">
        <f>JS101-JS57</f>
        <v>0.72819680319680269</v>
      </c>
      <c r="JT103" s="285"/>
      <c r="JU103" s="455">
        <f>JU101-JU57</f>
        <v>0.98792282430213485</v>
      </c>
      <c r="JV103" s="285"/>
      <c r="JW103" s="455">
        <f>JW101-JW57</f>
        <v>1.6339510068590004</v>
      </c>
      <c r="JX103" s="285"/>
      <c r="JY103" s="455">
        <f>JY101-JY57</f>
        <v>1.2791411813992455</v>
      </c>
      <c r="JZ103" s="285"/>
      <c r="KA103" s="455">
        <f>KA101-KA57</f>
        <v>1.5890909587883781</v>
      </c>
      <c r="KB103" s="285"/>
      <c r="KC103" s="455">
        <f>KC101-KC57</f>
        <v>1.5119800304307907</v>
      </c>
      <c r="KD103" s="285"/>
      <c r="KE103" s="455">
        <f>KE101-KE57</f>
        <v>1.5521731347781484</v>
      </c>
      <c r="KF103" s="285"/>
      <c r="KG103" s="455">
        <f>KG101-KG57</f>
        <v>1.0762078729169506</v>
      </c>
      <c r="KH103" s="285"/>
      <c r="KI103" s="455">
        <f>KI101-KI57</f>
        <v>1.1194581280788174</v>
      </c>
      <c r="KJ103" s="285"/>
      <c r="KK103" s="455">
        <f>KK101-KK57</f>
        <v>1.4194581280788172</v>
      </c>
      <c r="KL103" s="285"/>
      <c r="KM103" s="455">
        <f>KM101-KM57</f>
        <v>1.4876703633550081</v>
      </c>
      <c r="KN103" s="285"/>
      <c r="KO103" s="455">
        <f>KO101-KO57</f>
        <v>1.7304962290701107</v>
      </c>
      <c r="KP103" s="285"/>
      <c r="KQ103" s="455">
        <f>KQ101-KQ57</f>
        <v>1.5482287902046661</v>
      </c>
      <c r="KR103" s="285"/>
      <c r="KS103" s="455">
        <f>KS101-KS57</f>
        <v>1.7865553211294309</v>
      </c>
      <c r="KT103" s="285"/>
      <c r="KU103" s="455">
        <f>KU101-KU57</f>
        <v>1.8120253781218556</v>
      </c>
      <c r="KV103" s="285"/>
      <c r="KW103" s="455">
        <f>KW101-KW57</f>
        <v>1.9736845837782497</v>
      </c>
      <c r="KX103" s="285"/>
      <c r="KY103" s="455">
        <f>KY101-KY57</f>
        <v>2.112240656456545</v>
      </c>
      <c r="KZ103" s="285"/>
      <c r="LA103" s="455">
        <f>LA101-LA57</f>
        <v>2.2367211923573325</v>
      </c>
      <c r="LB103" s="285"/>
      <c r="LC103" s="455">
        <f>LC101-LC57</f>
        <v>1.8050420565310323</v>
      </c>
      <c r="LD103" s="285"/>
      <c r="LE103" s="455">
        <f>LE101-LE57</f>
        <v>1.7597177348633239</v>
      </c>
      <c r="LF103" s="285"/>
      <c r="LG103" s="455">
        <f>LG101-LG57</f>
        <v>1.2974934446247075</v>
      </c>
      <c r="LH103" s="285"/>
      <c r="LI103" s="455">
        <f>LI101-LI57</f>
        <v>1.9096151754686348</v>
      </c>
      <c r="LJ103" s="285"/>
      <c r="LK103" s="455">
        <f>LK101-LK57</f>
        <v>1.6100633952012393</v>
      </c>
      <c r="LL103" s="285"/>
      <c r="LM103" s="455">
        <f>LM101-LM57</f>
        <v>1.9282462677787779</v>
      </c>
      <c r="LN103" s="285"/>
      <c r="LO103" s="455">
        <f>LO101-LO57</f>
        <v>2.0188084107295032</v>
      </c>
      <c r="LP103" s="285"/>
      <c r="LQ103" s="455">
        <f>LQ101-LQ57</f>
        <v>1.8861640717812371</v>
      </c>
      <c r="LR103" s="285"/>
      <c r="LS103" s="455">
        <f>LS101-LS57</f>
        <v>1.6711212081347657</v>
      </c>
      <c r="LT103" s="285"/>
      <c r="LU103" s="455">
        <f>LU101-LU57</f>
        <v>1.5288921023859792</v>
      </c>
      <c r="LV103" s="285"/>
      <c r="LW103" s="455">
        <f>LW101-LW57</f>
        <v>1.6061438267614856</v>
      </c>
      <c r="LX103" s="285"/>
      <c r="LY103" s="455">
        <f>LY101-LY57</f>
        <v>1.6826359864593314</v>
      </c>
      <c r="LZ103" s="285"/>
      <c r="MA103" s="455">
        <f>MA101-MA57</f>
        <v>1.7480607456830752</v>
      </c>
      <c r="MB103" s="285"/>
      <c r="MC103" s="455">
        <f>MC101-MC57</f>
        <v>1.72278608884795</v>
      </c>
      <c r="MD103" s="285"/>
      <c r="ME103" s="455">
        <f>ME101-ME57</f>
        <v>2.2539353232352282</v>
      </c>
      <c r="MF103" s="285"/>
      <c r="MG103" s="455">
        <f>MG101-MG57</f>
        <v>1.824374699374699</v>
      </c>
      <c r="MH103" s="177"/>
      <c r="MI103" s="285"/>
      <c r="MJ103" s="455">
        <f>MJ101-MJ57</f>
        <v>0.3822473250590257</v>
      </c>
      <c r="MK103" s="285"/>
      <c r="ML103" s="455">
        <f>ML101-ML57</f>
        <v>0.41413449892432652</v>
      </c>
      <c r="MM103" s="285"/>
      <c r="MN103" s="455">
        <f>MN101-MN57</f>
        <v>0.42615850732507399</v>
      </c>
      <c r="MO103" s="285"/>
      <c r="MP103" s="455">
        <f>MP70-MP83+MP125</f>
        <v>1.1985157589429363E-2</v>
      </c>
      <c r="MQ103" s="285"/>
      <c r="MR103" s="455">
        <f>MR70-MR83+MR125</f>
        <v>0.39428948427878208</v>
      </c>
      <c r="MS103" s="285"/>
      <c r="MT103" s="455">
        <f>MT101-MT57</f>
        <v>0.32340258105845909</v>
      </c>
      <c r="MU103" s="285"/>
      <c r="MV103" s="455">
        <f>MV101-MV57</f>
        <v>0.14705355412696197</v>
      </c>
      <c r="MW103" s="285"/>
      <c r="MX103" s="455">
        <f>MX101-MX57</f>
        <v>1.0899557440531065</v>
      </c>
      <c r="MY103" s="285"/>
      <c r="MZ103" s="455">
        <f>MZ101-MZ57</f>
        <v>1.7695902628270033</v>
      </c>
      <c r="NA103" s="285"/>
      <c r="NB103" s="455">
        <f>NB101-NB57</f>
        <v>1.526569071776938</v>
      </c>
      <c r="NC103" s="285"/>
      <c r="ND103" s="455">
        <f>ND101-ND57</f>
        <v>1.7418775758723526</v>
      </c>
      <c r="NE103" s="285"/>
      <c r="NF103" s="455">
        <f>NF101-NF57</f>
        <v>1.7696766402910318</v>
      </c>
      <c r="NG103" s="285"/>
      <c r="NH103" s="455">
        <f>NH101-NH57</f>
        <v>1.7656665430412293</v>
      </c>
      <c r="NI103" s="285"/>
      <c r="NJ103" s="455">
        <f>NJ101-NJ57</f>
        <v>1.4056882948539831</v>
      </c>
      <c r="NK103" s="285"/>
      <c r="NL103" s="455">
        <f>NL101-NL57</f>
        <v>1.3161626406048312</v>
      </c>
      <c r="NM103" s="285"/>
      <c r="NN103" s="455">
        <f>NN101-NN57</f>
        <v>1.6161626406048311</v>
      </c>
      <c r="NO103" s="285"/>
      <c r="NP103" s="455">
        <f>NP101-NP57</f>
        <v>1.7846700345031237</v>
      </c>
      <c r="NQ103" s="285"/>
      <c r="NR103" s="455">
        <f>NR101-NR57</f>
        <v>2.0304370263788121</v>
      </c>
      <c r="NS103" s="285"/>
      <c r="NT103" s="455">
        <f>NT101-NT57</f>
        <v>2.0973239116673179</v>
      </c>
      <c r="NU103" s="285"/>
      <c r="NV103" s="455">
        <f>NV101-NV57</f>
        <v>1.5353765324055777</v>
      </c>
      <c r="NW103" s="285"/>
      <c r="NX103" s="455">
        <f>NX101-NX57</f>
        <v>2.0738424693901529</v>
      </c>
      <c r="NY103" s="285"/>
      <c r="NZ103" s="455">
        <f>NZ101-NZ57</f>
        <v>1.8764594551796661</v>
      </c>
      <c r="OA103" s="285"/>
      <c r="OB103" s="455">
        <f>OB101-OB57</f>
        <v>2.2901506015546036</v>
      </c>
      <c r="OC103" s="285"/>
      <c r="OD103" s="455">
        <f>OD101-OD57</f>
        <v>2.3323629220186759</v>
      </c>
      <c r="OE103" s="285"/>
      <c r="OF103" s="455">
        <f>OF101-OF57</f>
        <v>1.9921469498750866</v>
      </c>
      <c r="OG103" s="285"/>
      <c r="OH103" s="455">
        <f>OH101-OH57</f>
        <v>1.9033390562451609</v>
      </c>
      <c r="OI103" s="285"/>
      <c r="OJ103" s="455">
        <f>OJ101-OJ57</f>
        <v>1.7200098303941989</v>
      </c>
      <c r="OK103" s="285"/>
      <c r="OL103" s="455">
        <f>OL101-OL57</f>
        <v>1.9296683531718717</v>
      </c>
      <c r="OM103" s="285"/>
      <c r="ON103" s="455">
        <f>ON101-ON57</f>
        <v>1.7056882948539829</v>
      </c>
      <c r="OO103" s="285"/>
      <c r="OP103" s="455">
        <f>OP101-OP57</f>
        <v>1.8513534345650022</v>
      </c>
      <c r="OQ103" s="285"/>
      <c r="OR103" s="455">
        <f>OR101-OR57</f>
        <v>1.8749136307691847</v>
      </c>
      <c r="OS103" s="285"/>
      <c r="OT103" s="455">
        <f>OT101-OT57</f>
        <v>1.7988528451605252</v>
      </c>
      <c r="OU103" s="285"/>
      <c r="OV103" s="455">
        <f>OV101-OV57</f>
        <v>1.2234323993423937</v>
      </c>
      <c r="OW103" s="285"/>
      <c r="OX103" s="455">
        <f>OX101-OX57</f>
        <v>1.082671971654023</v>
      </c>
      <c r="OY103" s="285"/>
      <c r="OZ103" s="455">
        <f>OZ101-OZ57</f>
        <v>1.1591259836898331</v>
      </c>
      <c r="PA103" s="285"/>
      <c r="PB103" s="455">
        <f>PB101-PB57</f>
        <v>1.2348282744213335</v>
      </c>
      <c r="PC103" s="285"/>
      <c r="PD103" s="455">
        <f>PD101-PD57</f>
        <v>1.2995774482367732</v>
      </c>
      <c r="PE103" s="285"/>
      <c r="PF103" s="455">
        <f>PF101-PF57</f>
        <v>1.5680082020499073</v>
      </c>
      <c r="PG103" s="285"/>
      <c r="PH103" s="455">
        <f>PH101-PH57</f>
        <v>2.1589033226317329</v>
      </c>
      <c r="PI103" s="285"/>
      <c r="PJ103" s="455">
        <f>PJ101-PJ57</f>
        <v>2.0970195377442904</v>
      </c>
      <c r="PK103" s="285"/>
      <c r="PL103" s="455">
        <f>PL101-PL57</f>
        <v>2.0318803891717621</v>
      </c>
      <c r="PM103" s="285"/>
      <c r="PN103" s="455">
        <f>PN101-PN57</f>
        <v>2.1951879159989671</v>
      </c>
      <c r="PO103" s="285"/>
      <c r="PP103" s="455">
        <f>PP101-PP57</f>
        <v>2.1951879159989671</v>
      </c>
      <c r="PR103" s="285"/>
      <c r="PS103" s="455">
        <f>PS101-PS57</f>
        <v>3.7346472203919747</v>
      </c>
      <c r="PT103" s="285"/>
      <c r="PU103" s="455">
        <f>PU101-PU57</f>
        <v>4.0281715623669649</v>
      </c>
      <c r="PV103" s="285"/>
      <c r="PW103" s="455">
        <f>PW101-PW57</f>
        <v>3.7346472203919747</v>
      </c>
      <c r="PX103" s="285"/>
      <c r="PY103" s="455">
        <f>PY101-PY57</f>
        <v>4.0281715623669649</v>
      </c>
      <c r="PZ103" s="285"/>
      <c r="QA103" s="455">
        <f>QA101-QA57</f>
        <v>3.691707465819289</v>
      </c>
      <c r="QB103" s="285"/>
      <c r="QC103" s="455">
        <f>QC101-QC57</f>
        <v>3.9889008620689657</v>
      </c>
      <c r="QF103" s="285"/>
      <c r="QG103" s="455">
        <f>QG101-QG57</f>
        <v>3.1318752660706686</v>
      </c>
      <c r="QH103" s="285"/>
      <c r="QI103" s="455">
        <f>QI101-QI57</f>
        <v>3.4034802043422734</v>
      </c>
      <c r="QJ103" s="285"/>
      <c r="QK103" s="455">
        <f>QK101-QK57</f>
        <v>3.1318752660706686</v>
      </c>
      <c r="QL103" s="285"/>
      <c r="QM103" s="455">
        <f>QM101-QM57</f>
        <v>3.4034802043422734</v>
      </c>
      <c r="QN103" s="285"/>
      <c r="QO103" s="455">
        <f>QO101-QO57</f>
        <v>2.3318752660706688</v>
      </c>
      <c r="QP103" s="285"/>
      <c r="QQ103" s="455">
        <f>QQ101-QQ57</f>
        <v>2.6034802043422736</v>
      </c>
    </row>
    <row r="104" spans="1:459" x14ac:dyDescent="0.45">
      <c r="A104" s="871"/>
      <c r="B104" s="457" t="s">
        <v>404</v>
      </c>
      <c r="C104" s="458"/>
      <c r="D104" s="459"/>
      <c r="E104" s="460"/>
      <c r="F104" s="461"/>
      <c r="G104" s="462">
        <f>G103/G69</f>
        <v>-0.33804330015249795</v>
      </c>
      <c r="H104" s="461"/>
      <c r="I104" s="462">
        <f>I103/I69</f>
        <v>-3.3942550117839303E-2</v>
      </c>
      <c r="J104" s="461"/>
      <c r="K104" s="462">
        <f>K103/K69</f>
        <v>0.17524346716638772</v>
      </c>
      <c r="L104" s="461"/>
      <c r="M104" s="462">
        <f>M103/M69</f>
        <v>0.17524346716638772</v>
      </c>
      <c r="N104" s="461"/>
      <c r="O104" s="462">
        <f>O103/O69</f>
        <v>0.21103644062706514</v>
      </c>
      <c r="P104" s="461"/>
      <c r="Q104" s="462">
        <f>Q103/Q69</f>
        <v>0.24061407250573849</v>
      </c>
      <c r="R104" s="461"/>
      <c r="S104" s="462">
        <f>S103/S69</f>
        <v>0.18114531150681554</v>
      </c>
      <c r="T104" s="461"/>
      <c r="U104" s="462">
        <f>U103/U69</f>
        <v>0.20829239640969896</v>
      </c>
      <c r="V104" s="461"/>
      <c r="W104" s="462">
        <f>W103/W69</f>
        <v>0.20829239640969896</v>
      </c>
      <c r="X104" s="461"/>
      <c r="Y104" s="462">
        <f>Y103/Y69</f>
        <v>0.21144834180984584</v>
      </c>
      <c r="Z104" s="461"/>
      <c r="AA104" s="462">
        <f>AA103/AA69</f>
        <v>0.22176342539327043</v>
      </c>
      <c r="AB104" s="461"/>
      <c r="AC104" s="462">
        <f>AC103/AC69</f>
        <v>0.17044402356902363</v>
      </c>
      <c r="AD104" s="461"/>
      <c r="AE104" s="462">
        <f>AE103/AE69</f>
        <v>0.18335040148365525</v>
      </c>
      <c r="AF104" s="461"/>
      <c r="AG104" s="462">
        <f>AG103/AG69</f>
        <v>0.32093660574049332</v>
      </c>
      <c r="AH104" s="461"/>
      <c r="AI104" s="462">
        <f>AI103/AI69</f>
        <v>0.29949596774193549</v>
      </c>
      <c r="AJ104" s="461"/>
      <c r="AK104" s="462">
        <f>AK103/AK69</f>
        <v>0.33002937095725665</v>
      </c>
      <c r="AL104" s="461"/>
      <c r="AM104" s="462">
        <f>AM103/AM69</f>
        <v>0.31181504255515369</v>
      </c>
      <c r="AN104" s="461"/>
      <c r="AO104" s="462">
        <f>AO103/AO69</f>
        <v>0.29592318034052473</v>
      </c>
      <c r="AP104" s="461"/>
      <c r="AQ104" s="462">
        <f>AQ103/AQ69</f>
        <v>0.27300549778247885</v>
      </c>
      <c r="AR104" s="461"/>
      <c r="AS104" s="462">
        <f>AS103/AS69</f>
        <v>0.24556610214396338</v>
      </c>
      <c r="AT104" s="461"/>
      <c r="AU104" s="462">
        <f>AU103/AU69</f>
        <v>0.27635932246461792</v>
      </c>
      <c r="AV104" s="461"/>
      <c r="AW104" s="462">
        <f>AW103/AW69</f>
        <v>0.31006385096957345</v>
      </c>
      <c r="AX104" s="461"/>
      <c r="AY104" s="462">
        <f>AY103/AY69</f>
        <v>0.34434574289650882</v>
      </c>
      <c r="AZ104" s="461"/>
      <c r="BA104" s="462">
        <f>BA103/BA69</f>
        <v>0.3548357259251505</v>
      </c>
      <c r="BB104" s="461"/>
      <c r="BC104" s="462">
        <f>BC103/BC69</f>
        <v>0.35515117928928236</v>
      </c>
      <c r="BD104" s="461"/>
      <c r="BE104" s="462">
        <f>BE103/BE69</f>
        <v>0.35703830110967344</v>
      </c>
      <c r="BF104" s="461"/>
      <c r="BG104" s="462">
        <f>BG103/BG69</f>
        <v>0.38763342311876603</v>
      </c>
      <c r="BH104" s="461"/>
      <c r="BI104" s="462">
        <f>BI103/BI69</f>
        <v>0.41472536402182464</v>
      </c>
      <c r="BJ104" s="461"/>
      <c r="BK104" s="462">
        <f>BK103/BK69</f>
        <v>0.41885330263453369</v>
      </c>
      <c r="BL104" s="461"/>
      <c r="BM104" s="462">
        <f>BM103/BM69</f>
        <v>0.35611886296033801</v>
      </c>
      <c r="BN104" s="461"/>
      <c r="BO104" s="462">
        <f>BO103/BO69</f>
        <v>0.34264241126352124</v>
      </c>
      <c r="BP104" s="461"/>
      <c r="BQ104" s="462">
        <f>BQ103/BQ69</f>
        <v>0.32401123085625005</v>
      </c>
      <c r="BR104" s="461"/>
      <c r="BS104" s="462">
        <f>BS103/BS69</f>
        <v>0.37225486352959958</v>
      </c>
      <c r="BT104" s="461"/>
      <c r="BU104" s="462">
        <f>BU103/BU69</f>
        <v>0.34601593571029671</v>
      </c>
      <c r="BV104" s="461"/>
      <c r="BW104" s="462">
        <f>BW103/BW69</f>
        <v>0.3428455757533353</v>
      </c>
      <c r="BX104" s="461"/>
      <c r="BY104" s="462">
        <f>BY103/BY69</f>
        <v>0.37733795741420234</v>
      </c>
      <c r="BZ104" s="461"/>
      <c r="CA104" s="462">
        <f>CA103/CA69</f>
        <v>0.35929501053398882</v>
      </c>
      <c r="CB104" s="461"/>
      <c r="CC104" s="462">
        <f>CC103/CC69</f>
        <v>0.39140717068915359</v>
      </c>
      <c r="CD104" s="461"/>
      <c r="CE104" s="462">
        <f>CE103/CE69</f>
        <v>0.37390032981654103</v>
      </c>
      <c r="CF104" s="461"/>
      <c r="CG104" s="462">
        <f>CG103/CG69</f>
        <v>0.31912904951486931</v>
      </c>
      <c r="CH104" s="461"/>
      <c r="CI104" s="462">
        <f>CI103/CI69</f>
        <v>0.32955852750787401</v>
      </c>
      <c r="CJ104" s="461"/>
      <c r="CK104" s="462">
        <f>CK103/CK69</f>
        <v>0.33847899843217566</v>
      </c>
      <c r="CL104" s="461"/>
      <c r="CM104" s="462">
        <f>CM103/CM69</f>
        <v>0.35145947843702724</v>
      </c>
      <c r="CN104" s="461"/>
      <c r="CO104" s="462">
        <f>CO103/CO69</f>
        <v>0.35278976327675132</v>
      </c>
      <c r="CP104" s="461"/>
      <c r="CQ104" s="462">
        <f>CQ103/CQ69</f>
        <v>0.35021853391562385</v>
      </c>
      <c r="CR104" s="461"/>
      <c r="CS104" s="462">
        <f>CS103/CS69</f>
        <v>0.35021853391562385</v>
      </c>
      <c r="CT104" s="464"/>
      <c r="CU104" s="461"/>
      <c r="CV104" s="462">
        <f>CV103/CV69</f>
        <v>0.22276155060099029</v>
      </c>
      <c r="CW104" s="461"/>
      <c r="CX104" s="462">
        <f>CX103/CX69</f>
        <v>0.18218667171465133</v>
      </c>
      <c r="CY104" s="461"/>
      <c r="CZ104" s="462">
        <f>CZ103/CZ69</f>
        <v>0.18635918869569909</v>
      </c>
      <c r="DA104" s="461"/>
      <c r="DB104" s="462">
        <f>DB103/DB69</f>
        <v>9.4694864654168071E-2</v>
      </c>
      <c r="DC104" s="461"/>
      <c r="DD104" s="462">
        <f>DD103/DD69</f>
        <v>0.15537715899228688</v>
      </c>
      <c r="DE104" s="461"/>
      <c r="DF104" s="462">
        <f>DF103/DF69</f>
        <v>0.29346426442129858</v>
      </c>
      <c r="DG104" s="461"/>
      <c r="DH104" s="462">
        <f>DH103/DH69</f>
        <v>0.24756551980797556</v>
      </c>
      <c r="DI104" s="461"/>
      <c r="DJ104" s="462">
        <f>DJ103/DJ69</f>
        <v>0.31252630283083316</v>
      </c>
      <c r="DK104" s="461"/>
      <c r="DL104" s="462">
        <f>DL103/DL69</f>
        <v>0.27710105451723088</v>
      </c>
      <c r="DM104" s="461"/>
      <c r="DN104" s="462">
        <f>DN103/DN69</f>
        <v>0.28174260983344268</v>
      </c>
      <c r="DO104" s="461"/>
      <c r="DP104" s="462">
        <f>DP103/DP69</f>
        <v>0.28759419709236256</v>
      </c>
      <c r="DQ104" s="461"/>
      <c r="DR104" s="462">
        <f>DR103/DR69</f>
        <v>0.22301641628671665</v>
      </c>
      <c r="DS104" s="461"/>
      <c r="DT104" s="462">
        <f>DT103/DT69</f>
        <v>0.26204298898464407</v>
      </c>
      <c r="DU104" s="461"/>
      <c r="DV104" s="462">
        <f>DV103/DV69</f>
        <v>0.29827367431085483</v>
      </c>
      <c r="DW104" s="461"/>
      <c r="DX104" s="462">
        <f>DX103/DX69</f>
        <v>0.30323257444521734</v>
      </c>
      <c r="DY104" s="461"/>
      <c r="DZ104" s="462">
        <f>DZ103/DZ69</f>
        <v>0.32870593651953872</v>
      </c>
      <c r="EA104" s="461"/>
      <c r="EB104" s="462">
        <f>EB103/EB69</f>
        <v>0.31148068824134473</v>
      </c>
      <c r="EC104" s="461"/>
      <c r="ED104" s="462">
        <f>ED103/ED69</f>
        <v>0.33759823626708463</v>
      </c>
      <c r="EE104" s="461"/>
      <c r="EF104" s="462">
        <f>EF103/EF69</f>
        <v>0.35246502048938361</v>
      </c>
      <c r="EG104" s="461"/>
      <c r="EH104" s="462">
        <f>EH103/EH69</f>
        <v>0.34669597334252211</v>
      </c>
      <c r="EI104" s="461"/>
      <c r="EJ104" s="462">
        <f>EJ103/EJ69</f>
        <v>0.34249835306265219</v>
      </c>
      <c r="EK104" s="461"/>
      <c r="EL104" s="462">
        <f>EL103/EL69</f>
        <v>0.32713504785207015</v>
      </c>
      <c r="EM104" s="461"/>
      <c r="EN104" s="462">
        <f>EN103/EN69</f>
        <v>0.36156570520192971</v>
      </c>
      <c r="EO104" s="461"/>
      <c r="EP104" s="462">
        <f>EP103/EP69</f>
        <v>0.29814538973866705</v>
      </c>
      <c r="EQ104" s="461"/>
      <c r="ER104" s="462">
        <f>ER103/ER69</f>
        <v>0.36047240790643775</v>
      </c>
      <c r="ES104" s="461"/>
      <c r="ET104" s="462">
        <f>ET103/ET69</f>
        <v>0.33785504489707818</v>
      </c>
      <c r="EU104" s="461"/>
      <c r="EV104" s="462">
        <f>EV103/EV69</f>
        <v>0.34649332999961052</v>
      </c>
      <c r="EW104" s="461"/>
      <c r="EX104" s="462">
        <f>EX103/EX69</f>
        <v>0.35458273269508456</v>
      </c>
      <c r="EY104" s="461"/>
      <c r="EZ104" s="462">
        <f>EZ103/EZ69</f>
        <v>0.33815848518188318</v>
      </c>
      <c r="FA104" s="461"/>
      <c r="FB104" s="462">
        <f>FB103/FB69</f>
        <v>0.29828746294795505</v>
      </c>
      <c r="FC104" s="461"/>
      <c r="FD104" s="462">
        <f>FD103/FD69</f>
        <v>0.31815196380228605</v>
      </c>
      <c r="FE104" s="461"/>
      <c r="FF104" s="462">
        <f>FF103/FF69</f>
        <v>0.38226438068011898</v>
      </c>
      <c r="FG104" s="461"/>
      <c r="FH104" s="462">
        <f>FH103/FH69</f>
        <v>0.35594469089607245</v>
      </c>
      <c r="FI104" s="461"/>
      <c r="FJ104" s="462">
        <f>FJ103/FJ69</f>
        <v>0.34329153115050082</v>
      </c>
      <c r="FK104" s="461"/>
      <c r="FL104" s="462">
        <f>FL103/FL69</f>
        <v>0.34131944644547441</v>
      </c>
      <c r="FM104" s="461"/>
      <c r="FN104" s="462">
        <f>FN103/FN69</f>
        <v>0.33698908895496266</v>
      </c>
      <c r="FO104" s="461"/>
      <c r="FP104" s="462">
        <f>FP103/FP69</f>
        <v>0.33698908895496266</v>
      </c>
      <c r="FQ104" s="465"/>
      <c r="FR104" s="461"/>
      <c r="FS104" s="462">
        <f>FS103/FS69</f>
        <v>8.7072313075920199E-2</v>
      </c>
      <c r="FT104" s="461"/>
      <c r="FU104" s="462">
        <f>FU103/FU69</f>
        <v>9.6118650531018826E-2</v>
      </c>
      <c r="FV104" s="461"/>
      <c r="FW104" s="462">
        <f>FW103/FW69</f>
        <v>0.10276371141701106</v>
      </c>
      <c r="FX104" s="461"/>
      <c r="FY104" s="462">
        <f>FY103/FY69</f>
        <v>3.5023928752764458E-2</v>
      </c>
      <c r="FZ104" s="461"/>
      <c r="GA104" s="462">
        <f>GA103/GA69</f>
        <v>6.4351929816156103E-2</v>
      </c>
      <c r="GB104" s="461"/>
      <c r="GC104" s="462">
        <f>GC103/GC69</f>
        <v>6.4351929816156103E-2</v>
      </c>
      <c r="GD104" s="461"/>
      <c r="GE104" s="462">
        <f>GE103/GE69</f>
        <v>6.5326959055794762E-2</v>
      </c>
      <c r="GF104" s="461"/>
      <c r="GG104" s="462">
        <f>GG103/GG69</f>
        <v>7.988830504403778E-2</v>
      </c>
      <c r="GH104" s="461"/>
      <c r="GI104" s="462">
        <f>GI103/GI69</f>
        <v>0.12776078088578086</v>
      </c>
      <c r="GJ104" s="461"/>
      <c r="GK104" s="462">
        <f>GK103/GK69</f>
        <v>0.13381051760512147</v>
      </c>
      <c r="GL104" s="461"/>
      <c r="GM104" s="462">
        <f>GM103/GM69</f>
        <v>0.26476617649891049</v>
      </c>
      <c r="GN104" s="461"/>
      <c r="GO104" s="462">
        <f>GO103/GO69</f>
        <v>0.2473043844426297</v>
      </c>
      <c r="GP104" s="461"/>
      <c r="GQ104" s="462">
        <f>GQ103/GQ69</f>
        <v>0.27560316923934797</v>
      </c>
      <c r="GR104" s="461"/>
      <c r="GS104" s="462">
        <f>GS103/GS69</f>
        <v>0.2570019464791557</v>
      </c>
      <c r="GT104" s="461"/>
      <c r="GU104" s="462">
        <f>GU103/GU69</f>
        <v>0.2644315280827092</v>
      </c>
      <c r="GV104" s="461"/>
      <c r="GW104" s="462">
        <f>GW103/GW69</f>
        <v>0.15767997202471337</v>
      </c>
      <c r="GX104" s="461"/>
      <c r="GY104" s="462">
        <f>GY103/GY69</f>
        <v>0.17920554161210539</v>
      </c>
      <c r="GZ104" s="461"/>
      <c r="HA104" s="462">
        <f>HA103/HA69</f>
        <v>0.21402712469522819</v>
      </c>
      <c r="HB104" s="461"/>
      <c r="HC104" s="462">
        <f>HC103/HC69</f>
        <v>0.21568934172762044</v>
      </c>
      <c r="HD104" s="461"/>
      <c r="HE104" s="462">
        <f>HE103/HE69</f>
        <v>0.30123758815815893</v>
      </c>
      <c r="HF104" s="461"/>
      <c r="HG104" s="462">
        <f>HG103/HG69</f>
        <v>0.29421951590620576</v>
      </c>
      <c r="HH104" s="461"/>
      <c r="HI104" s="462">
        <f>HI103/HI69</f>
        <v>0.30299201661315922</v>
      </c>
      <c r="HJ104" s="461"/>
      <c r="HK104" s="462">
        <f>HK103/HK69</f>
        <v>0.30763514229110644</v>
      </c>
      <c r="HL104" s="461"/>
      <c r="HM104" s="462">
        <f>HM103/HM69</f>
        <v>0.33174604202594915</v>
      </c>
      <c r="HN104" s="461"/>
      <c r="HO104" s="462">
        <f>HO103/HO69</f>
        <v>0.32845613522071826</v>
      </c>
      <c r="HP104" s="461"/>
      <c r="HQ104" s="462">
        <f>HQ103/HQ69</f>
        <v>0.32409114452723503</v>
      </c>
      <c r="HR104" s="461"/>
      <c r="HS104" s="462">
        <f>HS103/HS69</f>
        <v>0.29142126943726115</v>
      </c>
      <c r="HT104" s="461"/>
      <c r="HU104" s="462">
        <f>HU103/HU69</f>
        <v>0.30141867592169047</v>
      </c>
      <c r="HV104" s="461"/>
      <c r="HW104" s="462">
        <f>HW103/HW69</f>
        <v>0.27938299859555071</v>
      </c>
      <c r="HX104" s="461"/>
      <c r="HY104" s="462">
        <f>HY103/HY69</f>
        <v>0.19949047427999786</v>
      </c>
      <c r="HZ104" s="461"/>
      <c r="IA104" s="462">
        <f>IA103/IA69</f>
        <v>0.18372551932799708</v>
      </c>
      <c r="IB104" s="461"/>
      <c r="IC104" s="462">
        <f>IC103/IC69</f>
        <v>0.30419370448262767</v>
      </c>
      <c r="ID104" s="461"/>
      <c r="IE104" s="462">
        <f>IE103/IE69</f>
        <v>0.31545934529523728</v>
      </c>
      <c r="IF104" s="461"/>
      <c r="IG104" s="462">
        <f>IG103/IG69</f>
        <v>0.31157420751444265</v>
      </c>
      <c r="IH104" s="461"/>
      <c r="II104" s="462">
        <f>II103/II69</f>
        <v>0.29261313097764496</v>
      </c>
      <c r="IJ104" s="461"/>
      <c r="IK104" s="462">
        <f>IK103/IK69</f>
        <v>0.2728253477290159</v>
      </c>
      <c r="IL104" s="461"/>
      <c r="IM104" s="462">
        <f>IM103/IM69</f>
        <v>0.2838843179264815</v>
      </c>
      <c r="IN104" s="461"/>
      <c r="IO104" s="462">
        <f>IO103/IO69</f>
        <v>0.29452146477964491</v>
      </c>
      <c r="IP104" s="461"/>
      <c r="IQ104" s="462">
        <f>IQ103/IQ69</f>
        <v>0.30361955763576048</v>
      </c>
      <c r="IR104" s="461"/>
      <c r="IS104" s="462">
        <f>IS103/IS69</f>
        <v>0.29583525794437204</v>
      </c>
      <c r="IT104" s="461"/>
      <c r="IU104" s="462">
        <f>IU103/IU69</f>
        <v>0.28001573703241034</v>
      </c>
      <c r="IV104" s="461"/>
      <c r="IW104" s="462">
        <f>IW103/IW69</f>
        <v>0.30973179802114448</v>
      </c>
      <c r="IX104" s="461"/>
      <c r="IY104" s="462">
        <f>IY103/IY69</f>
        <v>0.30707460406534487</v>
      </c>
      <c r="IZ104" s="460"/>
      <c r="JA104" s="461"/>
      <c r="JB104" s="462">
        <f>JB103/JB69</f>
        <v>0.25348208648989901</v>
      </c>
      <c r="JC104" s="461"/>
      <c r="JD104" s="462">
        <f>JD103/JD69</f>
        <v>0.24456271576524743</v>
      </c>
      <c r="JE104" s="465"/>
      <c r="JF104" s="461"/>
      <c r="JG104" s="462">
        <f>JG103/JG69</f>
        <v>0.17892697303044749</v>
      </c>
      <c r="JH104" s="461"/>
      <c r="JI104" s="462">
        <f>JI103/JI69</f>
        <v>0.19061276152294249</v>
      </c>
      <c r="JJ104" s="461"/>
      <c r="JK104" s="462">
        <f>JK103/JK69</f>
        <v>0.19722668370021576</v>
      </c>
      <c r="JL104" s="461"/>
      <c r="JM104" s="462">
        <f>JM103/JM69</f>
        <v>0.13326143607478844</v>
      </c>
      <c r="JN104" s="461"/>
      <c r="JO104" s="462">
        <f>JO103/JO69</f>
        <v>0.17453470102360799</v>
      </c>
      <c r="JP104" s="461"/>
      <c r="JQ104" s="462">
        <f>JQ103/JQ69</f>
        <v>0.19705102380424416</v>
      </c>
      <c r="JR104" s="461"/>
      <c r="JS104" s="462">
        <f>JS103/JS69</f>
        <v>0.11558679415822265</v>
      </c>
      <c r="JT104" s="461"/>
      <c r="JU104" s="462">
        <f>JU103/JU69</f>
        <v>0.1568131467146246</v>
      </c>
      <c r="JV104" s="461"/>
      <c r="JW104" s="462">
        <f>JW103/JW69</f>
        <v>0.2593573026760318</v>
      </c>
      <c r="JX104" s="461"/>
      <c r="JY104" s="462">
        <f>JY103/JY69</f>
        <v>0.20303828276178501</v>
      </c>
      <c r="JZ104" s="461"/>
      <c r="KA104" s="462">
        <f>KA103/KA69</f>
        <v>0.2522366601251394</v>
      </c>
      <c r="KB104" s="461"/>
      <c r="KC104" s="462">
        <f>KC103/KC69</f>
        <v>0.23999683022710963</v>
      </c>
      <c r="KD104" s="461"/>
      <c r="KE104" s="462">
        <f>KE103/KE69</f>
        <v>0.24637668806002358</v>
      </c>
      <c r="KF104" s="461"/>
      <c r="KG104" s="462">
        <f>KG103/KG69</f>
        <v>0.17082664649475407</v>
      </c>
      <c r="KH104" s="461"/>
      <c r="KI104" s="462">
        <f>KI103/KI69</f>
        <v>0.17769176636171705</v>
      </c>
      <c r="KJ104" s="461"/>
      <c r="KK104" s="462">
        <f>KK103/KK69</f>
        <v>0.21506941334527535</v>
      </c>
      <c r="KL104" s="461"/>
      <c r="KM104" s="462">
        <f>KM103/KM69</f>
        <v>0.22540460050833458</v>
      </c>
      <c r="KN104" s="461"/>
      <c r="KO104" s="462">
        <f>KO103/KO69</f>
        <v>0.26219639834395619</v>
      </c>
      <c r="KP104" s="461"/>
      <c r="KQ104" s="462">
        <f>KQ103/KQ69</f>
        <v>0.23458011972797974</v>
      </c>
      <c r="KR104" s="461"/>
      <c r="KS104" s="462">
        <f>KS103/KS69</f>
        <v>0.27069020017112594</v>
      </c>
      <c r="KT104" s="461"/>
      <c r="KU104" s="462">
        <f>KU103/KU69</f>
        <v>0.27454929971543268</v>
      </c>
      <c r="KV104" s="461"/>
      <c r="KW104" s="462">
        <f>KW103/KW69</f>
        <v>0.2990431187542803</v>
      </c>
      <c r="KX104" s="461"/>
      <c r="KY104" s="462">
        <f>KY103/KY69</f>
        <v>0.32003646309947653</v>
      </c>
      <c r="KZ104" s="461"/>
      <c r="LA104" s="462">
        <f>LA103/LA69</f>
        <v>0.33889715035717161</v>
      </c>
      <c r="LB104" s="461"/>
      <c r="LC104" s="462">
        <f>LC103/LC69</f>
        <v>0.27349122068652004</v>
      </c>
      <c r="LD104" s="461"/>
      <c r="LE104" s="462">
        <f>LE103/LE69</f>
        <v>0.26662389922171575</v>
      </c>
      <c r="LF104" s="461"/>
      <c r="LG104" s="462">
        <f>LG103/LG69</f>
        <v>0.19658991585222843</v>
      </c>
      <c r="LH104" s="461"/>
      <c r="LI104" s="462">
        <f>LI103/LI69</f>
        <v>0.28933563264676287</v>
      </c>
      <c r="LJ104" s="461"/>
      <c r="LK104" s="462">
        <f>LK103/LK69</f>
        <v>0.24394899927291505</v>
      </c>
      <c r="LL104" s="461"/>
      <c r="LM104" s="462">
        <f>LM103/LM69</f>
        <v>0.29215852542102699</v>
      </c>
      <c r="LN104" s="461"/>
      <c r="LO104" s="462">
        <f>LO103/LO69</f>
        <v>0.30588006223174291</v>
      </c>
      <c r="LP104" s="461"/>
      <c r="LQ104" s="462">
        <f>LQ103/LQ69</f>
        <v>0.28578243511836926</v>
      </c>
      <c r="LR104" s="461"/>
      <c r="LS104" s="462">
        <f>LS103/LS69</f>
        <v>0.25320018305072212</v>
      </c>
      <c r="LT104" s="461"/>
      <c r="LU104" s="462">
        <f>LU103/LU69</f>
        <v>0.23165031854333018</v>
      </c>
      <c r="LV104" s="461"/>
      <c r="LW104" s="462">
        <f>LW103/LW69</f>
        <v>0.24335512526689176</v>
      </c>
      <c r="LX104" s="461"/>
      <c r="LY104" s="462">
        <f>LY103/LY69</f>
        <v>0.25494484643323206</v>
      </c>
      <c r="LZ104" s="461"/>
      <c r="MA104" s="462">
        <f>MA103/MA69</f>
        <v>0.26485768873985988</v>
      </c>
      <c r="MB104" s="461"/>
      <c r="MC104" s="462">
        <f>MC103/MC69</f>
        <v>0.26102819527999244</v>
      </c>
      <c r="MD104" s="461"/>
      <c r="ME104" s="462">
        <f>ME103/ME69</f>
        <v>0.3415053520053376</v>
      </c>
      <c r="MF104" s="461"/>
      <c r="MG104" s="462">
        <f>MG103/MG69</f>
        <v>0.27642040899616654</v>
      </c>
      <c r="MH104" s="465"/>
      <c r="MI104" s="461"/>
      <c r="MJ104" s="462">
        <f>MJ103/MJ69</f>
        <v>7.0786541677597348E-2</v>
      </c>
      <c r="MK104" s="461"/>
      <c r="ML104" s="462">
        <f>ML103/ML69</f>
        <v>7.6691573874875282E-2</v>
      </c>
      <c r="MM104" s="461"/>
      <c r="MN104" s="462">
        <f>MN103/MN69</f>
        <v>7.8918242097235913E-2</v>
      </c>
      <c r="MO104" s="461"/>
      <c r="MP104" s="462">
        <f>MP103/MP69</f>
        <v>2.219473627672104E-3</v>
      </c>
      <c r="MQ104" s="461"/>
      <c r="MR104" s="462">
        <f>MR103/MR69</f>
        <v>7.0408836478353942E-2</v>
      </c>
      <c r="MS104" s="461"/>
      <c r="MT104" s="462">
        <f>MT103/MT69</f>
        <v>5.8800469283356201E-2</v>
      </c>
      <c r="MU104" s="461"/>
      <c r="MV104" s="462">
        <f>MV103/MV69</f>
        <v>2.6259563236957495E-2</v>
      </c>
      <c r="MW104" s="461"/>
      <c r="MX104" s="462">
        <f>MX103/MX69</f>
        <v>0.17300884826239785</v>
      </c>
      <c r="MY104" s="461"/>
      <c r="MZ104" s="462">
        <f>MZ103/MZ69</f>
        <v>0.28088734330587356</v>
      </c>
      <c r="NA104" s="461"/>
      <c r="NB104" s="462">
        <f>NB103/NB69</f>
        <v>0.24231255107570446</v>
      </c>
      <c r="NC104" s="461"/>
      <c r="ND104" s="462">
        <f>ND103/ND69</f>
        <v>0.27648850410672265</v>
      </c>
      <c r="NE104" s="461"/>
      <c r="NF104" s="462">
        <f>NF103/NF69</f>
        <v>0.28090105401444948</v>
      </c>
      <c r="NG104" s="461"/>
      <c r="NH104" s="462">
        <f>NH103/NH69</f>
        <v>0.28026453064146495</v>
      </c>
      <c r="NI104" s="461"/>
      <c r="NJ104" s="462">
        <f>NJ103/NJ69</f>
        <v>0.2231251261672989</v>
      </c>
      <c r="NK104" s="461"/>
      <c r="NL104" s="462">
        <f>NL103/NL69</f>
        <v>0.20891470485790972</v>
      </c>
      <c r="NM104" s="461"/>
      <c r="NN104" s="462">
        <f>NN103/NN69</f>
        <v>0.24487312736436836</v>
      </c>
      <c r="NO104" s="461"/>
      <c r="NP104" s="462">
        <f>NP103/NP69</f>
        <v>0.27040455068229147</v>
      </c>
      <c r="NQ104" s="461"/>
      <c r="NR104" s="462">
        <f>NR103/NR69</f>
        <v>0.3076419736937594</v>
      </c>
      <c r="NS104" s="461"/>
      <c r="NT104" s="462">
        <f>NT103/NT69</f>
        <v>0.31777635025262396</v>
      </c>
      <c r="NU104" s="461"/>
      <c r="NV104" s="462">
        <f>NV103/NV69</f>
        <v>0.23263280794023905</v>
      </c>
      <c r="NW104" s="461"/>
      <c r="NX104" s="462">
        <f>NX103/NX69</f>
        <v>0.31421855596820503</v>
      </c>
      <c r="NY104" s="461"/>
      <c r="NZ104" s="462">
        <f>NZ103/NZ69</f>
        <v>0.28431203866358579</v>
      </c>
      <c r="OA104" s="461"/>
      <c r="OB104" s="462">
        <f>OB103/OB69</f>
        <v>0.34699251538706116</v>
      </c>
      <c r="OC104" s="461"/>
      <c r="OD104" s="462">
        <f>OD103/OD69</f>
        <v>0.35338832151798122</v>
      </c>
      <c r="OE104" s="461"/>
      <c r="OF104" s="462">
        <f>OF103/OF69</f>
        <v>0.30184044695077072</v>
      </c>
      <c r="OG104" s="461"/>
      <c r="OH104" s="462">
        <f>OH103/OH69</f>
        <v>0.28838470549169104</v>
      </c>
      <c r="OI104" s="461"/>
      <c r="OJ104" s="462">
        <f>OJ103/OJ69</f>
        <v>0.26060755005972713</v>
      </c>
      <c r="OK104" s="461"/>
      <c r="OL104" s="462">
        <f>OL103/OL69</f>
        <v>0.29237399290482907</v>
      </c>
      <c r="OM104" s="461"/>
      <c r="ON104" s="462">
        <f>ON103/ON69</f>
        <v>0.25843762043242169</v>
      </c>
      <c r="OO104" s="461"/>
      <c r="OP104" s="462">
        <f>OP103/OP69</f>
        <v>0.28050809614621247</v>
      </c>
      <c r="OQ104" s="461"/>
      <c r="OR104" s="462">
        <f>OR103/OR69</f>
        <v>0.28407782284381589</v>
      </c>
      <c r="OS104" s="461"/>
      <c r="OT104" s="462">
        <f>OT103/OT69</f>
        <v>0.27255346138795838</v>
      </c>
      <c r="OU104" s="461"/>
      <c r="OV104" s="462">
        <f>OV103/OV69</f>
        <v>0.18536854535490815</v>
      </c>
      <c r="OW104" s="461"/>
      <c r="OX104" s="462">
        <f>OX103/OX69</f>
        <v>0.16404120782636714</v>
      </c>
      <c r="OY104" s="461"/>
      <c r="OZ104" s="462">
        <f>OZ103/OZ69</f>
        <v>0.1756251490439141</v>
      </c>
      <c r="PA104" s="461"/>
      <c r="PB104" s="462">
        <f>PB103/PB69</f>
        <v>0.18709519309414144</v>
      </c>
      <c r="PC104" s="461"/>
      <c r="PD104" s="462">
        <f>PD103/PD69</f>
        <v>0.19690567397526867</v>
      </c>
      <c r="PE104" s="461"/>
      <c r="PF104" s="462">
        <f>PF103/PF69</f>
        <v>0.23757700031059203</v>
      </c>
      <c r="PG104" s="461"/>
      <c r="PH104" s="462">
        <f>PH103/PH69</f>
        <v>0.32710656403511107</v>
      </c>
      <c r="PI104" s="461"/>
      <c r="PJ104" s="462">
        <f>PJ103/PJ69</f>
        <v>0.31773023299155917</v>
      </c>
      <c r="PK104" s="461"/>
      <c r="PL104" s="462">
        <f>PL103/PL69</f>
        <v>0.30786066502602455</v>
      </c>
      <c r="PM104" s="461"/>
      <c r="PN104" s="462">
        <f>PN103/PN69</f>
        <v>0.33260422969681319</v>
      </c>
      <c r="PO104" s="461"/>
      <c r="PP104" s="462">
        <f>PP103/PP69</f>
        <v>0.33260422969681319</v>
      </c>
      <c r="PQ104" s="466"/>
      <c r="PR104" s="461"/>
      <c r="PS104" s="462">
        <f>PS103/PS69</f>
        <v>0.48501911953142529</v>
      </c>
      <c r="PT104" s="461"/>
      <c r="PU104" s="462">
        <f>PU103/PU69</f>
        <v>0.5231391639437617</v>
      </c>
      <c r="PV104" s="461"/>
      <c r="PW104" s="462">
        <f>PW103/PW69</f>
        <v>0.48501911953142529</v>
      </c>
      <c r="PX104" s="461"/>
      <c r="PY104" s="462">
        <f>PY103/PY69</f>
        <v>0.5231391639437617</v>
      </c>
      <c r="PZ104" s="461"/>
      <c r="QA104" s="462">
        <f>QA103/QA69</f>
        <v>0.47944252802847909</v>
      </c>
      <c r="QB104" s="461"/>
      <c r="QC104" s="462">
        <f>QC103/QC69</f>
        <v>0.51803907299596952</v>
      </c>
      <c r="QD104" s="466"/>
      <c r="QE104" s="466"/>
      <c r="QF104" s="461"/>
      <c r="QG104" s="462">
        <f>QG103/QG69</f>
        <v>0.40673704754164525</v>
      </c>
      <c r="QH104" s="461"/>
      <c r="QI104" s="462">
        <f>QI103/QI69</f>
        <v>0.44201041614834718</v>
      </c>
      <c r="QJ104" s="461"/>
      <c r="QK104" s="462">
        <f>QK103/QK69</f>
        <v>0.40673704754164525</v>
      </c>
      <c r="QL104" s="461"/>
      <c r="QM104" s="462">
        <f>QM103/QM69</f>
        <v>0.44201041614834718</v>
      </c>
      <c r="QN104" s="461"/>
      <c r="QO104" s="462">
        <f>QO103/QO69</f>
        <v>0.33795293711169111</v>
      </c>
      <c r="QP104" s="461"/>
      <c r="QQ104" s="462">
        <f>QQ103/QQ69</f>
        <v>0.37731597164380776</v>
      </c>
    </row>
    <row r="105" spans="1:459" x14ac:dyDescent="0.45">
      <c r="A105" s="871"/>
      <c r="B105" s="180" t="s">
        <v>405</v>
      </c>
      <c r="C105" s="458"/>
      <c r="D105" s="459"/>
      <c r="E105" s="460"/>
      <c r="F105" s="461"/>
      <c r="G105" s="462"/>
      <c r="H105" s="461"/>
      <c r="I105" s="462"/>
      <c r="J105" s="461"/>
      <c r="K105" s="462"/>
      <c r="L105" s="461"/>
      <c r="M105" s="462"/>
      <c r="N105" s="461"/>
      <c r="O105" s="462"/>
      <c r="P105" s="461"/>
      <c r="Q105" s="455">
        <f>Q103-Q78</f>
        <v>1.0134820437883167</v>
      </c>
      <c r="R105" s="461"/>
      <c r="S105" s="462"/>
      <c r="T105" s="461"/>
      <c r="U105" s="462"/>
      <c r="V105" s="461"/>
      <c r="W105" s="462"/>
      <c r="X105" s="461"/>
      <c r="Y105" s="462"/>
      <c r="Z105" s="461"/>
      <c r="AA105" s="462"/>
      <c r="AB105" s="461"/>
      <c r="AC105" s="467">
        <f>AC103-AC78-AC28</f>
        <v>0.42984044665155052</v>
      </c>
      <c r="AD105" s="461"/>
      <c r="AE105" s="455">
        <f>AE103-AE78-AE28</f>
        <v>0.58762033045976936</v>
      </c>
      <c r="AF105" s="461"/>
      <c r="AG105" s="455">
        <f>AG103-AG78-AG28</f>
        <v>1.5576030704704777</v>
      </c>
      <c r="AH105" s="461"/>
      <c r="AI105" s="455">
        <f>AI103-AI78-AI28</f>
        <v>1.406446572580645</v>
      </c>
      <c r="AJ105" s="461"/>
      <c r="AK105" s="455">
        <f>AK103-AK78-AK28</f>
        <v>1.6437005293009463</v>
      </c>
      <c r="AL105" s="461"/>
      <c r="AM105" s="455">
        <f>AM103-AM78-AM28</f>
        <v>1.5152895140661207</v>
      </c>
      <c r="AN105" s="461"/>
      <c r="AO105" s="455">
        <f>AO103-AO78-AO28</f>
        <v>1.4032518854529863</v>
      </c>
      <c r="AP105" s="461"/>
      <c r="AQ105" s="455">
        <f>AQ103-AQ78-AQ28</f>
        <v>1.2416822234187628</v>
      </c>
      <c r="AR105" s="461"/>
      <c r="AS105" s="455">
        <f>AS103-AS78-AS28</f>
        <v>1.0482344841672289</v>
      </c>
      <c r="AT105" s="461"/>
      <c r="AU105" s="455">
        <f>AU103-AU78-AU28</f>
        <v>1.3482344841672289</v>
      </c>
      <c r="AV105" s="461"/>
      <c r="AW105" s="455">
        <f>AW103-AW78-AW28</f>
        <v>1.5959627686786517</v>
      </c>
      <c r="AX105" s="461"/>
      <c r="AY105" s="455">
        <f>AY103-AY78-AY28</f>
        <v>1.8479346743416267</v>
      </c>
      <c r="AZ105" s="461"/>
      <c r="BA105" s="455">
        <f>BA103-BA78-BA28</f>
        <v>1.925036049602143</v>
      </c>
      <c r="BB105" s="461"/>
      <c r="BC105" s="455">
        <f>BC103-BC78-BC28</f>
        <v>1.9273546318285122</v>
      </c>
      <c r="BD105" s="461"/>
      <c r="BE105" s="455">
        <f>BE103-BE78-BE28</f>
        <v>1.9412249772083869</v>
      </c>
      <c r="BF105" s="461"/>
      <c r="BG105" s="455">
        <f>BG103-BG78-BG28</f>
        <v>2.1660991239752176</v>
      </c>
      <c r="BH105" s="461"/>
      <c r="BI105" s="455">
        <f>BI103-BI78-BI28</f>
        <v>2.3652248896126977</v>
      </c>
      <c r="BJ105" s="461"/>
      <c r="BK105" s="455">
        <f>BK103-BK78-BK28</f>
        <v>2.3955652384161095</v>
      </c>
      <c r="BL105" s="461"/>
      <c r="BM105" s="455">
        <f>BM103-BM78-BM28</f>
        <v>1.9344671068107713</v>
      </c>
      <c r="BN105" s="461"/>
      <c r="BO105" s="455">
        <f>BO103-BO78-BO28</f>
        <v>1.8354151868391682</v>
      </c>
      <c r="BP105" s="461"/>
      <c r="BQ105" s="455">
        <f>BQ103-BQ78-BQ28</f>
        <v>1.6984760108457249</v>
      </c>
      <c r="BR105" s="461"/>
      <c r="BS105" s="455">
        <f>BS103-BS78-BS28</f>
        <v>2.0530667109948437</v>
      </c>
      <c r="BT105" s="461"/>
      <c r="BU105" s="455">
        <f>BU103-BU78-BU28</f>
        <v>1.8602105915229676</v>
      </c>
      <c r="BV105" s="461"/>
      <c r="BW105" s="455">
        <f>BW103-BW78-BW28</f>
        <v>1.8369084458393015</v>
      </c>
      <c r="BX105" s="461"/>
      <c r="BY105" s="455">
        <f>BY103-BY78-BY28</f>
        <v>2.0904274510466738</v>
      </c>
      <c r="BZ105" s="461"/>
      <c r="CA105" s="455">
        <f>CA103-CA78-CA28</f>
        <v>1.9578117914771049</v>
      </c>
      <c r="CB105" s="461"/>
      <c r="CC105" s="455">
        <f>CC103-CC78-CC28</f>
        <v>2.1938361686175663</v>
      </c>
      <c r="CD105" s="461"/>
      <c r="CE105" s="455">
        <f>CE103-CE78-CE28</f>
        <v>2.0651608882038639</v>
      </c>
      <c r="CF105" s="461"/>
      <c r="CG105" s="455">
        <f>CG103-CG78-CG28</f>
        <v>1.6625919779865763</v>
      </c>
      <c r="CH105" s="461"/>
      <c r="CI105" s="455">
        <f>CI103-CI78-CI28</f>
        <v>1.7392486412351611</v>
      </c>
      <c r="CJ105" s="461"/>
      <c r="CK105" s="455">
        <f>CK103-CK78-CK28</f>
        <v>1.8048141025287781</v>
      </c>
      <c r="CL105" s="461"/>
      <c r="CM105" s="455">
        <f>CM103-CM78-CM28</f>
        <v>1.9002206305644374</v>
      </c>
      <c r="CN105" s="461"/>
      <c r="CO105" s="455">
        <f>CO103-CO78-CO28</f>
        <v>0.97300476008412162</v>
      </c>
      <c r="CP105" s="461"/>
      <c r="CQ105" s="455">
        <f>CQ103-CQ78-CQ28</f>
        <v>1.2256446858182968</v>
      </c>
      <c r="CR105" s="461"/>
      <c r="CS105" s="455">
        <f>CS103-CS78-CS28</f>
        <v>1.4939780191516303</v>
      </c>
      <c r="CT105" s="464"/>
      <c r="CU105" s="461"/>
      <c r="CV105" s="455">
        <f>CV103-CV78</f>
        <v>1.3231272942978092</v>
      </c>
      <c r="CW105" s="461"/>
      <c r="CX105" s="455">
        <f>CX103-CX78</f>
        <v>1.7763200492178506</v>
      </c>
      <c r="CY105" s="461"/>
      <c r="CZ105" s="455">
        <f>CZ103-CZ78</f>
        <v>1.8263200492178513</v>
      </c>
      <c r="DA105" s="461"/>
      <c r="DB105" s="455">
        <f>DB103-DB78</f>
        <v>-0.1182771088937038</v>
      </c>
      <c r="DC105" s="461"/>
      <c r="DD105" s="455">
        <f>DD103-DD78-DD28</f>
        <v>0.57592245351978355</v>
      </c>
      <c r="DE105" s="461"/>
      <c r="DF105" s="467">
        <f>DF103-DF78-DF28</f>
        <v>2.0120283499815055</v>
      </c>
      <c r="DG105" s="461"/>
      <c r="DH105" s="455">
        <f>DH103-DH78-DH28</f>
        <v>1.5346814060029459</v>
      </c>
      <c r="DI105" s="461"/>
      <c r="DJ105" s="455">
        <f>DJ103-DJ78-DJ28</f>
        <v>2.2102735494406649</v>
      </c>
      <c r="DK105" s="461"/>
      <c r="DL105" s="455">
        <f>DL103-DL78-DL28</f>
        <v>1.8418509669792011</v>
      </c>
      <c r="DM105" s="461"/>
      <c r="DN105" s="455">
        <f>DN103-DN78-DN28</f>
        <v>1.8901231422678042</v>
      </c>
      <c r="DO105" s="461"/>
      <c r="DP105" s="455">
        <f>DP103-DP78-DP28</f>
        <v>1.9509796497605705</v>
      </c>
      <c r="DQ105" s="461"/>
      <c r="DR105" s="455">
        <f>DR103-DR78-DR28</f>
        <v>1.2793707293818533</v>
      </c>
      <c r="DS105" s="461"/>
      <c r="DT105" s="455">
        <f>DT103-DT78-DT28</f>
        <v>1.8293707293818522</v>
      </c>
      <c r="DU105" s="461"/>
      <c r="DV105" s="455">
        <f>DV103-DV78-DV28</f>
        <v>2.22609673370386</v>
      </c>
      <c r="DW105" s="461"/>
      <c r="DX105" s="455">
        <f>DX103-DX78-DX28</f>
        <v>2.2803966901751296</v>
      </c>
      <c r="DY105" s="461"/>
      <c r="DZ105" s="455">
        <f>DZ103-DZ78-DZ28</f>
        <v>2.5593300048889489</v>
      </c>
      <c r="EA105" s="461"/>
      <c r="EB105" s="455">
        <f>EB103-EB78-EB28</f>
        <v>2.3707135362427243</v>
      </c>
      <c r="EC105" s="461"/>
      <c r="ED105" s="455">
        <f>ED103-ED78-ED28</f>
        <v>2.6567006871245766</v>
      </c>
      <c r="EE105" s="461"/>
      <c r="EF105" s="455">
        <f>EF103-EF78-EF28</f>
        <v>2.8194919743587503</v>
      </c>
      <c r="EG105" s="461"/>
      <c r="EH105" s="455">
        <f>EH103-EH78-EH28</f>
        <v>2.7563209081006166</v>
      </c>
      <c r="EI105" s="461"/>
      <c r="EJ105" s="455">
        <f>EJ103-EJ78-EJ28</f>
        <v>2.7103569660360414</v>
      </c>
      <c r="EK105" s="461"/>
      <c r="EL105" s="455">
        <f>EL103-EL78-EL28</f>
        <v>3.0821287739801679</v>
      </c>
      <c r="EM105" s="461"/>
      <c r="EN105" s="455">
        <f>EN103-EN78-EN28</f>
        <v>3.45914447196113</v>
      </c>
      <c r="EO105" s="461"/>
      <c r="EP105" s="455">
        <f>EP103-EP78-EP28</f>
        <v>2.7646920176384042</v>
      </c>
      <c r="EQ105" s="461"/>
      <c r="ER105" s="455">
        <f>ER103-ER78-ER28</f>
        <v>3.4471728665754933</v>
      </c>
      <c r="ES105" s="461"/>
      <c r="ET105" s="455">
        <f>ET103-ET78-ET28</f>
        <v>3.199512741623006</v>
      </c>
      <c r="EU105" s="461"/>
      <c r="EV105" s="455">
        <f>EV103-EV78-EV28</f>
        <v>3.2941019634957351</v>
      </c>
      <c r="EW105" s="461"/>
      <c r="EX105" s="455">
        <f>EX103-EX78-EX28</f>
        <v>3.3826809230111756</v>
      </c>
      <c r="EY105" s="461"/>
      <c r="EZ105" s="455">
        <f>EZ103-EZ78-EZ28</f>
        <v>3.2028354127416208</v>
      </c>
      <c r="FA105" s="461"/>
      <c r="FB105" s="455">
        <f>FB103-FB78-FB28</f>
        <v>2.7662477192801078</v>
      </c>
      <c r="FC105" s="461"/>
      <c r="FD105" s="455">
        <f>FD103-FD78-FD28</f>
        <v>2.9837640036350321</v>
      </c>
      <c r="FE105" s="461"/>
      <c r="FF105" s="455">
        <f>FF103-FF78-FF28</f>
        <v>3.6857949684473024</v>
      </c>
      <c r="FG105" s="461"/>
      <c r="FH105" s="455">
        <f>FH103-FH78-FH28</f>
        <v>3.3975943653119929</v>
      </c>
      <c r="FI105" s="461"/>
      <c r="FJ105" s="455">
        <f>FJ103-FJ78-FJ28</f>
        <v>3.2590422660979836</v>
      </c>
      <c r="FK105" s="461"/>
      <c r="FL105" s="455">
        <f>FL103-FL78-FL28</f>
        <v>3.2374479385779447</v>
      </c>
      <c r="FM105" s="461"/>
      <c r="FN105" s="455">
        <f>FN103-FN78-FN28</f>
        <v>3.1900305240568407</v>
      </c>
      <c r="FO105" s="461"/>
      <c r="FP105" s="455">
        <f>FP103-FP78-FP28</f>
        <v>2.7957026297289467</v>
      </c>
      <c r="FQ105" s="465"/>
      <c r="FR105" s="461"/>
      <c r="FS105" s="462"/>
      <c r="FT105" s="461"/>
      <c r="FU105" s="462"/>
      <c r="FV105" s="461"/>
      <c r="FW105" s="455">
        <f>FW103-FW78</f>
        <v>0.10366966060271565</v>
      </c>
      <c r="FX105" s="461"/>
      <c r="FY105" s="462"/>
      <c r="FZ105" s="461"/>
      <c r="GA105" s="462"/>
      <c r="GB105" s="461"/>
      <c r="GC105" s="462"/>
      <c r="GD105" s="461"/>
      <c r="GE105" s="462"/>
      <c r="GF105" s="461"/>
      <c r="GG105" s="462"/>
      <c r="GH105" s="461"/>
      <c r="GI105" s="455">
        <f>GI103-GI78-GI28</f>
        <v>0.14172855853966182</v>
      </c>
      <c r="GJ105" s="461"/>
      <c r="GK105" s="455">
        <f>GK103-GK78-GK28</f>
        <v>0.26710308908045954</v>
      </c>
      <c r="GL105" s="461"/>
      <c r="GM105" s="455">
        <f>GM103-GM78-GM28</f>
        <v>1.3016527943413929</v>
      </c>
      <c r="GN105" s="461"/>
      <c r="GO105" s="455">
        <f>GO103-GO78-GO28</f>
        <v>1.1637046370967747</v>
      </c>
      <c r="GP105" s="461"/>
      <c r="GQ105" s="455">
        <f>GQ103-GQ78-GQ28</f>
        <v>1.3872650369908488</v>
      </c>
      <c r="GR105" s="461"/>
      <c r="GS105" s="455">
        <f>GS103-GS78-GS28</f>
        <v>1.2403153771853299</v>
      </c>
      <c r="GT105" s="461"/>
      <c r="GU105" s="455">
        <f>GU103-GU78-GU28</f>
        <v>1.2990090718534026</v>
      </c>
      <c r="GV105" s="461"/>
      <c r="GW105" s="455">
        <f>GW103-GW78-GW28</f>
        <v>0.45567177899523559</v>
      </c>
      <c r="GX105" s="461"/>
      <c r="GY105" s="455">
        <f>GY103-GY78-GY28</f>
        <v>0.62572377873563267</v>
      </c>
      <c r="GZ105" s="461"/>
      <c r="HA105" s="455">
        <f>HA103-HA78-HA28</f>
        <v>0.97572377873563254</v>
      </c>
      <c r="HB105" s="461"/>
      <c r="HC105" s="455">
        <f>HC103-HC78-HC28</f>
        <v>0.95443706925286864</v>
      </c>
      <c r="HD105" s="461"/>
      <c r="HE105" s="455">
        <f>HE103-HE78-HE28</f>
        <v>1.660210102304811</v>
      </c>
      <c r="HF105" s="461"/>
      <c r="HG105" s="455">
        <f>HG103-HG78-HG28</f>
        <v>1.6023110062261972</v>
      </c>
      <c r="HH105" s="461"/>
      <c r="HI105" s="455">
        <f>HI103-HI78-HI28</f>
        <v>1.6746841370585632</v>
      </c>
      <c r="HJ105" s="461"/>
      <c r="HK105" s="455">
        <f>HK103-HK78-HK28</f>
        <v>1.712989923901628</v>
      </c>
      <c r="HL105" s="461"/>
      <c r="HM105" s="455">
        <f>HM103-HM78-HM28</f>
        <v>1.9119048467140805</v>
      </c>
      <c r="HN105" s="461"/>
      <c r="HO105" s="455">
        <f>HO103-HO78-HO28</f>
        <v>1.8847631155709257</v>
      </c>
      <c r="HP105" s="461"/>
      <c r="HQ105" s="455">
        <f>HQ103-HQ78-HQ28</f>
        <v>1.848751942349689</v>
      </c>
      <c r="HR105" s="461"/>
      <c r="HS105" s="455">
        <f>HS103-HS78-HS28</f>
        <v>1.9042254728574046</v>
      </c>
      <c r="HT105" s="461"/>
      <c r="HU105" s="455">
        <f>HU103-HU78-HU28</f>
        <v>1.9867040763539463</v>
      </c>
      <c r="HV105" s="461"/>
      <c r="HW105" s="455">
        <f>HW103-HW78-HW28</f>
        <v>1.8049097384132935</v>
      </c>
      <c r="HX105" s="461"/>
      <c r="HY105" s="455">
        <f>HY103-HY78-HY28</f>
        <v>1.1457964128099822</v>
      </c>
      <c r="HZ105" s="461"/>
      <c r="IA105" s="455">
        <f>IA103-IA78-IA28</f>
        <v>1.015735534455976</v>
      </c>
      <c r="IB105" s="461"/>
      <c r="IC105" s="455">
        <f>IC103-IC78-IC28</f>
        <v>2.0095980619816785</v>
      </c>
      <c r="ID105" s="461"/>
      <c r="IE105" s="455">
        <f>IE103-IE78-IE28</f>
        <v>2.1025395986857074</v>
      </c>
      <c r="IF105" s="461"/>
      <c r="IG105" s="455">
        <f>IG103-IG78-IG28</f>
        <v>2.070487211994152</v>
      </c>
      <c r="IH105" s="461"/>
      <c r="II105" s="455">
        <f>II103-II78-II28</f>
        <v>1.9140583305655707</v>
      </c>
      <c r="IJ105" s="461"/>
      <c r="IK105" s="455">
        <f>IK103-IK78-IK28</f>
        <v>1.7508091187643813</v>
      </c>
      <c r="IL105" s="461"/>
      <c r="IM105" s="455">
        <f>IM103-IM78-IM28</f>
        <v>1.8420456228934725</v>
      </c>
      <c r="IN105" s="461"/>
      <c r="IO105" s="455">
        <f>IO103-IO78-IO28</f>
        <v>1.9298020844320707</v>
      </c>
      <c r="IP105" s="461"/>
      <c r="IQ105" s="455">
        <f>IQ103-IQ78-IQ28</f>
        <v>2.0048613504950241</v>
      </c>
      <c r="IR105" s="461"/>
      <c r="IS105" s="455">
        <f>IS103-IS78-IS28</f>
        <v>1.9406408780410693</v>
      </c>
      <c r="IT105" s="461"/>
      <c r="IU105" s="455">
        <f>IU103-IU78-IU28</f>
        <v>1.8101298305173854</v>
      </c>
      <c r="IV105" s="461"/>
      <c r="IW105" s="455">
        <f>IW103-IW78-IW28</f>
        <v>1.1324223199003367</v>
      </c>
      <c r="IX105" s="461"/>
      <c r="IY105" s="455">
        <f>IY103-IY78-IY28</f>
        <v>1.1105004697649903</v>
      </c>
      <c r="IZ105" s="454"/>
      <c r="JA105" s="461"/>
      <c r="JB105" s="455">
        <f>JB103-JB78-JB28</f>
        <v>0.76856778341955045</v>
      </c>
      <c r="JC105" s="461"/>
      <c r="JD105" s="455">
        <f>JD103-JD78-JD28</f>
        <v>1.1926424050632911</v>
      </c>
      <c r="JE105" s="465"/>
      <c r="JF105" s="461"/>
      <c r="JG105" s="462"/>
      <c r="JH105" s="461"/>
      <c r="JI105" s="462"/>
      <c r="JJ105" s="461"/>
      <c r="JK105" s="455">
        <f>JK103-JK78</f>
        <v>0.66102297970169688</v>
      </c>
      <c r="JL105" s="461"/>
      <c r="JM105" s="462"/>
      <c r="JN105" s="461"/>
      <c r="JO105" s="462"/>
      <c r="JP105" s="461"/>
      <c r="JQ105" s="462"/>
      <c r="JR105" s="461"/>
      <c r="JS105" s="455">
        <f>JS103-JS78</f>
        <v>5.558387158673439E-2</v>
      </c>
      <c r="JT105" s="461"/>
      <c r="JU105" s="455">
        <f>JU103-JU78-JU28</f>
        <v>0.35792282430213485</v>
      </c>
      <c r="JV105" s="461"/>
      <c r="JW105" s="455">
        <f>JW103-JW78-JW28</f>
        <v>1.0039510068590003</v>
      </c>
      <c r="JX105" s="461"/>
      <c r="JY105" s="455">
        <f>JY103-JY78-JY28</f>
        <v>0.64914118139924548</v>
      </c>
      <c r="JZ105" s="461"/>
      <c r="KA105" s="455">
        <f>KA103-KA78-KA28</f>
        <v>0.95909095878837813</v>
      </c>
      <c r="KB105" s="461"/>
      <c r="KC105" s="455">
        <f>KC103-KC78-KC28</f>
        <v>0.88198003043079065</v>
      </c>
      <c r="KD105" s="461"/>
      <c r="KE105" s="455">
        <f>KE103-KE78-KE28</f>
        <v>0.92217313477814844</v>
      </c>
      <c r="KF105" s="461"/>
      <c r="KG105" s="455">
        <f>KG103-KG78-KG28</f>
        <v>0.44620787291695063</v>
      </c>
      <c r="KH105" s="461"/>
      <c r="KI105" s="455">
        <f>KI103-KI78-KI28</f>
        <v>0.48945812807881739</v>
      </c>
      <c r="KJ105" s="461"/>
      <c r="KK105" s="455">
        <f>KK103-KK78-KK28</f>
        <v>0.78945812807881721</v>
      </c>
      <c r="KL105" s="461"/>
      <c r="KM105" s="455">
        <f>KM103-KM78-KM28</f>
        <v>0.85767036335500813</v>
      </c>
      <c r="KN105" s="461"/>
      <c r="KO105" s="455">
        <f>KO103-KO78-KO28</f>
        <v>1.1004962290701106</v>
      </c>
      <c r="KP105" s="461"/>
      <c r="KQ105" s="455">
        <f>KQ103-KQ78-KQ28</f>
        <v>0.91822879020466608</v>
      </c>
      <c r="KR105" s="461"/>
      <c r="KS105" s="455">
        <f>KS103-KS78-KS28</f>
        <v>1.156555321129431</v>
      </c>
      <c r="KT105" s="461"/>
      <c r="KU105" s="455">
        <f>KU103-KU78-KU28</f>
        <v>1.1820253781218555</v>
      </c>
      <c r="KV105" s="461"/>
      <c r="KW105" s="455">
        <f>KW103-KW78-KW28</f>
        <v>1.3436845837782498</v>
      </c>
      <c r="KX105" s="461"/>
      <c r="KY105" s="455">
        <f>KY103-KY78-KY28</f>
        <v>1.4822406564565451</v>
      </c>
      <c r="KZ105" s="461"/>
      <c r="LA105" s="455">
        <f>LA103-LA78-LA28</f>
        <v>1.6067211923573326</v>
      </c>
      <c r="LB105" s="461"/>
      <c r="LC105" s="455">
        <f>LC103-LC78-LC28</f>
        <v>0.98744298893196381</v>
      </c>
      <c r="LD105" s="461"/>
      <c r="LE105" s="455">
        <f>LE103-LE78-LE28</f>
        <v>0.94211866726425542</v>
      </c>
      <c r="LF105" s="461"/>
      <c r="LG105" s="455">
        <f>LG103-LG78-LG28</f>
        <v>0.47989437702563897</v>
      </c>
      <c r="LH105" s="461"/>
      <c r="LI105" s="455">
        <f>LI103-LI78-LI28</f>
        <v>1.0920161078695663</v>
      </c>
      <c r="LJ105" s="461"/>
      <c r="LK105" s="455">
        <f>LK103-LK78-LK28</f>
        <v>0.79246432760217078</v>
      </c>
      <c r="LL105" s="461"/>
      <c r="LM105" s="455">
        <f>LM103-LM78-LM28</f>
        <v>1.1106472001797094</v>
      </c>
      <c r="LN105" s="461"/>
      <c r="LO105" s="455">
        <f>LO103-LO78-LO28</f>
        <v>1.2012093431304347</v>
      </c>
      <c r="LP105" s="461"/>
      <c r="LQ105" s="455">
        <f>LQ103-LQ78-LQ28</f>
        <v>1.0685650041821686</v>
      </c>
      <c r="LR105" s="461"/>
      <c r="LS105" s="455">
        <f>LS103-LS78-LS28</f>
        <v>0.85352214053569719</v>
      </c>
      <c r="LT105" s="461"/>
      <c r="LU105" s="455">
        <f>LU103-LU78-LU28</f>
        <v>0.71129303478691064</v>
      </c>
      <c r="LV105" s="461"/>
      <c r="LW105" s="455">
        <f>LW103-LW78-LW28</f>
        <v>0.78854475916241706</v>
      </c>
      <c r="LX105" s="461"/>
      <c r="LY105" s="455">
        <f>LY103-LY78-LY28</f>
        <v>0.8650369188602629</v>
      </c>
      <c r="LZ105" s="461"/>
      <c r="MA105" s="455">
        <f>MA103-MA78-MA28</f>
        <v>0.9304616780840067</v>
      </c>
      <c r="MB105" s="461"/>
      <c r="MC105" s="455">
        <f>MC103-MC78-MC28</f>
        <v>0.90518702124888151</v>
      </c>
      <c r="MD105" s="461"/>
      <c r="ME105" s="455">
        <f>ME103-ME78-ME28</f>
        <v>1.4363362556361596</v>
      </c>
      <c r="MF105" s="461"/>
      <c r="MG105" s="455">
        <f>MG103-MG78-MG28</f>
        <v>0.32437469937469898</v>
      </c>
      <c r="MH105" s="465"/>
      <c r="MI105" s="461"/>
      <c r="MJ105" s="462">
        <f>MJ103-MJ78-MJ28</f>
        <v>0.3822473250590257</v>
      </c>
      <c r="MK105" s="461"/>
      <c r="ML105" s="462">
        <f>ML103-ML78-ML28</f>
        <v>0.41413449892432652</v>
      </c>
      <c r="MM105" s="461"/>
      <c r="MN105" s="455">
        <f>MN103-MN78-MN28</f>
        <v>-4.3944902924563878E-2</v>
      </c>
      <c r="MO105" s="461"/>
      <c r="MP105" s="462">
        <f>MP103-MP78-MP28</f>
        <v>1.1985157589429363E-2</v>
      </c>
      <c r="MQ105" s="461"/>
      <c r="MR105" s="462">
        <f>MR103-MR78-MR28</f>
        <v>0.39428948427878208</v>
      </c>
      <c r="MS105" s="461"/>
      <c r="MT105" s="462">
        <f>MT103-MT78-MT28</f>
        <v>0.32340258105845909</v>
      </c>
      <c r="MU105" s="461"/>
      <c r="MV105" s="467">
        <f>MV103-MV78-MV28</f>
        <v>-0.45082460730420992</v>
      </c>
      <c r="MW105" s="461"/>
      <c r="MX105" s="455">
        <f>MX103-MX78-MX28</f>
        <v>0.45995574405310646</v>
      </c>
      <c r="MY105" s="461"/>
      <c r="MZ105" s="455">
        <f>MZ103-MZ78-MZ28</f>
        <v>1.1395902628270034</v>
      </c>
      <c r="NA105" s="461"/>
      <c r="NB105" s="455">
        <f>NB103-NB78-NB28</f>
        <v>0.89656907177693801</v>
      </c>
      <c r="NC105" s="461"/>
      <c r="ND105" s="455">
        <f>ND103-ND78-ND28</f>
        <v>1.1118775758723527</v>
      </c>
      <c r="NE105" s="461"/>
      <c r="NF105" s="455">
        <f>NF103-NF78-NF28</f>
        <v>1.1396766402910319</v>
      </c>
      <c r="NG105" s="461"/>
      <c r="NH105" s="455">
        <f>NH103-NH78-NH28</f>
        <v>1.1356665430412294</v>
      </c>
      <c r="NI105" s="461"/>
      <c r="NJ105" s="455">
        <f>NJ103-NJ78-NJ28</f>
        <v>0.77568829485398305</v>
      </c>
      <c r="NK105" s="461"/>
      <c r="NL105" s="455">
        <f>NL103-NL78-NL28</f>
        <v>0.68616264060483123</v>
      </c>
      <c r="NM105" s="461"/>
      <c r="NN105" s="455">
        <f>NN103-NN78-NN28</f>
        <v>0.98616264060483105</v>
      </c>
      <c r="NO105" s="461"/>
      <c r="NP105" s="455">
        <f>NP103-NP78-NP28</f>
        <v>1.1546700345031238</v>
      </c>
      <c r="NQ105" s="461"/>
      <c r="NR105" s="455">
        <f>NR103-NR78-NR28</f>
        <v>1.4004370263788122</v>
      </c>
      <c r="NS105" s="461"/>
      <c r="NT105" s="455">
        <f>NT103-NT78-NT28</f>
        <v>1.467323911667318</v>
      </c>
      <c r="NU105" s="461"/>
      <c r="NV105" s="455">
        <f>NV103-NV78-NV28</f>
        <v>0.90537653240557769</v>
      </c>
      <c r="NW105" s="461"/>
      <c r="NX105" s="455">
        <f>NX103-NX78-NX28</f>
        <v>1.443842469390153</v>
      </c>
      <c r="NY105" s="461"/>
      <c r="NZ105" s="455">
        <f>NZ103-NZ78-NZ28</f>
        <v>1.2464594551796662</v>
      </c>
      <c r="OA105" s="461"/>
      <c r="OB105" s="455">
        <f>OB103-OB78-OB28</f>
        <v>1.6601506015546037</v>
      </c>
      <c r="OC105" s="461"/>
      <c r="OD105" s="455">
        <f>OD103-OD78-OD28</f>
        <v>1.702362922018676</v>
      </c>
      <c r="OE105" s="461"/>
      <c r="OF105" s="455">
        <f>OF103-OF78-OF28</f>
        <v>1.3638478296404821</v>
      </c>
      <c r="OG105" s="461"/>
      <c r="OH105" s="455">
        <f>OH103-OH78-OH28</f>
        <v>1.2750399360105564</v>
      </c>
      <c r="OI105" s="461"/>
      <c r="OJ105" s="455">
        <f>OJ103-OJ78-OJ28</f>
        <v>1.0917107101595944</v>
      </c>
      <c r="OK105" s="461"/>
      <c r="OL105" s="455">
        <f>OL103-OL78-OL28</f>
        <v>1.3013692329372673</v>
      </c>
      <c r="OM105" s="461"/>
      <c r="ON105" s="455">
        <f>ON103-ON78-ON28</f>
        <v>1.0773891746193784</v>
      </c>
      <c r="OO105" s="461"/>
      <c r="OP105" s="455">
        <f>OP103-OP78-OP28</f>
        <v>1.2230543143303978</v>
      </c>
      <c r="OQ105" s="461"/>
      <c r="OR105" s="455">
        <f>OR103-OR78-OR28</f>
        <v>1.2466145105345803</v>
      </c>
      <c r="OS105" s="461"/>
      <c r="OT105" s="455">
        <f>OT103-OT78-OT28</f>
        <v>1.1705537249259208</v>
      </c>
      <c r="OU105" s="461"/>
      <c r="OV105" s="455">
        <f>OV103-OV78-OV28</f>
        <v>0.59513327910778924</v>
      </c>
      <c r="OW105" s="461"/>
      <c r="OX105" s="455">
        <f>OX103-OX78-OX28</f>
        <v>0.45437285141941852</v>
      </c>
      <c r="OY105" s="461"/>
      <c r="OZ105" s="455">
        <f>OZ103-OZ78-OZ28</f>
        <v>0.53082686345522867</v>
      </c>
      <c r="PA105" s="461"/>
      <c r="PB105" s="455">
        <f>PB103-PB78-PB28</f>
        <v>0.60652915418672904</v>
      </c>
      <c r="PC105" s="461"/>
      <c r="PD105" s="455">
        <f>PD103-PD78-PD28</f>
        <v>0.6712783280021688</v>
      </c>
      <c r="PE105" s="461"/>
      <c r="PF105" s="455">
        <f>PF103-PF78-PF28</f>
        <v>0.93970908181530288</v>
      </c>
      <c r="PG105" s="461"/>
      <c r="PH105" s="455">
        <f>PH103-PH78-PH28</f>
        <v>1.5306042023971285</v>
      </c>
      <c r="PI105" s="461"/>
      <c r="PJ105" s="455">
        <f>PJ103-PJ78-PJ28</f>
        <v>1.5970195377442904</v>
      </c>
      <c r="PK105" s="461"/>
      <c r="PL105" s="455">
        <f>PL103-PL78-PL28</f>
        <v>1.5318803891717621</v>
      </c>
      <c r="PM105" s="461"/>
      <c r="PN105" s="455">
        <f>PN103-PN78-PN28</f>
        <v>0.99518791599896717</v>
      </c>
      <c r="PO105" s="461"/>
      <c r="PP105" s="455">
        <f>PP103-PP78-PP28-PP56</f>
        <v>-5.4812084001032879E-2</v>
      </c>
      <c r="PQ105" s="466"/>
      <c r="PR105" s="461"/>
      <c r="PS105" s="455">
        <f>PS103-PS78-PS28</f>
        <v>2.4346472203919749</v>
      </c>
      <c r="PT105" s="461"/>
      <c r="PU105" s="455">
        <f>PU103-PU78-PU28</f>
        <v>2.7281715623669651</v>
      </c>
      <c r="PV105" s="461"/>
      <c r="PW105" s="455">
        <f>PW103-PW78-PW28</f>
        <v>1.6346472203919746</v>
      </c>
      <c r="PX105" s="461"/>
      <c r="PY105" s="455">
        <f>PY103-PY78-PY28</f>
        <v>1.9281715623669649</v>
      </c>
      <c r="PZ105" s="461"/>
      <c r="QA105" s="455">
        <f>QA103-QA78-QA28</f>
        <v>9.1707465819289347E-2</v>
      </c>
      <c r="QB105" s="461"/>
      <c r="QC105" s="455">
        <f>QC103-QC78-QC28</f>
        <v>0.38890086206896601</v>
      </c>
      <c r="QD105" s="466"/>
      <c r="QE105" s="466"/>
      <c r="QF105" s="461"/>
      <c r="QG105" s="455">
        <f>QG103-QG78-QG28</f>
        <v>2.6318752660706686</v>
      </c>
      <c r="QH105" s="461"/>
      <c r="QI105" s="455">
        <f>QI103-QI78-QI28</f>
        <v>2.9034802043422734</v>
      </c>
      <c r="QJ105" s="461"/>
      <c r="QK105" s="455">
        <f>QK103-QK78-QK28</f>
        <v>1.8318752660706685</v>
      </c>
      <c r="QL105" s="461"/>
      <c r="QM105" s="455">
        <f>QM103-QM78-QM28</f>
        <v>2.1034802043422731</v>
      </c>
      <c r="QN105" s="461"/>
      <c r="QO105" s="455">
        <f>QO103-QO78-QO28</f>
        <v>1.8318752660706688</v>
      </c>
      <c r="QP105" s="461"/>
      <c r="QQ105" s="455">
        <f>QQ103-QQ78-QQ28</f>
        <v>2.1034802043422736</v>
      </c>
    </row>
    <row r="106" spans="1:459" x14ac:dyDescent="0.45">
      <c r="A106" s="871"/>
      <c r="B106" s="457" t="s">
        <v>406</v>
      </c>
      <c r="C106" s="458"/>
      <c r="D106" s="459"/>
      <c r="E106" s="460"/>
      <c r="F106" s="461"/>
      <c r="G106" s="462"/>
      <c r="H106" s="461"/>
      <c r="I106" s="462"/>
      <c r="J106" s="461"/>
      <c r="K106" s="462"/>
      <c r="L106" s="461"/>
      <c r="M106" s="462"/>
      <c r="N106" s="461"/>
      <c r="O106" s="462"/>
      <c r="P106" s="461"/>
      <c r="Q106" s="462">
        <f>Q105/Q69</f>
        <v>0.15355788542247223</v>
      </c>
      <c r="R106" s="461"/>
      <c r="S106" s="462"/>
      <c r="T106" s="461"/>
      <c r="U106" s="462"/>
      <c r="V106" s="461"/>
      <c r="W106" s="462"/>
      <c r="X106" s="461"/>
      <c r="Y106" s="462"/>
      <c r="Z106" s="461"/>
      <c r="AA106" s="462"/>
      <c r="AB106" s="461"/>
      <c r="AC106" s="468">
        <f>AC105/AC69</f>
        <v>6.3680066170600083E-2</v>
      </c>
      <c r="AD106" s="461"/>
      <c r="AE106" s="462">
        <f>AE105/AE69</f>
        <v>8.3350401483655231E-2</v>
      </c>
      <c r="AF106" s="461"/>
      <c r="AG106" s="462">
        <f>AG105/AG69</f>
        <v>0.22093660574049331</v>
      </c>
      <c r="AH106" s="461"/>
      <c r="AI106" s="462">
        <f>AI105/AI69</f>
        <v>0.19949596774193545</v>
      </c>
      <c r="AJ106" s="461"/>
      <c r="AK106" s="462">
        <f>AK105/AK69</f>
        <v>0.23314901124836118</v>
      </c>
      <c r="AL106" s="461"/>
      <c r="AM106" s="462">
        <f>AM105/AM69</f>
        <v>0.21493468284625825</v>
      </c>
      <c r="AN106" s="461"/>
      <c r="AO106" s="462">
        <f>AO105/AO69</f>
        <v>0.19904282063162926</v>
      </c>
      <c r="AP106" s="461"/>
      <c r="AQ106" s="462">
        <f>AQ105/AQ69</f>
        <v>0.17612513807358338</v>
      </c>
      <c r="AR106" s="461"/>
      <c r="AS106" s="462">
        <f>AS105/AS69</f>
        <v>0.14868574243506794</v>
      </c>
      <c r="AT106" s="461"/>
      <c r="AU106" s="462">
        <f>AU105/AU69</f>
        <v>0.18343326315200395</v>
      </c>
      <c r="AV106" s="461"/>
      <c r="AW106" s="462">
        <f>AW105/AW69</f>
        <v>0.21713779165695943</v>
      </c>
      <c r="AX106" s="461"/>
      <c r="AY106" s="462">
        <f>AY105/AY69</f>
        <v>0.25141968358389483</v>
      </c>
      <c r="AZ106" s="461"/>
      <c r="BA106" s="462">
        <f>BA105/BA69</f>
        <v>0.26190966661253645</v>
      </c>
      <c r="BB106" s="461"/>
      <c r="BC106" s="462">
        <f>BC105/BC69</f>
        <v>0.26222511997666836</v>
      </c>
      <c r="BD106" s="461"/>
      <c r="BE106" s="462">
        <f>BE105/BE69</f>
        <v>0.26411224179705944</v>
      </c>
      <c r="BF106" s="461"/>
      <c r="BG106" s="462">
        <f>BG105/BG69</f>
        <v>0.29470736380615209</v>
      </c>
      <c r="BH106" s="461"/>
      <c r="BI106" s="462">
        <f>BI105/BI69</f>
        <v>0.32179930470921059</v>
      </c>
      <c r="BJ106" s="461"/>
      <c r="BK106" s="462">
        <f>BK105/BK69</f>
        <v>0.32592724332191969</v>
      </c>
      <c r="BL106" s="461"/>
      <c r="BM106" s="462">
        <f>BM105/BM69</f>
        <v>0.26319280364772402</v>
      </c>
      <c r="BN106" s="461"/>
      <c r="BO106" s="462">
        <f>BO105/BO69</f>
        <v>0.24971635195090724</v>
      </c>
      <c r="BP106" s="461"/>
      <c r="BQ106" s="462">
        <f>BQ105/BQ69</f>
        <v>0.23108517154363606</v>
      </c>
      <c r="BR106" s="461"/>
      <c r="BS106" s="462">
        <f>BS105/BS69</f>
        <v>0.27932880421698553</v>
      </c>
      <c r="BT106" s="461"/>
      <c r="BU106" s="462">
        <f>BU105/BU69</f>
        <v>0.25308987639768271</v>
      </c>
      <c r="BV106" s="461"/>
      <c r="BW106" s="462">
        <f>BW105/BW69</f>
        <v>0.2499195164407213</v>
      </c>
      <c r="BX106" s="461"/>
      <c r="BY106" s="462">
        <f>BY105/BY69</f>
        <v>0.28441189810158829</v>
      </c>
      <c r="BZ106" s="461"/>
      <c r="CA106" s="462">
        <f>CA105/CA69</f>
        <v>0.26636895122137483</v>
      </c>
      <c r="CB106" s="461"/>
      <c r="CC106" s="462">
        <f>CC105/CC69</f>
        <v>0.29848111137653965</v>
      </c>
      <c r="CD106" s="461"/>
      <c r="CE106" s="462">
        <f>CE105/CE69</f>
        <v>0.28097427050392709</v>
      </c>
      <c r="CF106" s="461"/>
      <c r="CG106" s="462">
        <f>CG105/CG69</f>
        <v>0.22620299020225529</v>
      </c>
      <c r="CH106" s="461"/>
      <c r="CI106" s="462">
        <f>CI105/CI69</f>
        <v>0.23663246819526002</v>
      </c>
      <c r="CJ106" s="461"/>
      <c r="CK106" s="462">
        <f>CK105/CK69</f>
        <v>0.24555293911956166</v>
      </c>
      <c r="CL106" s="461"/>
      <c r="CM106" s="462">
        <f>CM105/CM69</f>
        <v>0.25853341912441324</v>
      </c>
      <c r="CN106" s="461"/>
      <c r="CO106" s="462">
        <f>CO105/CO69</f>
        <v>0.13238160001144514</v>
      </c>
      <c r="CP106" s="461"/>
      <c r="CQ106" s="462">
        <f>CQ105/CQ69</f>
        <v>0.16675437902289753</v>
      </c>
      <c r="CR106" s="461"/>
      <c r="CS106" s="462">
        <f>CS105/CS69</f>
        <v>0.20326231553083407</v>
      </c>
      <c r="CT106" s="464"/>
      <c r="CU106" s="461"/>
      <c r="CV106" s="462">
        <f>CV105/CV69</f>
        <v>0.13570536351772403</v>
      </c>
      <c r="CW106" s="461"/>
      <c r="CX106" s="462">
        <f>CX105/CX69</f>
        <v>0.18218667171465133</v>
      </c>
      <c r="CY106" s="461"/>
      <c r="CZ106" s="462">
        <f>CZ105/CZ69</f>
        <v>0.18635918869569909</v>
      </c>
      <c r="DA106" s="461"/>
      <c r="DB106" s="462">
        <f>DB105/DB69</f>
        <v>-1.2069092744255489E-2</v>
      </c>
      <c r="DC106" s="461"/>
      <c r="DD106" s="462">
        <f>DD105/DD69</f>
        <v>5.537715899228688E-2</v>
      </c>
      <c r="DE106" s="461"/>
      <c r="DF106" s="468">
        <f>DF105/DF69</f>
        <v>0.1934642644212986</v>
      </c>
      <c r="DG106" s="461"/>
      <c r="DH106" s="462">
        <f>DH105/DH69</f>
        <v>0.14756551980797555</v>
      </c>
      <c r="DI106" s="461"/>
      <c r="DJ106" s="462">
        <f>DJ105/DJ69</f>
        <v>0.21252630283083315</v>
      </c>
      <c r="DK106" s="461"/>
      <c r="DL106" s="462">
        <f>DL105/DL69</f>
        <v>0.17710105451723088</v>
      </c>
      <c r="DM106" s="461"/>
      <c r="DN106" s="462">
        <f>DN105/DN69</f>
        <v>0.1817426098334427</v>
      </c>
      <c r="DO106" s="461"/>
      <c r="DP106" s="462">
        <f>DP105/DP69</f>
        <v>0.18759419709236255</v>
      </c>
      <c r="DQ106" s="461"/>
      <c r="DR106" s="462">
        <f>DR105/DR69</f>
        <v>0.12301641628671665</v>
      </c>
      <c r="DS106" s="461"/>
      <c r="DT106" s="462">
        <f>DT105/DT69</f>
        <v>0.16706582003487236</v>
      </c>
      <c r="DU106" s="461"/>
      <c r="DV106" s="462">
        <f>DV105/DV69</f>
        <v>0.20329650536108312</v>
      </c>
      <c r="DW106" s="461"/>
      <c r="DX106" s="462">
        <f>DX105/DX69</f>
        <v>0.20825540549544563</v>
      </c>
      <c r="DY106" s="461"/>
      <c r="DZ106" s="462">
        <f>DZ105/DZ69</f>
        <v>0.23372876756976704</v>
      </c>
      <c r="EA106" s="461"/>
      <c r="EB106" s="462">
        <f>EB105/EB69</f>
        <v>0.21650351929157302</v>
      </c>
      <c r="EC106" s="461"/>
      <c r="ED106" s="462">
        <f>ED105/ED69</f>
        <v>0.24262106731731295</v>
      </c>
      <c r="EE106" s="461"/>
      <c r="EF106" s="462">
        <f>EF105/EF69</f>
        <v>0.2574878515396119</v>
      </c>
      <c r="EG106" s="461"/>
      <c r="EH106" s="462">
        <f>EH105/EH69</f>
        <v>0.25171880439275041</v>
      </c>
      <c r="EI106" s="461"/>
      <c r="EJ106" s="462">
        <f>EJ105/EJ69</f>
        <v>0.24752118411288052</v>
      </c>
      <c r="EK106" s="461"/>
      <c r="EL106" s="462">
        <f>EL105/EL69</f>
        <v>0.28147294739544915</v>
      </c>
      <c r="EM106" s="461"/>
      <c r="EN106" s="462">
        <f>EN105/EN69</f>
        <v>0.31590360474530871</v>
      </c>
      <c r="EO106" s="461"/>
      <c r="EP106" s="462">
        <f>EP105/EP69</f>
        <v>0.25248328928204605</v>
      </c>
      <c r="EQ106" s="461"/>
      <c r="ER106" s="462">
        <f>ER105/ER69</f>
        <v>0.31481030744981675</v>
      </c>
      <c r="ES106" s="461"/>
      <c r="ET106" s="462">
        <f>ET105/ET69</f>
        <v>0.29219294444045718</v>
      </c>
      <c r="EU106" s="461"/>
      <c r="EV106" s="462">
        <f>EV105/EV69</f>
        <v>0.30083122954298952</v>
      </c>
      <c r="EW106" s="461"/>
      <c r="EX106" s="462">
        <f>EX105/EX69</f>
        <v>0.30892063223846356</v>
      </c>
      <c r="EY106" s="461"/>
      <c r="EZ106" s="462">
        <f>EZ105/EZ69</f>
        <v>0.29249638472526218</v>
      </c>
      <c r="FA106" s="461"/>
      <c r="FB106" s="462">
        <f>FB105/FB69</f>
        <v>0.25262536249133405</v>
      </c>
      <c r="FC106" s="461"/>
      <c r="FD106" s="462">
        <f>FD105/FD69</f>
        <v>0.27248986334566505</v>
      </c>
      <c r="FE106" s="461"/>
      <c r="FF106" s="462">
        <f>FF105/FF69</f>
        <v>0.33660228022349797</v>
      </c>
      <c r="FG106" s="461"/>
      <c r="FH106" s="462">
        <f>FH105/FH69</f>
        <v>0.31028259043945144</v>
      </c>
      <c r="FI106" s="461"/>
      <c r="FJ106" s="462">
        <f>FJ105/FJ69</f>
        <v>0.29762943069387982</v>
      </c>
      <c r="FK106" s="461"/>
      <c r="FL106" s="462">
        <f>FL105/FL69</f>
        <v>0.2956573459888534</v>
      </c>
      <c r="FM106" s="461"/>
      <c r="FN106" s="462">
        <f>FN105/FN69</f>
        <v>0.29132698849834165</v>
      </c>
      <c r="FO106" s="461"/>
      <c r="FP106" s="462">
        <f>FP105/FP69</f>
        <v>0.25531530865104535</v>
      </c>
      <c r="FQ106" s="465"/>
      <c r="FR106" s="461"/>
      <c r="FS106" s="462"/>
      <c r="FT106" s="461"/>
      <c r="FU106" s="462"/>
      <c r="FV106" s="461"/>
      <c r="FW106" s="462">
        <f>FW105/FW69</f>
        <v>1.5707524333744796E-2</v>
      </c>
      <c r="FX106" s="461"/>
      <c r="FY106" s="462"/>
      <c r="FZ106" s="461"/>
      <c r="GA106" s="462"/>
      <c r="GB106" s="461"/>
      <c r="GC106" s="462"/>
      <c r="GD106" s="461"/>
      <c r="GE106" s="462"/>
      <c r="GF106" s="461"/>
      <c r="GG106" s="462"/>
      <c r="GH106" s="461"/>
      <c r="GI106" s="462">
        <f>GI105/GI69</f>
        <v>2.0996823487357305E-2</v>
      </c>
      <c r="GJ106" s="461"/>
      <c r="GK106" s="462">
        <f>GK105/GK69</f>
        <v>3.3810517605121458E-2</v>
      </c>
      <c r="GL106" s="461"/>
      <c r="GM106" s="462">
        <f>GM105/GM69</f>
        <v>0.16476617649891048</v>
      </c>
      <c r="GN106" s="461"/>
      <c r="GO106" s="462">
        <f>GO105/GO69</f>
        <v>0.14730438444262972</v>
      </c>
      <c r="GP106" s="461"/>
      <c r="GQ106" s="462">
        <f>GQ105/GQ69</f>
        <v>0.17560316923934793</v>
      </c>
      <c r="GR106" s="461"/>
      <c r="GS106" s="462">
        <f>GS105/GS69</f>
        <v>0.15700194647915569</v>
      </c>
      <c r="GT106" s="461"/>
      <c r="GU106" s="462">
        <f>GU105/GU69</f>
        <v>0.16443152808270919</v>
      </c>
      <c r="GV106" s="461"/>
      <c r="GW106" s="462">
        <f>GW105/GW69</f>
        <v>5.7679972024713366E-2</v>
      </c>
      <c r="GX106" s="461"/>
      <c r="GY106" s="462">
        <f>GY105/GY69</f>
        <v>7.9205541612105398E-2</v>
      </c>
      <c r="GZ106" s="461"/>
      <c r="HA106" s="462">
        <f>HA105/HA69</f>
        <v>0.11826954893765243</v>
      </c>
      <c r="HB106" s="461"/>
      <c r="HC106" s="462">
        <f>HC105/HC69</f>
        <v>0.11568934172762044</v>
      </c>
      <c r="HD106" s="461"/>
      <c r="HE106" s="462">
        <f>HE105/HE69</f>
        <v>0.20123758815815893</v>
      </c>
      <c r="HF106" s="461"/>
      <c r="HG106" s="462">
        <f>HG105/HG69</f>
        <v>0.1942195159062057</v>
      </c>
      <c r="HH106" s="461"/>
      <c r="HI106" s="462">
        <f>HI105/HI69</f>
        <v>0.20299201661315919</v>
      </c>
      <c r="HJ106" s="461"/>
      <c r="HK106" s="462">
        <f>HK105/HK69</f>
        <v>0.20763514229110641</v>
      </c>
      <c r="HL106" s="461"/>
      <c r="HM106" s="462">
        <f>HM105/HM69</f>
        <v>0.23174604202594914</v>
      </c>
      <c r="HN106" s="461"/>
      <c r="HO106" s="462">
        <f>HO105/HO69</f>
        <v>0.22845613522071825</v>
      </c>
      <c r="HP106" s="461"/>
      <c r="HQ106" s="462">
        <f>HQ105/HQ69</f>
        <v>0.22409114452723503</v>
      </c>
      <c r="HR106" s="461"/>
      <c r="HS106" s="462">
        <f>HS105/HS69</f>
        <v>0.23081520883120055</v>
      </c>
      <c r="HT106" s="461"/>
      <c r="HU106" s="462">
        <f>HU105/HU69</f>
        <v>0.24081261531562986</v>
      </c>
      <c r="HV106" s="461"/>
      <c r="HW106" s="462">
        <f>HW105/HW69</f>
        <v>0.21877693798949013</v>
      </c>
      <c r="HX106" s="461"/>
      <c r="HY106" s="462">
        <f>HY105/HY69</f>
        <v>0.13888441367393725</v>
      </c>
      <c r="HZ106" s="461"/>
      <c r="IA106" s="462">
        <f>IA105/IA69</f>
        <v>0.12311945872193648</v>
      </c>
      <c r="IB106" s="461"/>
      <c r="IC106" s="462">
        <f>IC105/IC69</f>
        <v>0.24358764387656709</v>
      </c>
      <c r="ID106" s="461"/>
      <c r="IE106" s="462">
        <f>IE105/IE69</f>
        <v>0.25485328468917667</v>
      </c>
      <c r="IF106" s="461"/>
      <c r="IG106" s="462">
        <f>IG105/IG69</f>
        <v>0.25096814690838204</v>
      </c>
      <c r="IH106" s="461"/>
      <c r="II106" s="462">
        <f>II105/II69</f>
        <v>0.23200707037158433</v>
      </c>
      <c r="IJ106" s="461"/>
      <c r="IK106" s="462">
        <f>IK105/IK69</f>
        <v>0.21221928712295532</v>
      </c>
      <c r="IL106" s="461"/>
      <c r="IM106" s="462">
        <f>IM105/IM69</f>
        <v>0.22327825732042092</v>
      </c>
      <c r="IN106" s="461"/>
      <c r="IO106" s="462">
        <f>IO105/IO69</f>
        <v>0.23391540417358433</v>
      </c>
      <c r="IP106" s="461"/>
      <c r="IQ106" s="462">
        <f>IQ105/IQ69</f>
        <v>0.2430134970296999</v>
      </c>
      <c r="IR106" s="461"/>
      <c r="IS106" s="462">
        <f>IS105/IS69</f>
        <v>0.23522919733831144</v>
      </c>
      <c r="IT106" s="461"/>
      <c r="IU106" s="462">
        <f>IU105/IU69</f>
        <v>0.21940967642634976</v>
      </c>
      <c r="IV106" s="461"/>
      <c r="IW106" s="462">
        <f>IW105/IW69</f>
        <v>0.13726331150307111</v>
      </c>
      <c r="IX106" s="461"/>
      <c r="IY106" s="462">
        <f>IY105/IY69</f>
        <v>0.13460611754727156</v>
      </c>
      <c r="IZ106" s="460"/>
      <c r="JA106" s="461"/>
      <c r="JB106" s="462">
        <f>JB105/JB69</f>
        <v>9.3159731323581879E-2</v>
      </c>
      <c r="JC106" s="461"/>
      <c r="JD106" s="462">
        <f>JD105/JD69</f>
        <v>0.1445627157652474</v>
      </c>
      <c r="JE106" s="465"/>
      <c r="JF106" s="461"/>
      <c r="JG106" s="462"/>
      <c r="JH106" s="461"/>
      <c r="JI106" s="462"/>
      <c r="JJ106" s="461"/>
      <c r="JK106" s="462">
        <f>JK105/JK69</f>
        <v>0.11017049661694948</v>
      </c>
      <c r="JL106" s="461"/>
      <c r="JM106" s="462"/>
      <c r="JN106" s="461"/>
      <c r="JO106" s="462"/>
      <c r="JP106" s="461"/>
      <c r="JQ106" s="462"/>
      <c r="JR106" s="461"/>
      <c r="JS106" s="462">
        <f>JS105/JS69</f>
        <v>8.8228367597991096E-3</v>
      </c>
      <c r="JT106" s="461"/>
      <c r="JU106" s="462">
        <f>JU105/JU69</f>
        <v>5.6813146714624584E-2</v>
      </c>
      <c r="JV106" s="461"/>
      <c r="JW106" s="462">
        <f>JW105/JW69</f>
        <v>0.15935730267603179</v>
      </c>
      <c r="JX106" s="461"/>
      <c r="JY106" s="462">
        <f>JY105/JY69</f>
        <v>0.10303828276178501</v>
      </c>
      <c r="JZ106" s="461"/>
      <c r="KA106" s="462">
        <f>KA105/KA69</f>
        <v>0.15223666012513939</v>
      </c>
      <c r="KB106" s="461"/>
      <c r="KC106" s="462">
        <f>KC105/KC69</f>
        <v>0.13999683022710963</v>
      </c>
      <c r="KD106" s="461"/>
      <c r="KE106" s="462">
        <f>KE105/KE69</f>
        <v>0.14637668806002357</v>
      </c>
      <c r="KF106" s="461"/>
      <c r="KG106" s="462">
        <f>KG105/KG69</f>
        <v>7.0826646494754064E-2</v>
      </c>
      <c r="KH106" s="461"/>
      <c r="KI106" s="462">
        <f>KI105/KI69</f>
        <v>7.7691766361717055E-2</v>
      </c>
      <c r="KJ106" s="461"/>
      <c r="KK106" s="462">
        <f>KK105/KK69</f>
        <v>0.11961486789072989</v>
      </c>
      <c r="KL106" s="461"/>
      <c r="KM106" s="462">
        <f>KM105/KM69</f>
        <v>0.12995005505378912</v>
      </c>
      <c r="KN106" s="461"/>
      <c r="KO106" s="462">
        <f>KO105/KO69</f>
        <v>0.16674185288941071</v>
      </c>
      <c r="KP106" s="461"/>
      <c r="KQ106" s="462">
        <f>KQ105/KQ69</f>
        <v>0.13912557427343425</v>
      </c>
      <c r="KR106" s="461"/>
      <c r="KS106" s="462">
        <f>KS105/KS69</f>
        <v>0.17523565471658048</v>
      </c>
      <c r="KT106" s="461"/>
      <c r="KU106" s="462">
        <f>KU105/KU69</f>
        <v>0.1790947542608872</v>
      </c>
      <c r="KV106" s="461"/>
      <c r="KW106" s="462">
        <f>KW105/KW69</f>
        <v>0.20358857329973484</v>
      </c>
      <c r="KX106" s="461"/>
      <c r="KY106" s="462">
        <f>KY105/KY69</f>
        <v>0.2245819176449311</v>
      </c>
      <c r="KZ106" s="461"/>
      <c r="LA106" s="462">
        <f>LA105/LA69</f>
        <v>0.24344260490262615</v>
      </c>
      <c r="LB106" s="461"/>
      <c r="LC106" s="462">
        <f>LC105/LC69</f>
        <v>0.14961257408060058</v>
      </c>
      <c r="LD106" s="461"/>
      <c r="LE106" s="462">
        <f>LE105/LE69</f>
        <v>0.14274525261579629</v>
      </c>
      <c r="LF106" s="461"/>
      <c r="LG106" s="462">
        <f>LG105/LG69</f>
        <v>7.2711269246308941E-2</v>
      </c>
      <c r="LH106" s="461"/>
      <c r="LI106" s="462">
        <f>LI105/LI69</f>
        <v>0.16545698604084338</v>
      </c>
      <c r="LJ106" s="461"/>
      <c r="LK106" s="462">
        <f>LK105/LK69</f>
        <v>0.12007035266699558</v>
      </c>
      <c r="LL106" s="461"/>
      <c r="LM106" s="462">
        <f>LM105/LM69</f>
        <v>0.1682798788151075</v>
      </c>
      <c r="LN106" s="461"/>
      <c r="LO106" s="462">
        <f>LO105/LO69</f>
        <v>0.18200141562582345</v>
      </c>
      <c r="LP106" s="461"/>
      <c r="LQ106" s="462">
        <f>LQ105/LQ69</f>
        <v>0.1619037885124498</v>
      </c>
      <c r="LR106" s="461"/>
      <c r="LS106" s="462">
        <f>LS105/LS69</f>
        <v>0.1293215364448026</v>
      </c>
      <c r="LT106" s="461"/>
      <c r="LU106" s="462">
        <f>LU105/LU69</f>
        <v>0.1077716719374107</v>
      </c>
      <c r="LV106" s="461"/>
      <c r="LW106" s="462">
        <f>LW105/LW69</f>
        <v>0.11947647866097229</v>
      </c>
      <c r="LX106" s="461"/>
      <c r="LY106" s="462">
        <f>LY105/LY69</f>
        <v>0.13106619982731257</v>
      </c>
      <c r="LZ106" s="461"/>
      <c r="MA106" s="462">
        <f>MA105/MA69</f>
        <v>0.14097904213394041</v>
      </c>
      <c r="MB106" s="461"/>
      <c r="MC106" s="462">
        <f>MC105/MC69</f>
        <v>0.13714954867407297</v>
      </c>
      <c r="MD106" s="461"/>
      <c r="ME106" s="462">
        <f>ME105/ME69</f>
        <v>0.21762670539941814</v>
      </c>
      <c r="MF106" s="461"/>
      <c r="MG106" s="462">
        <f>MG105/MG69</f>
        <v>4.9147681723439245E-2</v>
      </c>
      <c r="MH106" s="465"/>
      <c r="MI106" s="461"/>
      <c r="MJ106" s="462">
        <f>MJ105/MJ69</f>
        <v>7.0786541677597348E-2</v>
      </c>
      <c r="MK106" s="461"/>
      <c r="ML106" s="462">
        <f>ML105/ML69</f>
        <v>7.6691573874875282E-2</v>
      </c>
      <c r="MM106" s="461"/>
      <c r="MN106" s="462">
        <f>MN105/MN69</f>
        <v>-8.137944986030347E-3</v>
      </c>
      <c r="MO106" s="461"/>
      <c r="MP106" s="462">
        <f>MP105/MP69</f>
        <v>2.219473627672104E-3</v>
      </c>
      <c r="MQ106" s="461"/>
      <c r="MR106" s="462">
        <f>MR105/MR69</f>
        <v>7.0408836478353942E-2</v>
      </c>
      <c r="MS106" s="461"/>
      <c r="MT106" s="462">
        <f>MT105/MT69</f>
        <v>5.8800469283356201E-2</v>
      </c>
      <c r="MU106" s="461"/>
      <c r="MV106" s="468">
        <f>MV105/MV69</f>
        <v>-8.050439416146607E-2</v>
      </c>
      <c r="MW106" s="461"/>
      <c r="MX106" s="462">
        <f>MX105/MX69</f>
        <v>7.3008848262397855E-2</v>
      </c>
      <c r="MY106" s="461"/>
      <c r="MZ106" s="462">
        <f>MZ105/MZ69</f>
        <v>0.18088734330587355</v>
      </c>
      <c r="NA106" s="461"/>
      <c r="NB106" s="462">
        <f>NB105/NB69</f>
        <v>0.14231255107570445</v>
      </c>
      <c r="NC106" s="461"/>
      <c r="ND106" s="462">
        <f>ND105/ND69</f>
        <v>0.17648850410672265</v>
      </c>
      <c r="NE106" s="461"/>
      <c r="NF106" s="462">
        <f>NF105/NF69</f>
        <v>0.1809010540144495</v>
      </c>
      <c r="NG106" s="461"/>
      <c r="NH106" s="462">
        <f>NH105/NH69</f>
        <v>0.180264530641465</v>
      </c>
      <c r="NI106" s="461"/>
      <c r="NJ106" s="462">
        <f>NJ105/NJ69</f>
        <v>0.1231251261672989</v>
      </c>
      <c r="NK106" s="461"/>
      <c r="NL106" s="462">
        <f>NL105/NL69</f>
        <v>0.10891470485790972</v>
      </c>
      <c r="NM106" s="461"/>
      <c r="NN106" s="462">
        <f>NN105/NN69</f>
        <v>0.14941858190982291</v>
      </c>
      <c r="NO106" s="461"/>
      <c r="NP106" s="462">
        <f>NP105/NP69</f>
        <v>0.17495000522774604</v>
      </c>
      <c r="NQ106" s="461"/>
      <c r="NR106" s="462">
        <f>NR105/NR69</f>
        <v>0.21218742823921397</v>
      </c>
      <c r="NS106" s="461"/>
      <c r="NT106" s="462">
        <f>NT105/NT69</f>
        <v>0.2223218047980785</v>
      </c>
      <c r="NU106" s="461"/>
      <c r="NV106" s="462">
        <f>NV105/NV69</f>
        <v>0.13717826248569359</v>
      </c>
      <c r="NW106" s="461"/>
      <c r="NX106" s="462">
        <f>NX105/NX69</f>
        <v>0.21876401051365957</v>
      </c>
      <c r="NY106" s="461"/>
      <c r="NZ106" s="462">
        <f>NZ105/NZ69</f>
        <v>0.18885749320904033</v>
      </c>
      <c r="OA106" s="461"/>
      <c r="OB106" s="462">
        <f>OB105/OB69</f>
        <v>0.2515379699325157</v>
      </c>
      <c r="OC106" s="461"/>
      <c r="OD106" s="462">
        <f>OD105/OD69</f>
        <v>0.25793377606343576</v>
      </c>
      <c r="OE106" s="461"/>
      <c r="OF106" s="462">
        <f>OF105/OF69</f>
        <v>0.20664361055158822</v>
      </c>
      <c r="OG106" s="461"/>
      <c r="OH106" s="462">
        <f>OH105/OH69</f>
        <v>0.19318786909250857</v>
      </c>
      <c r="OI106" s="461"/>
      <c r="OJ106" s="462">
        <f>OJ105/OJ69</f>
        <v>0.16541071366054461</v>
      </c>
      <c r="OK106" s="461"/>
      <c r="OL106" s="462">
        <f>OL105/OL69</f>
        <v>0.19717715650564657</v>
      </c>
      <c r="OM106" s="461"/>
      <c r="ON106" s="462">
        <f>ON105/ON69</f>
        <v>0.16324078403323916</v>
      </c>
      <c r="OO106" s="461"/>
      <c r="OP106" s="462">
        <f>OP105/OP69</f>
        <v>0.18531125974702997</v>
      </c>
      <c r="OQ106" s="461"/>
      <c r="OR106" s="462">
        <f>OR105/OR69</f>
        <v>0.18888098644463339</v>
      </c>
      <c r="OS106" s="461"/>
      <c r="OT106" s="462">
        <f>OT105/OT69</f>
        <v>0.17735662498877588</v>
      </c>
      <c r="OU106" s="461"/>
      <c r="OV106" s="462">
        <f>OV105/OV69</f>
        <v>9.0171708955725641E-2</v>
      </c>
      <c r="OW106" s="461"/>
      <c r="OX106" s="462">
        <f>OX105/OX69</f>
        <v>6.8844371427184622E-2</v>
      </c>
      <c r="OY106" s="461"/>
      <c r="OZ106" s="462">
        <f>OZ105/OZ69</f>
        <v>8.0428312644731617E-2</v>
      </c>
      <c r="PA106" s="461"/>
      <c r="PB106" s="462">
        <f>PB105/PB69</f>
        <v>9.1898356694958952E-2</v>
      </c>
      <c r="PC106" s="461"/>
      <c r="PD106" s="462">
        <f>PD105/PD69</f>
        <v>0.10170883757608619</v>
      </c>
      <c r="PE106" s="461"/>
      <c r="PF106" s="462">
        <f>PF105/PF69</f>
        <v>0.14238016391140954</v>
      </c>
      <c r="PG106" s="461"/>
      <c r="PH106" s="462">
        <f>PH105/PH69</f>
        <v>0.23190972763592857</v>
      </c>
      <c r="PI106" s="461"/>
      <c r="PJ106" s="462">
        <f>PJ105/PJ69</f>
        <v>0.2419726572339834</v>
      </c>
      <c r="PK106" s="461"/>
      <c r="PL106" s="462">
        <f>PL105/PL69</f>
        <v>0.2321030892684488</v>
      </c>
      <c r="PM106" s="461"/>
      <c r="PN106" s="462">
        <f>PN105/PN69</f>
        <v>0.1507860478786314</v>
      </c>
      <c r="PO106" s="461"/>
      <c r="PP106" s="462">
        <f>PP105/PP69</f>
        <v>-8.3048612122777095E-3</v>
      </c>
      <c r="PQ106" s="466"/>
      <c r="PR106" s="461"/>
      <c r="PS106" s="462">
        <f>PS105/PS69</f>
        <v>0.31618795070025646</v>
      </c>
      <c r="PT106" s="461"/>
      <c r="PU106" s="462">
        <f>PU105/PU69</f>
        <v>0.35430799511259287</v>
      </c>
      <c r="PV106" s="461"/>
      <c r="PW106" s="462">
        <f>PW105/PW69</f>
        <v>0.21229184680415256</v>
      </c>
      <c r="PX106" s="461"/>
      <c r="PY106" s="462">
        <f>PY105/PY69</f>
        <v>0.25041189121648894</v>
      </c>
      <c r="PZ106" s="461"/>
      <c r="QA106" s="462">
        <f>QA105/QA69</f>
        <v>1.1910060496011603E-2</v>
      </c>
      <c r="QB106" s="461"/>
      <c r="QC106" s="462">
        <f>QC105/QC69</f>
        <v>5.050660546350208E-2</v>
      </c>
      <c r="QD106" s="466"/>
      <c r="QE106" s="466"/>
      <c r="QF106" s="461"/>
      <c r="QG106" s="462">
        <f>QG105/QG69</f>
        <v>0.34180198260658035</v>
      </c>
      <c r="QH106" s="461"/>
      <c r="QI106" s="462">
        <f>QI105/QI69</f>
        <v>0.37707535121328223</v>
      </c>
      <c r="QJ106" s="461"/>
      <c r="QK106" s="462">
        <f>QK105/QK69</f>
        <v>0.23790587871047641</v>
      </c>
      <c r="QL106" s="461"/>
      <c r="QM106" s="462">
        <f>QM105/QM69</f>
        <v>0.2731792473171783</v>
      </c>
      <c r="QN106" s="461"/>
      <c r="QO106" s="462">
        <f>QO105/QO69</f>
        <v>0.26548916899574909</v>
      </c>
      <c r="QP106" s="461"/>
      <c r="QQ106" s="462">
        <f>QQ105/QQ69</f>
        <v>0.30485220352786574</v>
      </c>
    </row>
    <row r="107" spans="1:459" x14ac:dyDescent="0.45">
      <c r="A107" s="871"/>
      <c r="B107" s="180"/>
      <c r="C107" s="181"/>
      <c r="D107" s="199"/>
      <c r="E107" s="177"/>
      <c r="F107" s="285"/>
      <c r="G107" s="357"/>
      <c r="H107" s="285"/>
      <c r="I107" s="357"/>
      <c r="J107" s="285"/>
      <c r="K107" s="357"/>
      <c r="L107" s="285"/>
      <c r="M107" s="357"/>
      <c r="N107" s="285"/>
      <c r="O107" s="357"/>
      <c r="P107" s="285"/>
      <c r="Q107" s="357"/>
      <c r="R107" s="285"/>
      <c r="S107" s="357"/>
      <c r="T107" s="285"/>
      <c r="U107" s="357"/>
      <c r="V107" s="285"/>
      <c r="W107" s="357"/>
      <c r="X107" s="285"/>
      <c r="Y107" s="357"/>
      <c r="Z107" s="285"/>
      <c r="AA107" s="357"/>
      <c r="AB107" s="285"/>
      <c r="AC107" s="357"/>
      <c r="AD107" s="285"/>
      <c r="AE107" s="357"/>
      <c r="AF107" s="285"/>
      <c r="AG107" s="357"/>
      <c r="AH107" s="285"/>
      <c r="AI107" s="357"/>
      <c r="AJ107" s="285"/>
      <c r="AK107" s="357"/>
      <c r="AL107" s="285"/>
      <c r="AM107" s="357"/>
      <c r="AN107" s="285"/>
      <c r="AO107" s="357"/>
      <c r="AP107" s="285"/>
      <c r="AQ107" s="357"/>
      <c r="AR107" s="285"/>
      <c r="AS107" s="357"/>
      <c r="AT107" s="285"/>
      <c r="AU107" s="357"/>
      <c r="AV107" s="285"/>
      <c r="AW107" s="357"/>
      <c r="AX107" s="285"/>
      <c r="AY107" s="357"/>
      <c r="AZ107" s="285"/>
      <c r="BA107" s="357"/>
      <c r="BB107" s="285"/>
      <c r="BC107" s="357"/>
      <c r="BD107" s="285"/>
      <c r="BE107" s="357"/>
      <c r="BF107" s="285"/>
      <c r="BG107" s="357"/>
      <c r="BH107" s="285"/>
      <c r="BI107" s="357"/>
      <c r="BJ107" s="285"/>
      <c r="BK107" s="357"/>
      <c r="BL107" s="285"/>
      <c r="BM107" s="357"/>
      <c r="BN107" s="285"/>
      <c r="BO107" s="357"/>
      <c r="BP107" s="285"/>
      <c r="BQ107" s="357"/>
      <c r="BR107" s="285"/>
      <c r="BS107" s="357"/>
      <c r="BT107" s="285"/>
      <c r="BU107" s="357"/>
      <c r="BV107" s="285"/>
      <c r="BW107" s="357"/>
      <c r="BX107" s="285"/>
      <c r="BY107" s="357"/>
      <c r="BZ107" s="285"/>
      <c r="CA107" s="357"/>
      <c r="CB107" s="285"/>
      <c r="CC107" s="357"/>
      <c r="CD107" s="285"/>
      <c r="CE107" s="357"/>
      <c r="CF107" s="285"/>
      <c r="CG107" s="357"/>
      <c r="CH107" s="285"/>
      <c r="CI107" s="357"/>
      <c r="CJ107" s="285"/>
      <c r="CK107" s="357"/>
      <c r="CL107" s="285"/>
      <c r="CM107" s="357"/>
      <c r="CN107" s="285"/>
      <c r="CO107" s="357"/>
      <c r="CP107" s="285"/>
      <c r="CQ107" s="357"/>
      <c r="CR107" s="285"/>
      <c r="CS107" s="357"/>
      <c r="CT107" s="201"/>
      <c r="CU107" s="285"/>
      <c r="CV107" s="357"/>
      <c r="CW107" s="285"/>
      <c r="CX107" s="357"/>
      <c r="CY107" s="285"/>
      <c r="CZ107" s="357"/>
      <c r="DA107" s="285"/>
      <c r="DB107" s="357"/>
      <c r="DC107" s="285"/>
      <c r="DD107" s="357"/>
      <c r="DE107" s="285"/>
      <c r="DF107" s="357"/>
      <c r="DG107" s="285"/>
      <c r="DH107" s="357"/>
      <c r="DI107" s="285"/>
      <c r="DJ107" s="357"/>
      <c r="DK107" s="285"/>
      <c r="DL107" s="357"/>
      <c r="DM107" s="285"/>
      <c r="DN107" s="357"/>
      <c r="DO107" s="285"/>
      <c r="DP107" s="357"/>
      <c r="DQ107" s="285"/>
      <c r="DR107" s="357"/>
      <c r="DS107" s="285"/>
      <c r="DT107" s="357"/>
      <c r="DU107" s="285"/>
      <c r="DV107" s="357"/>
      <c r="DW107" s="285"/>
      <c r="DX107" s="357"/>
      <c r="DY107" s="285"/>
      <c r="DZ107" s="357"/>
      <c r="EA107" s="285"/>
      <c r="EB107" s="357"/>
      <c r="EC107" s="285"/>
      <c r="ED107" s="357"/>
      <c r="EE107" s="285"/>
      <c r="EF107" s="357"/>
      <c r="EG107" s="285"/>
      <c r="EH107" s="357"/>
      <c r="EI107" s="285"/>
      <c r="EJ107" s="357"/>
      <c r="EK107" s="285"/>
      <c r="EL107" s="357"/>
      <c r="EM107" s="285"/>
      <c r="EN107" s="357"/>
      <c r="EO107" s="285"/>
      <c r="EP107" s="357"/>
      <c r="EQ107" s="285"/>
      <c r="ER107" s="357"/>
      <c r="ES107" s="285"/>
      <c r="ET107" s="357"/>
      <c r="EU107" s="285"/>
      <c r="EV107" s="357"/>
      <c r="EW107" s="285"/>
      <c r="EX107" s="357"/>
      <c r="EY107" s="285"/>
      <c r="EZ107" s="357"/>
      <c r="FA107" s="285"/>
      <c r="FB107" s="357"/>
      <c r="FC107" s="285"/>
      <c r="FD107" s="357"/>
      <c r="FE107" s="285"/>
      <c r="FF107" s="357"/>
      <c r="FG107" s="285"/>
      <c r="FH107" s="357"/>
      <c r="FI107" s="285"/>
      <c r="FJ107" s="357"/>
      <c r="FK107" s="285"/>
      <c r="FL107" s="357"/>
      <c r="FM107" s="285"/>
      <c r="FN107" s="357"/>
      <c r="FO107" s="285"/>
      <c r="FP107" s="357"/>
      <c r="FQ107" s="177"/>
      <c r="FR107" s="285"/>
      <c r="FS107" s="357"/>
      <c r="FT107" s="285"/>
      <c r="FU107" s="357"/>
      <c r="FV107" s="285"/>
      <c r="FW107" s="357"/>
      <c r="FX107" s="285"/>
      <c r="FY107" s="357"/>
      <c r="FZ107" s="285"/>
      <c r="GA107" s="357"/>
      <c r="GB107" s="285"/>
      <c r="GC107" s="357"/>
      <c r="GD107" s="285"/>
      <c r="GE107" s="357"/>
      <c r="GF107" s="285"/>
      <c r="GG107" s="357"/>
      <c r="GH107" s="285"/>
      <c r="GI107" s="357"/>
      <c r="GJ107" s="285"/>
      <c r="GK107" s="357"/>
      <c r="GL107" s="285"/>
      <c r="GM107" s="357"/>
      <c r="GN107" s="285"/>
      <c r="GO107" s="357"/>
      <c r="GP107" s="285"/>
      <c r="GQ107" s="357"/>
      <c r="GR107" s="285"/>
      <c r="GS107" s="357"/>
      <c r="GT107" s="285"/>
      <c r="GU107" s="357"/>
      <c r="GV107" s="285"/>
      <c r="GW107" s="357"/>
      <c r="GX107" s="285"/>
      <c r="GY107" s="357"/>
      <c r="GZ107" s="285"/>
      <c r="HA107" s="357"/>
      <c r="HB107" s="285"/>
      <c r="HC107" s="357"/>
      <c r="HD107" s="285"/>
      <c r="HE107" s="357"/>
      <c r="HF107" s="285"/>
      <c r="HG107" s="357"/>
      <c r="HH107" s="285"/>
      <c r="HI107" s="357"/>
      <c r="HJ107" s="285"/>
      <c r="HK107" s="357"/>
      <c r="HL107" s="285"/>
      <c r="HM107" s="357"/>
      <c r="HN107" s="285"/>
      <c r="HO107" s="357"/>
      <c r="HP107" s="285"/>
      <c r="HQ107" s="357"/>
      <c r="HR107" s="285"/>
      <c r="HS107" s="357"/>
      <c r="HT107" s="285"/>
      <c r="HU107" s="357"/>
      <c r="HV107" s="285"/>
      <c r="HW107" s="357"/>
      <c r="HX107" s="285"/>
      <c r="HY107" s="357"/>
      <c r="HZ107" s="285"/>
      <c r="IA107" s="357"/>
      <c r="IB107" s="285"/>
      <c r="IC107" s="357"/>
      <c r="ID107" s="285"/>
      <c r="IE107" s="357"/>
      <c r="IF107" s="285"/>
      <c r="IG107" s="357"/>
      <c r="IH107" s="285"/>
      <c r="II107" s="357"/>
      <c r="IJ107" s="285"/>
      <c r="IK107" s="357"/>
      <c r="IL107" s="285"/>
      <c r="IM107" s="357"/>
      <c r="IN107" s="285"/>
      <c r="IO107" s="357"/>
      <c r="IP107" s="285"/>
      <c r="IQ107" s="357"/>
      <c r="IR107" s="285"/>
      <c r="IS107" s="357"/>
      <c r="IT107" s="285"/>
      <c r="IU107" s="357"/>
      <c r="IV107" s="285"/>
      <c r="IW107" s="357"/>
      <c r="IX107" s="285"/>
      <c r="IY107" s="357"/>
      <c r="IZ107" s="177"/>
      <c r="JA107" s="285"/>
      <c r="JB107" s="357"/>
      <c r="JC107" s="285"/>
      <c r="JD107" s="357"/>
      <c r="JE107" s="177"/>
      <c r="JF107" s="285"/>
      <c r="JG107" s="357"/>
      <c r="JH107" s="285"/>
      <c r="JI107" s="357"/>
      <c r="JJ107" s="285"/>
      <c r="JK107" s="357"/>
      <c r="JL107" s="285"/>
      <c r="JM107" s="357"/>
      <c r="JN107" s="285"/>
      <c r="JO107" s="357"/>
      <c r="JP107" s="285"/>
      <c r="JQ107" s="357"/>
      <c r="JR107" s="285"/>
      <c r="JS107" s="357"/>
      <c r="JT107" s="285"/>
      <c r="JU107" s="357"/>
      <c r="JV107" s="285"/>
      <c r="JW107" s="357"/>
      <c r="JX107" s="285"/>
      <c r="JY107" s="357"/>
      <c r="JZ107" s="285"/>
      <c r="KA107" s="357"/>
      <c r="KB107" s="285"/>
      <c r="KC107" s="357"/>
      <c r="KD107" s="285"/>
      <c r="KE107" s="357"/>
      <c r="KF107" s="285"/>
      <c r="KG107" s="357"/>
      <c r="KH107" s="285"/>
      <c r="KI107" s="357"/>
      <c r="KJ107" s="285"/>
      <c r="KK107" s="357"/>
      <c r="KL107" s="285"/>
      <c r="KM107" s="357"/>
      <c r="KN107" s="285"/>
      <c r="KO107" s="357"/>
      <c r="KP107" s="285"/>
      <c r="KQ107" s="357"/>
      <c r="KR107" s="285"/>
      <c r="KS107" s="357"/>
      <c r="KT107" s="285"/>
      <c r="KU107" s="357"/>
      <c r="KV107" s="285"/>
      <c r="KW107" s="357"/>
      <c r="KX107" s="285"/>
      <c r="KY107" s="357"/>
      <c r="KZ107" s="285"/>
      <c r="LA107" s="357"/>
      <c r="LB107" s="285"/>
      <c r="LC107" s="357"/>
      <c r="LD107" s="285"/>
      <c r="LE107" s="357"/>
      <c r="LF107" s="285"/>
      <c r="LG107" s="357"/>
      <c r="LH107" s="285"/>
      <c r="LI107" s="357"/>
      <c r="LJ107" s="285"/>
      <c r="LK107" s="357"/>
      <c r="LL107" s="285"/>
      <c r="LM107" s="357"/>
      <c r="LN107" s="285"/>
      <c r="LO107" s="357"/>
      <c r="LP107" s="285"/>
      <c r="LQ107" s="357"/>
      <c r="LR107" s="285"/>
      <c r="LS107" s="357"/>
      <c r="LT107" s="285"/>
      <c r="LU107" s="357"/>
      <c r="LV107" s="285"/>
      <c r="LW107" s="357"/>
      <c r="LX107" s="285"/>
      <c r="LY107" s="357"/>
      <c r="LZ107" s="285"/>
      <c r="MA107" s="357"/>
      <c r="MB107" s="285"/>
      <c r="MC107" s="357"/>
      <c r="MD107" s="285"/>
      <c r="ME107" s="357"/>
      <c r="MF107" s="285"/>
      <c r="MG107" s="357"/>
      <c r="MH107" s="177"/>
      <c r="MI107" s="285"/>
      <c r="MJ107" s="357"/>
      <c r="MK107" s="285"/>
      <c r="ML107" s="357"/>
      <c r="MM107" s="285"/>
      <c r="MN107" s="357"/>
      <c r="MO107" s="285"/>
      <c r="MP107" s="357"/>
      <c r="MQ107" s="285"/>
      <c r="MR107" s="357"/>
      <c r="MS107" s="285"/>
      <c r="MT107" s="357"/>
      <c r="MU107" s="285"/>
      <c r="MV107" s="357"/>
      <c r="MW107" s="285"/>
      <c r="MX107" s="357"/>
      <c r="MY107" s="285"/>
      <c r="MZ107" s="357"/>
      <c r="NA107" s="285"/>
      <c r="NB107" s="357"/>
      <c r="NC107" s="285"/>
      <c r="ND107" s="357"/>
      <c r="NE107" s="285"/>
      <c r="NF107" s="357"/>
      <c r="NG107" s="285"/>
      <c r="NH107" s="357"/>
      <c r="NI107" s="285"/>
      <c r="NJ107" s="357"/>
      <c r="NK107" s="285"/>
      <c r="NL107" s="357"/>
      <c r="NM107" s="285"/>
      <c r="NN107" s="357"/>
      <c r="NO107" s="285"/>
      <c r="NP107" s="357"/>
      <c r="NQ107" s="285"/>
      <c r="NR107" s="357"/>
      <c r="NS107" s="285"/>
      <c r="NT107" s="357"/>
      <c r="NU107" s="285"/>
      <c r="NV107" s="357"/>
      <c r="NW107" s="285"/>
      <c r="NX107" s="357"/>
      <c r="NY107" s="285"/>
      <c r="NZ107" s="357"/>
      <c r="OA107" s="285"/>
      <c r="OB107" s="357"/>
      <c r="OC107" s="285"/>
      <c r="OD107" s="357"/>
      <c r="OE107" s="285"/>
      <c r="OF107" s="357"/>
      <c r="OG107" s="285"/>
      <c r="OH107" s="357"/>
      <c r="OI107" s="285"/>
      <c r="OJ107" s="357"/>
      <c r="OK107" s="285"/>
      <c r="OL107" s="357"/>
      <c r="OM107" s="285"/>
      <c r="ON107" s="357"/>
      <c r="OO107" s="285"/>
      <c r="OP107" s="357"/>
      <c r="OQ107" s="285"/>
      <c r="OR107" s="357"/>
      <c r="OS107" s="285"/>
      <c r="OT107" s="357"/>
      <c r="OU107" s="285"/>
      <c r="OV107" s="357"/>
      <c r="OW107" s="285"/>
      <c r="OX107" s="357"/>
      <c r="OY107" s="285"/>
      <c r="OZ107" s="357"/>
      <c r="PA107" s="285"/>
      <c r="PB107" s="357"/>
      <c r="PC107" s="285"/>
      <c r="PD107" s="357"/>
      <c r="PE107" s="285"/>
      <c r="PF107" s="357"/>
      <c r="PG107" s="285"/>
      <c r="PH107" s="357"/>
      <c r="PI107" s="285"/>
      <c r="PJ107" s="357"/>
      <c r="PK107" s="285"/>
      <c r="PL107" s="357"/>
      <c r="PM107" s="285"/>
      <c r="PN107" s="357"/>
      <c r="PO107" s="285"/>
      <c r="PP107" s="357"/>
      <c r="PR107" s="285"/>
      <c r="PS107" s="357"/>
      <c r="PT107" s="285"/>
      <c r="PU107" s="357"/>
      <c r="PV107" s="285"/>
      <c r="PW107" s="357"/>
      <c r="PX107" s="285"/>
      <c r="PY107" s="357"/>
      <c r="PZ107" s="285"/>
      <c r="QA107" s="357"/>
      <c r="QB107" s="285"/>
      <c r="QC107" s="357"/>
      <c r="QF107" s="285"/>
      <c r="QG107" s="357"/>
      <c r="QH107" s="285"/>
      <c r="QI107" s="357"/>
      <c r="QJ107" s="285"/>
      <c r="QK107" s="357"/>
      <c r="QL107" s="285"/>
      <c r="QM107" s="357"/>
      <c r="QN107" s="285"/>
      <c r="QO107" s="357"/>
      <c r="QP107" s="285"/>
      <c r="QQ107" s="357"/>
    </row>
    <row r="108" spans="1:459" x14ac:dyDescent="0.45">
      <c r="A108" s="871"/>
      <c r="B108" s="453" t="s">
        <v>407</v>
      </c>
      <c r="C108" s="181"/>
      <c r="D108" s="199"/>
      <c r="E108" s="177"/>
      <c r="F108" s="285"/>
      <c r="G108" s="357"/>
      <c r="H108" s="285"/>
      <c r="I108" s="357"/>
      <c r="J108" s="285"/>
      <c r="K108" s="357"/>
      <c r="L108" s="285"/>
      <c r="M108" s="357"/>
      <c r="N108" s="285"/>
      <c r="O108" s="357"/>
      <c r="P108" s="285"/>
      <c r="Q108" s="357"/>
      <c r="R108" s="285"/>
      <c r="S108" s="357"/>
      <c r="T108" s="285"/>
      <c r="U108" s="357"/>
      <c r="V108" s="285"/>
      <c r="W108" s="357"/>
      <c r="X108" s="285"/>
      <c r="Y108" s="357"/>
      <c r="Z108" s="285"/>
      <c r="AA108" s="357"/>
      <c r="AB108" s="285"/>
      <c r="AC108" s="357"/>
      <c r="AD108" s="285"/>
      <c r="AE108" s="357"/>
      <c r="AF108" s="285"/>
      <c r="AG108" s="357"/>
      <c r="AH108" s="285"/>
      <c r="AI108" s="357"/>
      <c r="AJ108" s="285"/>
      <c r="AK108" s="357"/>
      <c r="AL108" s="285"/>
      <c r="AM108" s="357"/>
      <c r="AN108" s="285"/>
      <c r="AO108" s="357"/>
      <c r="AP108" s="285"/>
      <c r="AQ108" s="357"/>
      <c r="AR108" s="285"/>
      <c r="AS108" s="357"/>
      <c r="AT108" s="285"/>
      <c r="AU108" s="357"/>
      <c r="AV108" s="285"/>
      <c r="AW108" s="357"/>
      <c r="AX108" s="285"/>
      <c r="AY108" s="357"/>
      <c r="AZ108" s="285"/>
      <c r="BA108" s="357"/>
      <c r="BB108" s="285"/>
      <c r="BC108" s="357"/>
      <c r="BD108" s="285"/>
      <c r="BE108" s="357"/>
      <c r="BF108" s="285"/>
      <c r="BG108" s="357"/>
      <c r="BH108" s="285"/>
      <c r="BI108" s="357"/>
      <c r="BJ108" s="285"/>
      <c r="BK108" s="357"/>
      <c r="BL108" s="285"/>
      <c r="BM108" s="357"/>
      <c r="BN108" s="285"/>
      <c r="BO108" s="357"/>
      <c r="BP108" s="285"/>
      <c r="BQ108" s="357"/>
      <c r="BR108" s="285"/>
      <c r="BS108" s="357"/>
      <c r="BT108" s="285"/>
      <c r="BU108" s="357"/>
      <c r="BV108" s="285"/>
      <c r="BW108" s="357"/>
      <c r="BX108" s="285"/>
      <c r="BY108" s="357"/>
      <c r="BZ108" s="285"/>
      <c r="CA108" s="357"/>
      <c r="CB108" s="285"/>
      <c r="CC108" s="357"/>
      <c r="CD108" s="285"/>
      <c r="CE108" s="357"/>
      <c r="CF108" s="285"/>
      <c r="CG108" s="357"/>
      <c r="CH108" s="285"/>
      <c r="CI108" s="357"/>
      <c r="CJ108" s="285"/>
      <c r="CK108" s="357"/>
      <c r="CL108" s="285"/>
      <c r="CM108" s="357"/>
      <c r="CN108" s="285"/>
      <c r="CO108" s="357"/>
      <c r="CP108" s="285"/>
      <c r="CQ108" s="357"/>
      <c r="CR108" s="285"/>
      <c r="CS108" s="357"/>
      <c r="CT108" s="201"/>
      <c r="CU108" s="285"/>
      <c r="CV108" s="357"/>
      <c r="CW108" s="285"/>
      <c r="CX108" s="357"/>
      <c r="CY108" s="285"/>
      <c r="CZ108" s="357"/>
      <c r="DA108" s="285"/>
      <c r="DB108" s="357"/>
      <c r="DC108" s="285"/>
      <c r="DD108" s="357"/>
      <c r="DE108" s="285"/>
      <c r="DF108" s="357"/>
      <c r="DG108" s="285"/>
      <c r="DH108" s="357"/>
      <c r="DI108" s="285"/>
      <c r="DJ108" s="357"/>
      <c r="DK108" s="285"/>
      <c r="DL108" s="357"/>
      <c r="DM108" s="285"/>
      <c r="DN108" s="357"/>
      <c r="DO108" s="285"/>
      <c r="DP108" s="357"/>
      <c r="DQ108" s="285"/>
      <c r="DR108" s="357"/>
      <c r="DS108" s="285"/>
      <c r="DT108" s="357"/>
      <c r="DU108" s="285"/>
      <c r="DV108" s="357"/>
      <c r="DW108" s="285"/>
      <c r="DX108" s="357"/>
      <c r="DY108" s="285"/>
      <c r="DZ108" s="357"/>
      <c r="EA108" s="285"/>
      <c r="EB108" s="357"/>
      <c r="EC108" s="285"/>
      <c r="ED108" s="357"/>
      <c r="EE108" s="285"/>
      <c r="EF108" s="357"/>
      <c r="EG108" s="285"/>
      <c r="EH108" s="357"/>
      <c r="EI108" s="285"/>
      <c r="EJ108" s="357"/>
      <c r="EK108" s="285"/>
      <c r="EL108" s="357"/>
      <c r="EM108" s="285"/>
      <c r="EN108" s="357"/>
      <c r="EO108" s="285"/>
      <c r="EP108" s="357"/>
      <c r="EQ108" s="285"/>
      <c r="ER108" s="357"/>
      <c r="ES108" s="285"/>
      <c r="ET108" s="357"/>
      <c r="EU108" s="285"/>
      <c r="EV108" s="357"/>
      <c r="EW108" s="285"/>
      <c r="EX108" s="357"/>
      <c r="EY108" s="285"/>
      <c r="EZ108" s="357"/>
      <c r="FA108" s="285"/>
      <c r="FB108" s="357"/>
      <c r="FC108" s="285"/>
      <c r="FD108" s="357"/>
      <c r="FE108" s="285"/>
      <c r="FF108" s="357"/>
      <c r="FG108" s="285"/>
      <c r="FH108" s="357"/>
      <c r="FI108" s="285"/>
      <c r="FJ108" s="357"/>
      <c r="FK108" s="285"/>
      <c r="FL108" s="357"/>
      <c r="FM108" s="285"/>
      <c r="FN108" s="357"/>
      <c r="FO108" s="285"/>
      <c r="FP108" s="357"/>
      <c r="FQ108" s="177"/>
      <c r="FR108" s="285"/>
      <c r="FS108" s="357"/>
      <c r="FT108" s="285"/>
      <c r="FU108" s="357"/>
      <c r="FV108" s="285"/>
      <c r="FW108" s="357"/>
      <c r="FX108" s="285"/>
      <c r="FY108" s="357"/>
      <c r="FZ108" s="285"/>
      <c r="GA108" s="357"/>
      <c r="GB108" s="285"/>
      <c r="GC108" s="357"/>
      <c r="GD108" s="285"/>
      <c r="GE108" s="357"/>
      <c r="GF108" s="285"/>
      <c r="GG108" s="357"/>
      <c r="GH108" s="285"/>
      <c r="GI108" s="357"/>
      <c r="GJ108" s="285"/>
      <c r="GK108" s="357"/>
      <c r="GL108" s="285"/>
      <c r="GM108" s="357"/>
      <c r="GN108" s="285"/>
      <c r="GO108" s="357"/>
      <c r="GP108" s="285"/>
      <c r="GQ108" s="357"/>
      <c r="GR108" s="285"/>
      <c r="GS108" s="357"/>
      <c r="GT108" s="285"/>
      <c r="GU108" s="357"/>
      <c r="GV108" s="285"/>
      <c r="GW108" s="357"/>
      <c r="GX108" s="285"/>
      <c r="GY108" s="357"/>
      <c r="GZ108" s="285"/>
      <c r="HA108" s="357"/>
      <c r="HB108" s="285"/>
      <c r="HC108" s="357"/>
      <c r="HD108" s="285"/>
      <c r="HE108" s="357"/>
      <c r="HF108" s="285"/>
      <c r="HG108" s="357"/>
      <c r="HH108" s="285"/>
      <c r="HI108" s="357"/>
      <c r="HJ108" s="285"/>
      <c r="HK108" s="357"/>
      <c r="HL108" s="285"/>
      <c r="HM108" s="357"/>
      <c r="HN108" s="285"/>
      <c r="HO108" s="357"/>
      <c r="HP108" s="285"/>
      <c r="HQ108" s="357"/>
      <c r="HR108" s="285"/>
      <c r="HS108" s="357"/>
      <c r="HT108" s="285"/>
      <c r="HU108" s="357"/>
      <c r="HV108" s="285"/>
      <c r="HW108" s="357"/>
      <c r="HX108" s="285"/>
      <c r="HY108" s="357"/>
      <c r="HZ108" s="285"/>
      <c r="IA108" s="357"/>
      <c r="IB108" s="285"/>
      <c r="IC108" s="357"/>
      <c r="ID108" s="285"/>
      <c r="IE108" s="357"/>
      <c r="IF108" s="285"/>
      <c r="IG108" s="357"/>
      <c r="IH108" s="285"/>
      <c r="II108" s="357"/>
      <c r="IJ108" s="285"/>
      <c r="IK108" s="357"/>
      <c r="IL108" s="285"/>
      <c r="IM108" s="357"/>
      <c r="IN108" s="285"/>
      <c r="IO108" s="357"/>
      <c r="IP108" s="285"/>
      <c r="IQ108" s="357"/>
      <c r="IR108" s="285"/>
      <c r="IS108" s="357"/>
      <c r="IT108" s="285"/>
      <c r="IU108" s="357"/>
      <c r="IV108" s="285"/>
      <c r="IW108" s="357"/>
      <c r="IX108" s="285"/>
      <c r="IY108" s="357"/>
      <c r="IZ108" s="177"/>
      <c r="JA108" s="285"/>
      <c r="JB108" s="357"/>
      <c r="JC108" s="285"/>
      <c r="JD108" s="357"/>
      <c r="JE108" s="177"/>
      <c r="JF108" s="285"/>
      <c r="JG108" s="357"/>
      <c r="JH108" s="285"/>
      <c r="JI108" s="357"/>
      <c r="JJ108" s="285"/>
      <c r="JK108" s="357"/>
      <c r="JL108" s="285"/>
      <c r="JM108" s="357"/>
      <c r="JN108" s="285"/>
      <c r="JO108" s="357"/>
      <c r="JP108" s="285"/>
      <c r="JQ108" s="357"/>
      <c r="JR108" s="285"/>
      <c r="JS108" s="357"/>
      <c r="JT108" s="285"/>
      <c r="JU108" s="357"/>
      <c r="JV108" s="285"/>
      <c r="JW108" s="357"/>
      <c r="JX108" s="285"/>
      <c r="JY108" s="357"/>
      <c r="JZ108" s="285"/>
      <c r="KA108" s="357"/>
      <c r="KB108" s="285"/>
      <c r="KC108" s="357"/>
      <c r="KD108" s="285"/>
      <c r="KE108" s="357"/>
      <c r="KF108" s="285"/>
      <c r="KG108" s="357"/>
      <c r="KH108" s="285"/>
      <c r="KI108" s="357"/>
      <c r="KJ108" s="285"/>
      <c r="KK108" s="357"/>
      <c r="KL108" s="285"/>
      <c r="KM108" s="357"/>
      <c r="KN108" s="285"/>
      <c r="KO108" s="357"/>
      <c r="KP108" s="285"/>
      <c r="KQ108" s="357"/>
      <c r="KR108" s="285"/>
      <c r="KS108" s="357"/>
      <c r="KT108" s="285"/>
      <c r="KU108" s="357"/>
      <c r="KV108" s="285"/>
      <c r="KW108" s="357"/>
      <c r="KX108" s="285"/>
      <c r="KY108" s="357"/>
      <c r="KZ108" s="285"/>
      <c r="LA108" s="357"/>
      <c r="LB108" s="285"/>
      <c r="LC108" s="357"/>
      <c r="LD108" s="285"/>
      <c r="LE108" s="357"/>
      <c r="LF108" s="285"/>
      <c r="LG108" s="357"/>
      <c r="LH108" s="285"/>
      <c r="LI108" s="357"/>
      <c r="LJ108" s="285"/>
      <c r="LK108" s="357"/>
      <c r="LL108" s="285"/>
      <c r="LM108" s="357"/>
      <c r="LN108" s="285"/>
      <c r="LO108" s="357"/>
      <c r="LP108" s="285"/>
      <c r="LQ108" s="357"/>
      <c r="LR108" s="285"/>
      <c r="LS108" s="357"/>
      <c r="LT108" s="285"/>
      <c r="LU108" s="357"/>
      <c r="LV108" s="285"/>
      <c r="LW108" s="357"/>
      <c r="LX108" s="285"/>
      <c r="LY108" s="357"/>
      <c r="LZ108" s="285"/>
      <c r="MA108" s="357"/>
      <c r="MB108" s="285"/>
      <c r="MC108" s="357"/>
      <c r="MD108" s="285"/>
      <c r="ME108" s="357"/>
      <c r="MF108" s="285"/>
      <c r="MG108" s="357"/>
      <c r="MH108" s="177"/>
      <c r="MI108" s="285"/>
      <c r="MJ108" s="357"/>
      <c r="MK108" s="285"/>
      <c r="ML108" s="357"/>
      <c r="MM108" s="285"/>
      <c r="MN108" s="357"/>
      <c r="MO108" s="285"/>
      <c r="MP108" s="357"/>
      <c r="MQ108" s="285"/>
      <c r="MR108" s="357"/>
      <c r="MS108" s="285"/>
      <c r="MT108" s="357"/>
      <c r="MU108" s="285"/>
      <c r="MV108" s="357"/>
      <c r="MW108" s="285"/>
      <c r="MX108" s="357"/>
      <c r="MY108" s="285"/>
      <c r="MZ108" s="357"/>
      <c r="NA108" s="285"/>
      <c r="NB108" s="357"/>
      <c r="NC108" s="285"/>
      <c r="ND108" s="357"/>
      <c r="NE108" s="285"/>
      <c r="NF108" s="357"/>
      <c r="NG108" s="285"/>
      <c r="NH108" s="357"/>
      <c r="NI108" s="285"/>
      <c r="NJ108" s="357"/>
      <c r="NK108" s="285"/>
      <c r="NL108" s="357"/>
      <c r="NM108" s="285"/>
      <c r="NN108" s="357"/>
      <c r="NO108" s="285"/>
      <c r="NP108" s="357"/>
      <c r="NQ108" s="285"/>
      <c r="NR108" s="357"/>
      <c r="NS108" s="285"/>
      <c r="NT108" s="357"/>
      <c r="NU108" s="285"/>
      <c r="NV108" s="357"/>
      <c r="NW108" s="285"/>
      <c r="NX108" s="357"/>
      <c r="NY108" s="285"/>
      <c r="NZ108" s="357"/>
      <c r="OA108" s="285"/>
      <c r="OB108" s="357"/>
      <c r="OC108" s="285"/>
      <c r="OD108" s="357"/>
      <c r="OE108" s="285"/>
      <c r="OF108" s="357"/>
      <c r="OG108" s="285"/>
      <c r="OH108" s="357"/>
      <c r="OI108" s="285"/>
      <c r="OJ108" s="357"/>
      <c r="OK108" s="285"/>
      <c r="OL108" s="357"/>
      <c r="OM108" s="285"/>
      <c r="ON108" s="357"/>
      <c r="OO108" s="285"/>
      <c r="OP108" s="357"/>
      <c r="OQ108" s="285"/>
      <c r="OR108" s="357"/>
      <c r="OS108" s="285"/>
      <c r="OT108" s="357"/>
      <c r="OU108" s="285"/>
      <c r="OV108" s="357"/>
      <c r="OW108" s="285"/>
      <c r="OX108" s="357"/>
      <c r="OY108" s="285"/>
      <c r="OZ108" s="357"/>
      <c r="PA108" s="285"/>
      <c r="PB108" s="357"/>
      <c r="PC108" s="285"/>
      <c r="PD108" s="357"/>
      <c r="PE108" s="285"/>
      <c r="PF108" s="357"/>
      <c r="PG108" s="285"/>
      <c r="PH108" s="357"/>
      <c r="PI108" s="285"/>
      <c r="PJ108" s="357"/>
      <c r="PK108" s="285"/>
      <c r="PL108" s="357"/>
      <c r="PM108" s="285"/>
      <c r="PN108" s="357"/>
      <c r="PO108" s="285"/>
      <c r="PP108" s="357"/>
      <c r="PR108" s="285"/>
      <c r="PS108" s="357"/>
      <c r="PT108" s="285"/>
      <c r="PU108" s="357"/>
      <c r="PV108" s="285"/>
      <c r="PW108" s="357"/>
      <c r="PX108" s="285"/>
      <c r="PY108" s="357"/>
      <c r="PZ108" s="285"/>
      <c r="QA108" s="357"/>
      <c r="QB108" s="285"/>
      <c r="QC108" s="357"/>
      <c r="QF108" s="285"/>
      <c r="QG108" s="357"/>
      <c r="QH108" s="285"/>
      <c r="QI108" s="357"/>
      <c r="QJ108" s="285"/>
      <c r="QK108" s="357"/>
      <c r="QL108" s="285"/>
      <c r="QM108" s="357"/>
      <c r="QN108" s="285"/>
      <c r="QO108" s="357"/>
      <c r="QP108" s="285"/>
      <c r="QQ108" s="357"/>
    </row>
    <row r="109" spans="1:459" x14ac:dyDescent="0.45">
      <c r="A109" s="871"/>
      <c r="B109" s="180" t="s">
        <v>408</v>
      </c>
      <c r="C109" s="181"/>
      <c r="D109" s="199"/>
      <c r="E109" s="454"/>
      <c r="F109" s="469"/>
      <c r="G109" s="470">
        <f>G60-G85</f>
        <v>2.2964556352716441</v>
      </c>
      <c r="H109" s="469"/>
      <c r="I109" s="470">
        <f>I60-I85</f>
        <v>2.2964556352716441</v>
      </c>
      <c r="J109" s="469"/>
      <c r="K109" s="470">
        <f>K60-K85</f>
        <v>2.523390920856845</v>
      </c>
      <c r="L109" s="469"/>
      <c r="M109" s="470">
        <f>M60-M85</f>
        <v>2.523390920856845</v>
      </c>
      <c r="N109" s="469"/>
      <c r="O109" s="470">
        <f>O60-O85</f>
        <v>2.410641847424345</v>
      </c>
      <c r="P109" s="469"/>
      <c r="Q109" s="470">
        <f>Q60-Q85</f>
        <v>2.3048369160965603</v>
      </c>
      <c r="R109" s="469"/>
      <c r="S109" s="470">
        <f>S60-S85</f>
        <v>2.0291271310623538</v>
      </c>
      <c r="T109" s="469"/>
      <c r="U109" s="470">
        <f>U87-U92</f>
        <v>-1.6291271310623534</v>
      </c>
      <c r="V109" s="469"/>
      <c r="W109" s="470">
        <f>W87-W92</f>
        <v>-1.6291271310623534</v>
      </c>
      <c r="X109" s="469"/>
      <c r="Y109" s="470">
        <f>Y87-Y92</f>
        <v>-1.6291271310623534</v>
      </c>
      <c r="Z109" s="469"/>
      <c r="AA109" s="470">
        <f>AA60-AA85</f>
        <v>2.4131891790968831</v>
      </c>
      <c r="AB109" s="469"/>
      <c r="AC109" s="470">
        <f>AC60-AC85</f>
        <v>2.0667832167832172</v>
      </c>
      <c r="AD109" s="469"/>
      <c r="AE109" s="470">
        <f>AE60-AE85</f>
        <v>2.0579310344827579</v>
      </c>
      <c r="AF109" s="469"/>
      <c r="AG109" s="470">
        <f>AG60-AG85</f>
        <v>3.0228016608552162</v>
      </c>
      <c r="AH109" s="469"/>
      <c r="AI109" s="470">
        <f>AI60-AI85</f>
        <v>2.8722580645161289</v>
      </c>
      <c r="AJ109" s="469"/>
      <c r="AK109" s="470">
        <f>AK60-AK85</f>
        <v>3.0885328618212666</v>
      </c>
      <c r="AL109" s="469"/>
      <c r="AM109" s="470">
        <f>AM60-AM85</f>
        <v>2.9606417665804869</v>
      </c>
      <c r="AN109" s="469"/>
      <c r="AO109" s="470">
        <f>AO60-AO85</f>
        <v>2.8478946768742501</v>
      </c>
      <c r="AP109" s="469"/>
      <c r="AQ109" s="470">
        <f>AQ60-AQ85</f>
        <v>2.6882278381110387</v>
      </c>
      <c r="AR109" s="469"/>
      <c r="AS109" s="470">
        <f>AS60-AS85</f>
        <v>2.4965517241379303</v>
      </c>
      <c r="AT109" s="469"/>
      <c r="AU109" s="470">
        <f>AU60-AU85</f>
        <v>2.4965517241379303</v>
      </c>
      <c r="AV109" s="469"/>
      <c r="AW109" s="470">
        <f>AW60-AW85</f>
        <v>2.7427329035251971</v>
      </c>
      <c r="AX109" s="469"/>
      <c r="AY109" s="470">
        <f>AY60-AY85</f>
        <v>2.9941877077560086</v>
      </c>
      <c r="AZ109" s="469"/>
      <c r="BA109" s="470">
        <f>BA60-BA85</f>
        <v>3.0707879449032855</v>
      </c>
      <c r="BB109" s="469"/>
      <c r="BC109" s="470">
        <f>BC60-BC85</f>
        <v>3.0722189286354</v>
      </c>
      <c r="BD109" s="469"/>
      <c r="BE109" s="470">
        <f>BE60-BE85</f>
        <v>3.0856194842143898</v>
      </c>
      <c r="BF109" s="469"/>
      <c r="BG109" s="470">
        <f>BG60-BG85</f>
        <v>3.3089016338846111</v>
      </c>
      <c r="BH109" s="469"/>
      <c r="BI109" s="470">
        <f>BI60-BI85</f>
        <v>3.5086451730883637</v>
      </c>
      <c r="BJ109" s="469"/>
      <c r="BK109" s="470">
        <f>BK60-BK85</f>
        <v>3.5394350205323892</v>
      </c>
      <c r="BL109" s="469"/>
      <c r="BM109" s="470">
        <f>BM60-BM85</f>
        <v>3.0794041177268969</v>
      </c>
      <c r="BN109" s="469"/>
      <c r="BO109" s="470">
        <f>BO60-BO85</f>
        <v>2.9787730788358635</v>
      </c>
      <c r="BP109" s="469"/>
      <c r="BQ109" s="470">
        <f>BQ60-BQ85</f>
        <v>2.8416254591728194</v>
      </c>
      <c r="BR109" s="469"/>
      <c r="BS109" s="470">
        <f>BS60-BS85</f>
        <v>3.1960146993020677</v>
      </c>
      <c r="BT109" s="469"/>
      <c r="BU109" s="470">
        <f>BU60-BU85</f>
        <v>3.0016757172812785</v>
      </c>
      <c r="BV109" s="469"/>
      <c r="BW109" s="470">
        <f>BW60-BW85</f>
        <v>2.9784151621005348</v>
      </c>
      <c r="BX109" s="469"/>
      <c r="BY109" s="470">
        <f>BY60-BY85</f>
        <v>3.2308500631480221</v>
      </c>
      <c r="BZ109" s="469"/>
      <c r="CA109" s="470">
        <f>CA60-CA85</f>
        <v>3.0986082743684014</v>
      </c>
      <c r="CB109" s="469"/>
      <c r="CC109" s="470">
        <f>CC60-CC85</f>
        <v>3.3364572953343998</v>
      </c>
      <c r="CD109" s="469"/>
      <c r="CE109" s="470">
        <f>CE60-CE85</f>
        <v>3.2096862135802837</v>
      </c>
      <c r="CF109" s="469"/>
      <c r="CG109" s="470">
        <f>CG60-CG85</f>
        <v>2.806083038053993</v>
      </c>
      <c r="CH109" s="469"/>
      <c r="CI109" s="470">
        <f>CI60-CI85</f>
        <v>2.8817156052344863</v>
      </c>
      <c r="CJ109" s="469"/>
      <c r="CK109" s="470">
        <f>CK60-CK85</f>
        <v>2.9464051435715346</v>
      </c>
      <c r="CL109" s="469"/>
      <c r="CM109" s="470">
        <f>CM60-CM85</f>
        <v>3.0425611085395632</v>
      </c>
      <c r="CN109" s="469"/>
      <c r="CO109" s="470">
        <f>CO60-CO85</f>
        <v>3.0507425371403025</v>
      </c>
      <c r="CP109" s="469"/>
      <c r="CQ109" s="470">
        <f>CQ60-CQ85</f>
        <v>3.0320987654320986</v>
      </c>
      <c r="CR109" s="469"/>
      <c r="CS109" s="470">
        <f>CS60-CS85</f>
        <v>3.0320987654320986</v>
      </c>
      <c r="CT109" s="201"/>
      <c r="CU109" s="285"/>
      <c r="CV109" s="470">
        <f>CV60-CV85</f>
        <v>3.7065821809699218</v>
      </c>
      <c r="CW109" s="285"/>
      <c r="CX109" s="470">
        <f>CX60-CX85</f>
        <v>3.3109771118281168</v>
      </c>
      <c r="CY109" s="285"/>
      <c r="CZ109" s="470">
        <f>CZ60-CZ85</f>
        <v>3.6109771118281158</v>
      </c>
      <c r="DA109" s="285"/>
      <c r="DB109" s="470">
        <f>DB60-DB85</f>
        <v>2.7118881118881113</v>
      </c>
      <c r="DC109" s="285"/>
      <c r="DD109" s="470">
        <f>DD60-DD85</f>
        <v>3.1982758620689644</v>
      </c>
      <c r="DE109" s="285"/>
      <c r="DF109" s="470">
        <f>DF60-DF85</f>
        <v>4.6263886320198537</v>
      </c>
      <c r="DG109" s="285"/>
      <c r="DH109" s="470">
        <f>DH60-DH85</f>
        <v>4.1499999999999995</v>
      </c>
      <c r="DI109" s="285"/>
      <c r="DJ109" s="470">
        <f>DJ60-DJ85</f>
        <v>4.8271780755704459</v>
      </c>
      <c r="DK109" s="285"/>
      <c r="DL109" s="470">
        <f>DL60-DL85</f>
        <v>4.4595684222772274</v>
      </c>
      <c r="DM109" s="285"/>
      <c r="DN109" s="470">
        <f>DN60-DN85</f>
        <v>4.5067313084003375</v>
      </c>
      <c r="DO109" s="285"/>
      <c r="DP109" s="470">
        <f>DP60-DP85</f>
        <v>4.5705630054544537</v>
      </c>
      <c r="DQ109" s="285"/>
      <c r="DR109" s="470">
        <f>DR60-DR85</f>
        <v>3.9017241379310343</v>
      </c>
      <c r="DS109" s="285"/>
      <c r="DT109" s="470">
        <f>DT60-DT85</f>
        <v>3.9017241379310343</v>
      </c>
      <c r="DU109" s="285"/>
      <c r="DV109" s="470">
        <f>DV60-DV85</f>
        <v>4.2960311414525885</v>
      </c>
      <c r="DW109" s="285"/>
      <c r="DX109" s="470">
        <f>DX60-DX85</f>
        <v>4.3495225757628306</v>
      </c>
      <c r="DY109" s="285"/>
      <c r="DZ109" s="470">
        <f>DZ60-DZ85</f>
        <v>4.6276723280165841</v>
      </c>
      <c r="EA109" s="285"/>
      <c r="EB109" s="470">
        <f>EB60-EB85</f>
        <v>4.4376680406406823</v>
      </c>
      <c r="EC109" s="285"/>
      <c r="ED109" s="470">
        <f>ED60-ED85</f>
        <v>4.7229206442143772</v>
      </c>
      <c r="EE109" s="285"/>
      <c r="EF109" s="470">
        <f>EF60-EF85</f>
        <v>4.8832227390912326</v>
      </c>
      <c r="EG109" s="285"/>
      <c r="EH109" s="470">
        <f>EH60-EH85</f>
        <v>4.8210176025090963</v>
      </c>
      <c r="EI109" s="285"/>
      <c r="EJ109" s="470">
        <f>EJ60-EJ85</f>
        <v>4.7757564811866091</v>
      </c>
      <c r="EK109" s="285"/>
      <c r="EL109" s="470">
        <f>EL60-EL85</f>
        <v>4.6091969716790562</v>
      </c>
      <c r="EM109" s="285"/>
      <c r="EN109" s="470">
        <f>EN60-EN85</f>
        <v>4.9837436131812627</v>
      </c>
      <c r="EO109" s="285"/>
      <c r="EP109" s="470">
        <f>EP60-EP85</f>
        <v>4.2889652434467518</v>
      </c>
      <c r="EQ109" s="285"/>
      <c r="ER109" s="470">
        <f>ER60-ER85</f>
        <v>4.9711310963685618</v>
      </c>
      <c r="ES109" s="285"/>
      <c r="ET109" s="470">
        <f>ET60-ET85</f>
        <v>4.7211524181149596</v>
      </c>
      <c r="EU109" s="285"/>
      <c r="EV109" s="470">
        <f>EV60-EV85</f>
        <v>4.8158066694794091</v>
      </c>
      <c r="EW109" s="285"/>
      <c r="EX109" s="470">
        <f>EX60-EX85</f>
        <v>4.90269056070919</v>
      </c>
      <c r="EY109" s="285"/>
      <c r="EZ109" s="470">
        <f>EZ60-EZ85</f>
        <v>4.723429622054085</v>
      </c>
      <c r="FA109" s="285"/>
      <c r="FB109" s="470">
        <f>FB60-FB85</f>
        <v>4.2896948794396748</v>
      </c>
      <c r="FC109" s="285"/>
      <c r="FD109" s="470">
        <f>FD60-FD85</f>
        <v>4.5101885038666092</v>
      </c>
      <c r="FE109" s="285"/>
      <c r="FF109" s="470">
        <f>FF60-FF85</f>
        <v>5.2106023267204584</v>
      </c>
      <c r="FG109" s="285"/>
      <c r="FH109" s="470">
        <f>FH60-FH85</f>
        <v>4.920800481904946</v>
      </c>
      <c r="FI109" s="285"/>
      <c r="FJ109" s="470">
        <f>FJ60-FJ85</f>
        <v>4.7808788194337328</v>
      </c>
      <c r="FK109" s="285"/>
      <c r="FL109" s="470">
        <f>FL60-FL85</f>
        <v>4.7604562859378907</v>
      </c>
      <c r="FM109" s="285"/>
      <c r="FN109" s="470">
        <f>FN60-FN85</f>
        <v>4.7105431623128737</v>
      </c>
      <c r="FO109" s="285"/>
      <c r="FP109" s="470">
        <f>FP60-FP85</f>
        <v>4.7105431623128737</v>
      </c>
      <c r="FQ109" s="177"/>
      <c r="FR109" s="469"/>
      <c r="FS109" s="470">
        <f>FS60-FS85</f>
        <v>1.9424786055867882</v>
      </c>
      <c r="FT109" s="469"/>
      <c r="FU109" s="470">
        <f>FU60-FU85</f>
        <v>1.6521844327904391</v>
      </c>
      <c r="FV109" s="469"/>
      <c r="FW109" s="470">
        <f>FW60-FW85</f>
        <v>1.3950245329109592</v>
      </c>
      <c r="FX109" s="469"/>
      <c r="FY109" s="470">
        <f>FY60-FY85</f>
        <v>1.0647260048856166</v>
      </c>
      <c r="FZ109" s="469"/>
      <c r="GA109" s="470">
        <f>GA87-GA92</f>
        <v>-0.66472600488561628</v>
      </c>
      <c r="GB109" s="469"/>
      <c r="GC109" s="470">
        <f>GC87-GC92</f>
        <v>-0.66472600488561628</v>
      </c>
      <c r="GD109" s="469"/>
      <c r="GE109" s="470">
        <f>GE87-GE92</f>
        <v>-0.66472600488561628</v>
      </c>
      <c r="GF109" s="469"/>
      <c r="GG109" s="470">
        <f>GG60-GG85</f>
        <v>1.4555321167395627</v>
      </c>
      <c r="GH109" s="469"/>
      <c r="GI109" s="470">
        <f>GI60-GI85</f>
        <v>1.7786713286713285</v>
      </c>
      <c r="GJ109" s="469"/>
      <c r="GK109" s="470">
        <f>GK60-GK85</f>
        <v>2.0724137931034479</v>
      </c>
      <c r="GL109" s="469"/>
      <c r="GM109" s="470">
        <f>GM60-GM85</f>
        <v>3.1018513847261309</v>
      </c>
      <c r="GN109" s="469"/>
      <c r="GO109" s="470">
        <f>GO60-GO85</f>
        <v>2.9645161290322584</v>
      </c>
      <c r="GP109" s="469"/>
      <c r="GQ109" s="470">
        <f>GQ60-GQ85</f>
        <v>3.1890908335634558</v>
      </c>
      <c r="GR109" s="469"/>
      <c r="GS109" s="470">
        <f>GS60-GS85</f>
        <v>3.0426610937519829</v>
      </c>
      <c r="GT109" s="469"/>
      <c r="GU109" s="470">
        <f>GU60-GU85</f>
        <v>3.1006453273269532</v>
      </c>
      <c r="GV109" s="469"/>
      <c r="GW109" s="470">
        <f>GW60-GW85</f>
        <v>2.2592108577397987</v>
      </c>
      <c r="GX109" s="469"/>
      <c r="GY109" s="470">
        <f>GY60-GY85</f>
        <v>2.431034482758621</v>
      </c>
      <c r="GZ109" s="469"/>
      <c r="HA109" s="470">
        <f>HA60-HA85</f>
        <v>2.431034482758621</v>
      </c>
      <c r="HB109" s="469"/>
      <c r="HC109" s="470">
        <f>HC60-HC85</f>
        <v>2.4432006681517011</v>
      </c>
      <c r="HD109" s="469"/>
      <c r="HE109" s="470">
        <f>HE60-HE85</f>
        <v>3.14845659977148</v>
      </c>
      <c r="HF109" s="469"/>
      <c r="HG109" s="470">
        <f>HG60-HG85</f>
        <v>3.0900563655796267</v>
      </c>
      <c r="HH109" s="469"/>
      <c r="HI109" s="470">
        <f>HI60-HI85</f>
        <v>3.1615418979177381</v>
      </c>
      <c r="HJ109" s="469"/>
      <c r="HK109" s="470">
        <f>HK60-HK85</f>
        <v>3.1993778949599179</v>
      </c>
      <c r="HL109" s="469"/>
      <c r="HM109" s="470">
        <f>HM60-HM85</f>
        <v>3.3967008206757612</v>
      </c>
      <c r="HN109" s="469"/>
      <c r="HO109" s="470">
        <f>HO60-HO85</f>
        <v>3.3701768630988784</v>
      </c>
      <c r="HP109" s="469"/>
      <c r="HQ109" s="470">
        <f>HQ60-HQ85</f>
        <v>3.3346151885182556</v>
      </c>
      <c r="HR109" s="469"/>
      <c r="HS109" s="470">
        <f>HS60-HS85</f>
        <v>3.0661559478258171</v>
      </c>
      <c r="HT109" s="469"/>
      <c r="HU109" s="470">
        <f>HU60-HU85</f>
        <v>3.1470554324029285</v>
      </c>
      <c r="HV109" s="469"/>
      <c r="HW109" s="470">
        <f>HW60-HW85</f>
        <v>2.9650526507926749</v>
      </c>
      <c r="HX109" s="469"/>
      <c r="HY109" s="470">
        <f>HY60-HY85</f>
        <v>2.3057378651694931</v>
      </c>
      <c r="HZ109" s="469"/>
      <c r="IA109" s="470">
        <f>IA60-IA85</f>
        <v>2.1741941242665739</v>
      </c>
      <c r="IB109" s="469"/>
      <c r="IC109" s="470">
        <f>IC60-IC85</f>
        <v>3.1680982422951987</v>
      </c>
      <c r="ID109" s="469"/>
      <c r="IE109" s="470">
        <f>IE60-IE85</f>
        <v>3.2599556748393423</v>
      </c>
      <c r="IF109" s="469"/>
      <c r="IG109" s="470">
        <f>IG60-IG85</f>
        <v>3.2282771589377353</v>
      </c>
      <c r="IH109" s="469"/>
      <c r="II109" s="470">
        <f>II60-II85</f>
        <v>3.0736729213346914</v>
      </c>
      <c r="IJ109" s="469"/>
      <c r="IK109" s="470">
        <f>IK60-IK85</f>
        <v>2.9123279081930882</v>
      </c>
      <c r="IL109" s="469"/>
      <c r="IM109" s="470">
        <f>IM60-IM85</f>
        <v>3.002530147013176</v>
      </c>
      <c r="IN109" s="469"/>
      <c r="IO109" s="470">
        <f>IO60-IO85</f>
        <v>3.0892625124836828</v>
      </c>
      <c r="IP109" s="469"/>
      <c r="IQ109" s="470">
        <f>IQ60-IQ85</f>
        <v>3.1634458555900675</v>
      </c>
      <c r="IR109" s="469"/>
      <c r="IS109" s="470">
        <f>IS60-IS85</f>
        <v>3.099974820068482</v>
      </c>
      <c r="IT109" s="469"/>
      <c r="IU109" s="470">
        <f>IU60-IU85</f>
        <v>2.9694637725447981</v>
      </c>
      <c r="IV109" s="469"/>
      <c r="IW109" s="470">
        <f>IW60-IW85</f>
        <v>3.213025110730622</v>
      </c>
      <c r="IX109" s="469"/>
      <c r="IY109" s="470">
        <f>IY60-IY85</f>
        <v>3.1913580246913584</v>
      </c>
      <c r="IZ109" s="454"/>
      <c r="JA109" s="469"/>
      <c r="JB109" s="470">
        <f>JB60-JB85</f>
        <v>2.75</v>
      </c>
      <c r="JC109" s="469"/>
      <c r="JD109" s="470">
        <f>JD60-JD85</f>
        <v>2.6772151898734178</v>
      </c>
      <c r="JE109" s="177"/>
      <c r="JF109" s="469"/>
      <c r="JG109" s="470">
        <f>JG60-JG85</f>
        <v>2.1807885316769839</v>
      </c>
      <c r="JH109" s="469"/>
      <c r="JI109" s="470">
        <f>JI60-JI85</f>
        <v>1.900903262631954</v>
      </c>
      <c r="JJ109" s="469"/>
      <c r="JK109" s="470">
        <f>JK60-JK85</f>
        <v>1.6905867956955936</v>
      </c>
      <c r="JL109" s="469"/>
      <c r="JM109" s="470">
        <f>JM60-JM85</f>
        <v>1.4140220034373288</v>
      </c>
      <c r="JN109" s="469"/>
      <c r="JO109" s="470">
        <f>JO87-JO92</f>
        <v>-1.3140220034373291</v>
      </c>
      <c r="JP109" s="469"/>
      <c r="JQ109" s="470">
        <f>JQ60-JQ85</f>
        <v>1.94818968173497</v>
      </c>
      <c r="JR109" s="469"/>
      <c r="JS109" s="470">
        <f>JS60-JS85</f>
        <v>1.4349650349650345</v>
      </c>
      <c r="JT109" s="469"/>
      <c r="JU109" s="470">
        <f>JU60-JU85</f>
        <v>1.693793103448276</v>
      </c>
      <c r="JV109" s="469"/>
      <c r="JW109" s="470">
        <f>JW60-JW85</f>
        <v>2.3438758171417069</v>
      </c>
      <c r="JX109" s="469"/>
      <c r="JY109" s="470">
        <f>JY60-JY85</f>
        <v>1.9896774193548383</v>
      </c>
      <c r="JZ109" s="469"/>
      <c r="KA109" s="470">
        <f>KA60-KA85</f>
        <v>2.3006390622272939</v>
      </c>
      <c r="KB109" s="469"/>
      <c r="KC109" s="470">
        <f>KC60-KC85</f>
        <v>2.2240468035837244</v>
      </c>
      <c r="KD109" s="469"/>
      <c r="KE109" s="470">
        <f>KE60-KE85</f>
        <v>2.2635321529178487</v>
      </c>
      <c r="KF109" s="469"/>
      <c r="KG109" s="470">
        <f>KG60-KG85</f>
        <v>1.7894651385045384</v>
      </c>
      <c r="KH109" s="469"/>
      <c r="KI109" s="470">
        <f>KI60-KI85</f>
        <v>1.8344827586206893</v>
      </c>
      <c r="KJ109" s="469"/>
      <c r="KK109" s="470">
        <f>KK60-KK85</f>
        <v>1.8344827586206893</v>
      </c>
      <c r="KL109" s="469"/>
      <c r="KM109" s="470">
        <f>KM60-KM85</f>
        <v>1.9011516091809781</v>
      </c>
      <c r="KN109" s="469"/>
      <c r="KO109" s="470">
        <f>KO60-KO85</f>
        <v>2.143461616965995</v>
      </c>
      <c r="KP109" s="469"/>
      <c r="KQ109" s="470">
        <f>KQ60-KQ85</f>
        <v>1.9606942451015232</v>
      </c>
      <c r="KR109" s="469"/>
      <c r="KS109" s="470">
        <f>KS60-KS85</f>
        <v>2.1981353119886471</v>
      </c>
      <c r="KT109" s="469"/>
      <c r="KU109" s="470">
        <f>KU60-KU85</f>
        <v>2.223136708909399</v>
      </c>
      <c r="KV109" s="469"/>
      <c r="KW109" s="470">
        <f>KW60-KW85</f>
        <v>2.3832077458316174</v>
      </c>
      <c r="KX109" s="469"/>
      <c r="KY109" s="470">
        <f>KY60-KY85</f>
        <v>2.5223801064823235</v>
      </c>
      <c r="KZ109" s="469"/>
      <c r="LA109" s="470">
        <f>LA60-LA85</f>
        <v>2.6473090600897748</v>
      </c>
      <c r="LB109" s="469"/>
      <c r="LC109" s="470">
        <f>LC60-LC85</f>
        <v>2.2166945866398935</v>
      </c>
      <c r="LD109" s="469"/>
      <c r="LE109" s="470">
        <f>LE60-LE85</f>
        <v>2.1697949434463322</v>
      </c>
      <c r="LF109" s="469"/>
      <c r="LG109" s="470">
        <f>LG60-LG85</f>
        <v>1.7073627107940004</v>
      </c>
      <c r="LH109" s="469"/>
      <c r="LI109" s="470">
        <f>LI60-LI85</f>
        <v>2.3192834660799777</v>
      </c>
      <c r="LJ109" s="469"/>
      <c r="LK109" s="470">
        <f>LK60-LK85</f>
        <v>2.0182523891842914</v>
      </c>
      <c r="LL109" s="469"/>
      <c r="LM109" s="470">
        <f>LM60-LM85</f>
        <v>2.3364767522497969</v>
      </c>
      <c r="LN109" s="469"/>
      <c r="LO109" s="470">
        <f>LO60-LO85</f>
        <v>2.4259573980451652</v>
      </c>
      <c r="LP109" s="469"/>
      <c r="LQ109" s="470">
        <f>LQ60-LQ85</f>
        <v>2.2936860308193241</v>
      </c>
      <c r="LR109" s="469"/>
      <c r="LS109" s="470">
        <f>LS60-LS85</f>
        <v>2.0804634231776511</v>
      </c>
      <c r="LT109" s="469"/>
      <c r="LU109" s="470">
        <f>LU60-LU85</f>
        <v>1.9401339369578539</v>
      </c>
      <c r="LV109" s="469"/>
      <c r="LW109" s="470">
        <f>LW60-LW85</f>
        <v>2.0163538831786765</v>
      </c>
      <c r="LX109" s="469"/>
      <c r="LY109" s="470">
        <f>LY60-LY85</f>
        <v>2.091824409508221</v>
      </c>
      <c r="LZ109" s="469"/>
      <c r="MA109" s="470">
        <f>MA60-MA85</f>
        <v>2.156375352155206</v>
      </c>
      <c r="MB109" s="469"/>
      <c r="MC109" s="470">
        <f>MC60-MC85</f>
        <v>2.131848330040496</v>
      </c>
      <c r="MD109" s="469"/>
      <c r="ME109" s="470">
        <f>ME60-ME85</f>
        <v>2.6614052378416915</v>
      </c>
      <c r="MF109" s="469"/>
      <c r="MG109" s="470">
        <f>MG60-MG85</f>
        <v>2.2320987654320987</v>
      </c>
      <c r="MH109" s="177"/>
      <c r="MI109" s="469"/>
      <c r="MJ109" s="470">
        <f>MJ60-MJ85</f>
        <v>2.2416051002957644</v>
      </c>
      <c r="MK109" s="469"/>
      <c r="ML109" s="470">
        <f>ML60-ML85</f>
        <v>2.0734922741610653</v>
      </c>
      <c r="MM109" s="469"/>
      <c r="MN109" s="470">
        <f>MN60-MN85</f>
        <v>1.8355162825618128</v>
      </c>
      <c r="MO109" s="469"/>
      <c r="MP109" s="470">
        <f>MP60-MP85</f>
        <v>1.6036472595155216</v>
      </c>
      <c r="MQ109" s="469"/>
      <c r="MR109" s="470">
        <f>MR87-MR94+MR134</f>
        <v>2.040883647835395E-2</v>
      </c>
      <c r="MS109" s="469"/>
      <c r="MT109" s="470">
        <f>MT60-MT85</f>
        <v>1.9322930828755531</v>
      </c>
      <c r="MU109" s="469"/>
      <c r="MV109" s="470">
        <f>MV60-MV85</f>
        <v>1.755944055944056</v>
      </c>
      <c r="MW109" s="469"/>
      <c r="MX109" s="470">
        <f>MX60-MX85</f>
        <v>2.2979310344827582</v>
      </c>
      <c r="MY109" s="469"/>
      <c r="MZ109" s="470">
        <f>MZ60-MZ85</f>
        <v>2.9727686628949339</v>
      </c>
      <c r="NA109" s="469"/>
      <c r="NB109" s="470">
        <f>NB60-NB85</f>
        <v>2.7303225806451614</v>
      </c>
      <c r="NC109" s="469"/>
      <c r="ND109" s="470">
        <f>ND60-ND85</f>
        <v>2.9451993217643921</v>
      </c>
      <c r="NE109" s="469"/>
      <c r="NF109" s="470">
        <f>NF60-NF85</f>
        <v>2.9728027955721372</v>
      </c>
      <c r="NG109" s="469"/>
      <c r="NH109" s="470">
        <f>NH60-NH85</f>
        <v>2.9686036607351496</v>
      </c>
      <c r="NI109" s="469"/>
      <c r="NJ109" s="470">
        <f>NJ60-NJ85</f>
        <v>2.6072339863058467</v>
      </c>
      <c r="NK109" s="469"/>
      <c r="NL109" s="470">
        <f>NL60-NL85</f>
        <v>2.5241379310344829</v>
      </c>
      <c r="NM109" s="469"/>
      <c r="NN109" s="470">
        <f>NN60-NN85</f>
        <v>2.5241379310344829</v>
      </c>
      <c r="NO109" s="469"/>
      <c r="NP109" s="470">
        <f>NP60-NP85</f>
        <v>2.6911936174427256</v>
      </c>
      <c r="NQ109" s="469"/>
      <c r="NR109" s="470">
        <f>NR60-NR85</f>
        <v>2.9364753934074415</v>
      </c>
      <c r="NS109" s="469"/>
      <c r="NT109" s="470">
        <f>NT60-NT85</f>
        <v>3.0028920417733365</v>
      </c>
      <c r="NU109" s="469"/>
      <c r="NV109" s="470">
        <f>NV60-NV85</f>
        <v>2.4401117951374616</v>
      </c>
      <c r="NW109" s="469"/>
      <c r="NX109" s="470">
        <f>NX60-NX85</f>
        <v>2.9781369105113749</v>
      </c>
      <c r="NY109" s="469"/>
      <c r="NZ109" s="470">
        <f>NZ60-NZ85</f>
        <v>2.779260064968291</v>
      </c>
      <c r="OA109" s="469"/>
      <c r="OB109" s="470">
        <f>OB60-OB85</f>
        <v>3.1935308917407075</v>
      </c>
      <c r="OC109" s="469"/>
      <c r="OD109" s="470">
        <f>OD60-OD85</f>
        <v>3.2361649938491928</v>
      </c>
      <c r="OE109" s="469"/>
      <c r="OF109" s="470">
        <f>OF60-OF85</f>
        <v>2.8961209289589984</v>
      </c>
      <c r="OG109" s="469"/>
      <c r="OH109" s="470">
        <f>OH60-OH85</f>
        <v>2.8066608021372006</v>
      </c>
      <c r="OI109" s="469"/>
      <c r="OJ109" s="470">
        <f>OJ60-OJ85</f>
        <v>2.6231359856753045</v>
      </c>
      <c r="OK109" s="469"/>
      <c r="OL109" s="470">
        <f>OL60-OL85</f>
        <v>2.8326054708657922</v>
      </c>
      <c r="OM109" s="469"/>
      <c r="ON109" s="470">
        <f>ON60-ON85</f>
        <v>2.6072339863058467</v>
      </c>
      <c r="OO109" s="469"/>
      <c r="OP109" s="470">
        <f>OP60-OP85</f>
        <v>2.7529381519651777</v>
      </c>
      <c r="OQ109" s="469"/>
      <c r="OR109" s="470">
        <f>OR60-OR85</f>
        <v>2.7754810920667676</v>
      </c>
      <c r="OS109" s="469"/>
      <c r="OT109" s="470">
        <f>OT60-OT85</f>
        <v>2.6997711236182385</v>
      </c>
      <c r="OU109" s="469"/>
      <c r="OV109" s="470">
        <f>OV60-OV85</f>
        <v>2.1260628103933268</v>
      </c>
      <c r="OW109" s="469"/>
      <c r="OX109" s="470">
        <f>OX60-OX85</f>
        <v>1.9870891646200972</v>
      </c>
      <c r="OY109" s="469"/>
      <c r="OZ109" s="470">
        <f>OZ60-OZ85</f>
        <v>2.0625726862397515</v>
      </c>
      <c r="PA109" s="469"/>
      <c r="PB109" s="470">
        <f>PB60-PB85</f>
        <v>2.1373140287400254</v>
      </c>
      <c r="PC109" s="469"/>
      <c r="PD109" s="470">
        <f>PD60-PD85</f>
        <v>2.2012412907817254</v>
      </c>
      <c r="PE109" s="469"/>
      <c r="PF109" s="470">
        <f>PF60-PF85</f>
        <v>2.4703752697287262</v>
      </c>
      <c r="PG109" s="469"/>
      <c r="PH109" s="470">
        <f>PH60-PH85</f>
        <v>3.059772648102919</v>
      </c>
      <c r="PI109" s="469"/>
      <c r="PJ109" s="470">
        <f>PJ60-PJ85</f>
        <v>3.001981253835686</v>
      </c>
      <c r="PK109" s="469"/>
      <c r="PL109" s="470">
        <f>PL60-PL85</f>
        <v>2.9368421052631577</v>
      </c>
      <c r="PM109" s="469"/>
      <c r="PN109" s="470">
        <f>PN60-PN85</f>
        <v>3.0962962962962961</v>
      </c>
      <c r="PO109" s="469"/>
      <c r="PP109" s="470">
        <f>PP60-PP85</f>
        <v>3.0962962962962961</v>
      </c>
      <c r="PR109" s="469"/>
      <c r="PS109" s="470">
        <f>PS60-PS85</f>
        <v>4.507710225926246</v>
      </c>
      <c r="PT109" s="469"/>
      <c r="PU109" s="470">
        <f>PU60-PU85</f>
        <v>4.8012345679012345</v>
      </c>
      <c r="PV109" s="469"/>
      <c r="PW109" s="470">
        <f>PW60-PW85</f>
        <v>4.507710225926246</v>
      </c>
      <c r="PX109" s="469"/>
      <c r="PY109" s="470">
        <f>PY60-PY85</f>
        <v>4.8012345679012345</v>
      </c>
      <c r="PZ109" s="469"/>
      <c r="QA109" s="470">
        <f>QA60-QA85</f>
        <v>4.4653066037503235</v>
      </c>
      <c r="QB109" s="469"/>
      <c r="QC109" s="470">
        <f>QC60-QC85</f>
        <v>4.7625000000000002</v>
      </c>
      <c r="QF109" s="469"/>
      <c r="QG109" s="470">
        <f>QG60-QG85</f>
        <v>3.9049382716049386</v>
      </c>
      <c r="QH109" s="469"/>
      <c r="QI109" s="470">
        <f>QI60-QI85</f>
        <v>4.1765432098765434</v>
      </c>
      <c r="QJ109" s="469"/>
      <c r="QK109" s="470">
        <f>QK60-QK85</f>
        <v>3.9049382716049386</v>
      </c>
      <c r="QL109" s="469"/>
      <c r="QM109" s="470">
        <f>QM60-QM85</f>
        <v>4.1765432098765434</v>
      </c>
      <c r="QN109" s="469"/>
      <c r="QO109" s="470">
        <f>QO60-QO85</f>
        <v>3.1049382716049378</v>
      </c>
      <c r="QP109" s="469"/>
      <c r="QQ109" s="470">
        <f>QQ60-QQ85</f>
        <v>3.3765432098765427</v>
      </c>
    </row>
    <row r="110" spans="1:459" x14ac:dyDescent="0.45">
      <c r="A110" s="871"/>
      <c r="B110" s="457" t="s">
        <v>409</v>
      </c>
      <c r="C110" s="458"/>
      <c r="D110" s="459"/>
      <c r="E110" s="460"/>
      <c r="F110" s="471"/>
      <c r="G110" s="472">
        <f>G109/G69</f>
        <v>0.45028541868071453</v>
      </c>
      <c r="H110" s="471"/>
      <c r="I110" s="472">
        <f>I109/I69</f>
        <v>0.34794782352600667</v>
      </c>
      <c r="J110" s="471"/>
      <c r="K110" s="472">
        <f>K109/K69</f>
        <v>0.38233195770558259</v>
      </c>
      <c r="L110" s="471"/>
      <c r="M110" s="472">
        <f>M109/M69</f>
        <v>0.38233195770558259</v>
      </c>
      <c r="N110" s="471"/>
      <c r="O110" s="472">
        <f>O109/O69</f>
        <v>0.36524876476126439</v>
      </c>
      <c r="P110" s="471"/>
      <c r="Q110" s="472">
        <f>Q109/Q60</f>
        <v>0.33403433566616814</v>
      </c>
      <c r="R110" s="471"/>
      <c r="S110" s="472">
        <f>S109/S69</f>
        <v>0.30744350470641724</v>
      </c>
      <c r="T110" s="471"/>
      <c r="U110" s="472" t="e">
        <f>U109/U87</f>
        <v>#DIV/0!</v>
      </c>
      <c r="V110" s="471"/>
      <c r="W110" s="472" t="e">
        <f>W109/W87</f>
        <v>#DIV/0!</v>
      </c>
      <c r="X110" s="471"/>
      <c r="Y110" s="472" t="e">
        <f>Y109/Y87</f>
        <v>#DIV/0!</v>
      </c>
      <c r="Z110" s="471"/>
      <c r="AA110" s="472">
        <f>AA109/AA69</f>
        <v>0.35750950801435305</v>
      </c>
      <c r="AB110" s="471"/>
      <c r="AC110" s="472">
        <f>AC109/AC60</f>
        <v>0.28507354714251271</v>
      </c>
      <c r="AD110" s="471"/>
      <c r="AE110" s="472">
        <f>AE109/AE60</f>
        <v>0.27078039927404712</v>
      </c>
      <c r="AF110" s="471"/>
      <c r="AG110" s="472">
        <f>AG109/AG60</f>
        <v>0.39773706063884423</v>
      </c>
      <c r="AH110" s="471"/>
      <c r="AI110" s="472">
        <f>AI109/AI60</f>
        <v>0.37792869269949064</v>
      </c>
      <c r="AJ110" s="471"/>
      <c r="AK110" s="472">
        <f>AK109/AK60</f>
        <v>0.40638590287121934</v>
      </c>
      <c r="AL110" s="471"/>
      <c r="AM110" s="472">
        <f>AM109/AM60</f>
        <v>0.38955812718164301</v>
      </c>
      <c r="AN110" s="471"/>
      <c r="AO110" s="472">
        <f>AO109/AO60</f>
        <v>0.37472298379924346</v>
      </c>
      <c r="AP110" s="471"/>
      <c r="AQ110" s="472">
        <f>AQ109/AQ60</f>
        <v>0.3537141892251367</v>
      </c>
      <c r="AR110" s="471"/>
      <c r="AS110" s="472">
        <f>AS109/AS60</f>
        <v>0.3284936479128856</v>
      </c>
      <c r="AT110" s="471"/>
      <c r="AU110" s="472">
        <f>AU109/AU60</f>
        <v>0.3284936479128856</v>
      </c>
      <c r="AV110" s="471"/>
      <c r="AW110" s="472">
        <f>AW109/AW60</f>
        <v>0.36088590835857859</v>
      </c>
      <c r="AX110" s="471"/>
      <c r="AY110" s="472">
        <f>AY109/AY60</f>
        <v>0.39397206681000113</v>
      </c>
      <c r="AZ110" s="471"/>
      <c r="BA110" s="472">
        <f>BA109/BA60</f>
        <v>0.40405104538201125</v>
      </c>
      <c r="BB110" s="471"/>
      <c r="BC110" s="472">
        <f>BC109/BC60</f>
        <v>0.40423933271518425</v>
      </c>
      <c r="BD110" s="471"/>
      <c r="BE110" s="472">
        <f>BE109/BE60</f>
        <v>0.40600256371241972</v>
      </c>
      <c r="BF110" s="471"/>
      <c r="BG110" s="472">
        <f>BG109/BG60</f>
        <v>0.43538179393218568</v>
      </c>
      <c r="BH110" s="471"/>
      <c r="BI110" s="472">
        <f>BI109/BI60</f>
        <v>0.46166383856425841</v>
      </c>
      <c r="BJ110" s="471"/>
      <c r="BK110" s="472">
        <f>BK109/BK60</f>
        <v>0.46571513428057754</v>
      </c>
      <c r="BL110" s="471"/>
      <c r="BM110" s="472">
        <f>BM109/BM60</f>
        <v>0.40518475233248646</v>
      </c>
      <c r="BN110" s="471"/>
      <c r="BO110" s="472">
        <f>BO109/BO60</f>
        <v>0.39194382616261364</v>
      </c>
      <c r="BP110" s="471"/>
      <c r="BQ110" s="472">
        <f>BQ109/BQ60</f>
        <v>0.37389808673326574</v>
      </c>
      <c r="BR110" s="471"/>
      <c r="BS110" s="472">
        <f>BS109/BS60</f>
        <v>0.42052824990816684</v>
      </c>
      <c r="BT110" s="471"/>
      <c r="BU110" s="472">
        <f>BU109/BU60</f>
        <v>0.39495733122122084</v>
      </c>
      <c r="BV110" s="471"/>
      <c r="BW110" s="472">
        <f>BW109/BW60</f>
        <v>0.39189673185533352</v>
      </c>
      <c r="BX110" s="471"/>
      <c r="BY110" s="472">
        <f>BY109/BY60</f>
        <v>0.42511185041421345</v>
      </c>
      <c r="BZ110" s="471"/>
      <c r="CA110" s="472">
        <f>CA109/CA60</f>
        <v>0.40771161504847386</v>
      </c>
      <c r="CB110" s="471"/>
      <c r="CC110" s="472">
        <f>CC109/CC60</f>
        <v>0.43900753885978949</v>
      </c>
      <c r="CD110" s="471"/>
      <c r="CE110" s="472">
        <f>CE109/CE60</f>
        <v>0.42232713336582683</v>
      </c>
      <c r="CF110" s="471"/>
      <c r="CG110" s="472">
        <f>CG109/CG60</f>
        <v>0.36922145237552539</v>
      </c>
      <c r="CH110" s="471"/>
      <c r="CI110" s="472">
        <f>CI109/CI60</f>
        <v>0.37917310595190612</v>
      </c>
      <c r="CJ110" s="471"/>
      <c r="CK110" s="472">
        <f>CK109/CK60</f>
        <v>0.38768488731204404</v>
      </c>
      <c r="CL110" s="471"/>
      <c r="CM110" s="472">
        <f>CM109/CM60</f>
        <v>0.40033698796573203</v>
      </c>
      <c r="CN110" s="471"/>
      <c r="CO110" s="472">
        <f>CO109/CO60</f>
        <v>0.40141349172898722</v>
      </c>
      <c r="CP110" s="471"/>
      <c r="CQ110" s="472">
        <f>CQ109/CQ60</f>
        <v>0.39896036387264455</v>
      </c>
      <c r="CR110" s="471"/>
      <c r="CS110" s="472">
        <f>CS109/CS60</f>
        <v>0.39896036387264455</v>
      </c>
      <c r="CT110" s="464"/>
      <c r="CU110" s="461"/>
      <c r="CV110" s="472">
        <f>CV109/CV60</f>
        <v>0.35986234766698266</v>
      </c>
      <c r="CW110" s="461"/>
      <c r="CX110" s="472">
        <f>CX109/CX60</f>
        <v>0.32145408852700164</v>
      </c>
      <c r="CY110" s="461"/>
      <c r="CZ110" s="472">
        <f>CZ109/CZ60</f>
        <v>0.34065821809699204</v>
      </c>
      <c r="DA110" s="461"/>
      <c r="DB110" s="472">
        <f>DB109/DB60</f>
        <v>0.25583850112151996</v>
      </c>
      <c r="DC110" s="461"/>
      <c r="DD110" s="472">
        <f>DD109/DD60</f>
        <v>0.28178641956554751</v>
      </c>
      <c r="DE110" s="461"/>
      <c r="DF110" s="472">
        <f>DF109/DF60</f>
        <v>0.40761133321760828</v>
      </c>
      <c r="DG110" s="461"/>
      <c r="DH110" s="472">
        <f>DH109/DH60</f>
        <v>0.36563876651982374</v>
      </c>
      <c r="DI110" s="461"/>
      <c r="DJ110" s="472">
        <f>DJ109/DJ60</f>
        <v>0.42530203308990716</v>
      </c>
      <c r="DK110" s="461"/>
      <c r="DL110" s="472">
        <f>DL109/DL60</f>
        <v>0.39291351738125352</v>
      </c>
      <c r="DM110" s="461"/>
      <c r="DN110" s="472">
        <f>DN109/DN60</f>
        <v>0.39706883774452312</v>
      </c>
      <c r="DO110" s="461"/>
      <c r="DP110" s="472">
        <f>DP109/DP60</f>
        <v>0.40269277581096508</v>
      </c>
      <c r="DQ110" s="461"/>
      <c r="DR110" s="472">
        <f>DR109/DR60</f>
        <v>0.3437642412274039</v>
      </c>
      <c r="DS110" s="461"/>
      <c r="DT110" s="472">
        <f>DT109/DT60</f>
        <v>0.3437642412274039</v>
      </c>
      <c r="DU110" s="461"/>
      <c r="DV110" s="472">
        <f>DV109/DV60</f>
        <v>0.37850494638348797</v>
      </c>
      <c r="DW110" s="461"/>
      <c r="DX110" s="472">
        <f>DX109/DX60</f>
        <v>0.38321784808483089</v>
      </c>
      <c r="DY110" s="461"/>
      <c r="DZ110" s="472">
        <f>DZ109/DZ60</f>
        <v>0.40772443418648319</v>
      </c>
      <c r="EA110" s="461"/>
      <c r="EB110" s="472">
        <f>EB109/EB60</f>
        <v>0.39098396833838611</v>
      </c>
      <c r="EC110" s="461"/>
      <c r="ED110" s="472">
        <f>ED109/ED60</f>
        <v>0.41611635631844734</v>
      </c>
      <c r="EE110" s="461"/>
      <c r="EF110" s="472">
        <f>EF109/EF60</f>
        <v>0.43023988890671655</v>
      </c>
      <c r="EG110" s="461"/>
      <c r="EH110" s="472">
        <f>EH109/EH60</f>
        <v>0.42475926013296006</v>
      </c>
      <c r="EI110" s="461"/>
      <c r="EJ110" s="472">
        <f>EJ109/EJ60</f>
        <v>0.42077149613978937</v>
      </c>
      <c r="EK110" s="461"/>
      <c r="EL110" s="472">
        <f>EL109/EL60</f>
        <v>0.40609664948714153</v>
      </c>
      <c r="EM110" s="461"/>
      <c r="EN110" s="472">
        <f>EN109/EN60</f>
        <v>0.43909635358425225</v>
      </c>
      <c r="EO110" s="461"/>
      <c r="EP110" s="472">
        <f>EP109/EP60</f>
        <v>0.37788240030367859</v>
      </c>
      <c r="EQ110" s="461"/>
      <c r="ER110" s="472">
        <f>ER109/ER60</f>
        <v>0.43798511862278078</v>
      </c>
      <c r="ES110" s="461"/>
      <c r="ET110" s="472">
        <f>ET109/ET60</f>
        <v>0.41596056547268367</v>
      </c>
      <c r="EU110" s="461"/>
      <c r="EV110" s="472">
        <f>EV109/EV60</f>
        <v>0.42430014709069686</v>
      </c>
      <c r="EW110" s="461"/>
      <c r="EX110" s="472">
        <f>EX109/EX60</f>
        <v>0.43195511548098592</v>
      </c>
      <c r="EY110" s="461"/>
      <c r="EZ110" s="472">
        <f>EZ109/EZ60</f>
        <v>0.41616120018097669</v>
      </c>
      <c r="FA110" s="461"/>
      <c r="FB110" s="472">
        <f>FB109/FB60</f>
        <v>0.37794668541318721</v>
      </c>
      <c r="FC110" s="461"/>
      <c r="FD110" s="472">
        <f>FD109/FD60</f>
        <v>0.39737343646401846</v>
      </c>
      <c r="FE110" s="461"/>
      <c r="FF110" s="472">
        <f>FF109/FF60</f>
        <v>0.45908390543792588</v>
      </c>
      <c r="FG110" s="461"/>
      <c r="FH110" s="472">
        <f>FH109/FH60</f>
        <v>0.43355070325153711</v>
      </c>
      <c r="FI110" s="461"/>
      <c r="FJ110" s="472">
        <f>FJ109/FJ60</f>
        <v>0.42122280347433771</v>
      </c>
      <c r="FK110" s="461"/>
      <c r="FL110" s="472">
        <f>FL109/FL60</f>
        <v>0.41942346131611374</v>
      </c>
      <c r="FM110" s="461"/>
      <c r="FN110" s="472">
        <f>FN109/FN60</f>
        <v>0.41502582927866732</v>
      </c>
      <c r="FO110" s="461"/>
      <c r="FP110" s="472">
        <f>FP109/FP60</f>
        <v>0.41502582927866732</v>
      </c>
      <c r="FQ110" s="465"/>
      <c r="FR110" s="471"/>
      <c r="FS110" s="472">
        <f>FS109/FS69</f>
        <v>0.29431494024042248</v>
      </c>
      <c r="FT110" s="471"/>
      <c r="FU110" s="472">
        <f>FU109/FU69</f>
        <v>0.25033097466521809</v>
      </c>
      <c r="FV110" s="471"/>
      <c r="FW110" s="472">
        <f>FW109/FW60</f>
        <v>0.20217746853782015</v>
      </c>
      <c r="FX110" s="471"/>
      <c r="FY110" s="472">
        <f>FY109/FY69</f>
        <v>0.16132212195236617</v>
      </c>
      <c r="FZ110" s="471"/>
      <c r="GA110" s="472" t="e">
        <f>GA109/GA87</f>
        <v>#DIV/0!</v>
      </c>
      <c r="GB110" s="471"/>
      <c r="GC110" s="472" t="e">
        <f>GC109/GC87</f>
        <v>#DIV/0!</v>
      </c>
      <c r="GD110" s="471"/>
      <c r="GE110" s="472" t="e">
        <f>GE109/GE87</f>
        <v>#DIV/0!</v>
      </c>
      <c r="GF110" s="471"/>
      <c r="GG110" s="472">
        <f>GG109/GG69</f>
        <v>0.21563438766512041</v>
      </c>
      <c r="GH110" s="471"/>
      <c r="GI110" s="472">
        <f>GI109/GI60</f>
        <v>0.24533397636845911</v>
      </c>
      <c r="GJ110" s="471"/>
      <c r="GK110" s="472">
        <f>GK109/GK60</f>
        <v>0.24381338742393505</v>
      </c>
      <c r="GL110" s="471"/>
      <c r="GM110" s="472">
        <f>GM109/GM60</f>
        <v>0.3649236923207213</v>
      </c>
      <c r="GN110" s="471"/>
      <c r="GO110" s="472">
        <f>GO109/GO60</f>
        <v>0.34876660341555982</v>
      </c>
      <c r="GP110" s="471"/>
      <c r="GQ110" s="472">
        <f>GQ109/GQ60</f>
        <v>0.37518715688981835</v>
      </c>
      <c r="GR110" s="471"/>
      <c r="GS110" s="472">
        <f>GS109/GS60</f>
        <v>0.35796012867670385</v>
      </c>
      <c r="GT110" s="471"/>
      <c r="GU110" s="472">
        <f>GU109/GU60</f>
        <v>0.3647818032149357</v>
      </c>
      <c r="GV110" s="471"/>
      <c r="GW110" s="472">
        <f>GW109/GW60</f>
        <v>0.26578951267527046</v>
      </c>
      <c r="GX110" s="471"/>
      <c r="GY110" s="472">
        <f>GY109/GY60</f>
        <v>0.28600405679513186</v>
      </c>
      <c r="GZ110" s="471"/>
      <c r="HA110" s="472">
        <f>HA109/HA60</f>
        <v>0.28600405679513186</v>
      </c>
      <c r="HB110" s="471"/>
      <c r="HC110" s="472">
        <f>HC109/HC60</f>
        <v>0.28743537272372954</v>
      </c>
      <c r="HD110" s="471"/>
      <c r="HE110" s="472">
        <f>HE109/HE60</f>
        <v>0.37040665879664469</v>
      </c>
      <c r="HF110" s="471"/>
      <c r="HG110" s="472">
        <f>HG109/HG60</f>
        <v>0.36353604300936787</v>
      </c>
      <c r="HH110" s="471"/>
      <c r="HI110" s="472">
        <f>HI109/HI60</f>
        <v>0.37194610563738095</v>
      </c>
      <c r="HJ110" s="471"/>
      <c r="HK110" s="472">
        <f>HK109/HK60</f>
        <v>0.37639739940704914</v>
      </c>
      <c r="HL110" s="471"/>
      <c r="HM110" s="472">
        <f>HM109/HM60</f>
        <v>0.39961186125597192</v>
      </c>
      <c r="HN110" s="471"/>
      <c r="HO110" s="472">
        <f>HO109/HO60</f>
        <v>0.39649139565869157</v>
      </c>
      <c r="HP110" s="471"/>
      <c r="HQ110" s="472">
        <f>HQ109/HQ60</f>
        <v>0.39230766923744181</v>
      </c>
      <c r="HR110" s="471"/>
      <c r="HS110" s="472">
        <f>HS109/HS60</f>
        <v>0.36072422915597846</v>
      </c>
      <c r="HT110" s="471"/>
      <c r="HU110" s="472">
        <f>HU109/HU60</f>
        <v>0.37024181557681513</v>
      </c>
      <c r="HV110" s="471"/>
      <c r="HW110" s="472">
        <f>HW109/HW60</f>
        <v>0.34882972362266762</v>
      </c>
      <c r="HX110" s="471"/>
      <c r="HY110" s="472">
        <f>HY109/HY60</f>
        <v>0.2712632782552345</v>
      </c>
      <c r="HZ110" s="471"/>
      <c r="IA110" s="472">
        <f>IA109/IA60</f>
        <v>0.25578754403136161</v>
      </c>
      <c r="IB110" s="471"/>
      <c r="IC110" s="472">
        <f>IC109/IC60</f>
        <v>0.37271744027002335</v>
      </c>
      <c r="ID110" s="471"/>
      <c r="IE110" s="472">
        <f>IE109/IE60</f>
        <v>0.38352419703992263</v>
      </c>
      <c r="IF110" s="471"/>
      <c r="IG110" s="472">
        <f>IG109/IG60</f>
        <v>0.37979731281620416</v>
      </c>
      <c r="IH110" s="471"/>
      <c r="II110" s="472">
        <f>II109/II60</f>
        <v>0.36160857898055193</v>
      </c>
      <c r="IJ110" s="471"/>
      <c r="IK110" s="472">
        <f>IK109/IK60</f>
        <v>0.34262681272859863</v>
      </c>
      <c r="IL110" s="471"/>
      <c r="IM110" s="472">
        <f>IM109/IM60</f>
        <v>0.3532388408250795</v>
      </c>
      <c r="IN110" s="471"/>
      <c r="IO110" s="472">
        <f>IO109/IO60</f>
        <v>0.36344264852749208</v>
      </c>
      <c r="IP110" s="471"/>
      <c r="IQ110" s="472">
        <f>IQ109/IQ60</f>
        <v>0.37217010065765499</v>
      </c>
      <c r="IR110" s="471"/>
      <c r="IS110" s="472">
        <f>IS109/IS60</f>
        <v>0.36470292000805671</v>
      </c>
      <c r="IT110" s="471"/>
      <c r="IU110" s="472">
        <f>IU109/IU60</f>
        <v>0.34934867912291745</v>
      </c>
      <c r="IV110" s="471"/>
      <c r="IW110" s="472">
        <f>IW109/IW60</f>
        <v>0.37800295420360258</v>
      </c>
      <c r="IX110" s="471"/>
      <c r="IY110" s="472">
        <f>IY109/IY60</f>
        <v>0.37545388525780687</v>
      </c>
      <c r="IZ110" s="460"/>
      <c r="JA110" s="471"/>
      <c r="JB110" s="472">
        <f>JB109/JB60</f>
        <v>0.3235294117647059</v>
      </c>
      <c r="JC110" s="471"/>
      <c r="JD110" s="472">
        <f>JD109/JD60</f>
        <v>0.31496649292628442</v>
      </c>
      <c r="JE110" s="465"/>
      <c r="JF110" s="471"/>
      <c r="JG110" s="472">
        <f>JG109/JG69</f>
        <v>0.36346475527949734</v>
      </c>
      <c r="JH110" s="471"/>
      <c r="JI110" s="472">
        <f>JI109/JI69</f>
        <v>0.31681721043865901</v>
      </c>
      <c r="JJ110" s="471"/>
      <c r="JK110" s="472">
        <f>JK109/JK60</f>
        <v>0.26834711042787202</v>
      </c>
      <c r="JL110" s="471"/>
      <c r="JM110" s="472">
        <f>JM109/JM69</f>
        <v>0.23567033390622147</v>
      </c>
      <c r="JN110" s="471"/>
      <c r="JO110" s="472" t="e">
        <f>JO109/JO87</f>
        <v>#DIV/0!</v>
      </c>
      <c r="JP110" s="471"/>
      <c r="JQ110" s="472">
        <f>JQ109/JQ69</f>
        <v>0.30923645741824923</v>
      </c>
      <c r="JR110" s="471"/>
      <c r="JS110" s="472">
        <f>JS109/JS60</f>
        <v>0.21102426984779918</v>
      </c>
      <c r="JT110" s="471"/>
      <c r="JU110" s="472">
        <f>JU109/JU60</f>
        <v>0.24908722109533471</v>
      </c>
      <c r="JV110" s="471"/>
      <c r="JW110" s="472">
        <f>JW109/JW60</f>
        <v>0.34468762016789806</v>
      </c>
      <c r="JX110" s="471"/>
      <c r="JY110" s="472">
        <f>JY109/JY60</f>
        <v>0.29259962049335858</v>
      </c>
      <c r="JZ110" s="471"/>
      <c r="KA110" s="472">
        <f>KA109/KA60</f>
        <v>0.33832927385695499</v>
      </c>
      <c r="KB110" s="471"/>
      <c r="KC110" s="472">
        <f>KC109/KC60</f>
        <v>0.32706570640937127</v>
      </c>
      <c r="KD110" s="471"/>
      <c r="KE110" s="472">
        <f>KE109/KE60</f>
        <v>0.33287237542909542</v>
      </c>
      <c r="KF110" s="471"/>
      <c r="KG110" s="472">
        <f>KG109/KG60</f>
        <v>0.26315663801537331</v>
      </c>
      <c r="KH110" s="471"/>
      <c r="KI110" s="472">
        <f>KI109/KI60</f>
        <v>0.26977687626774843</v>
      </c>
      <c r="KJ110" s="471"/>
      <c r="KK110" s="472">
        <f>KK109/KK60</f>
        <v>0.26977687626774843</v>
      </c>
      <c r="KL110" s="471"/>
      <c r="KM110" s="472">
        <f>KM109/KM60</f>
        <v>0.27958111899720267</v>
      </c>
      <c r="KN110" s="471"/>
      <c r="KO110" s="472">
        <f>KO109/KO60</f>
        <v>0.31521494367146985</v>
      </c>
      <c r="KP110" s="471"/>
      <c r="KQ110" s="472">
        <f>KQ109/KQ60</f>
        <v>0.28833738898551814</v>
      </c>
      <c r="KR110" s="471"/>
      <c r="KS110" s="472">
        <f>KS109/KS60</f>
        <v>0.32325519293950694</v>
      </c>
      <c r="KT110" s="471"/>
      <c r="KU110" s="472">
        <f>KU109/KU60</f>
        <v>0.32693186895726456</v>
      </c>
      <c r="KV110" s="471"/>
      <c r="KW110" s="472">
        <f>KW109/KW60</f>
        <v>0.35047172732817905</v>
      </c>
      <c r="KX110" s="471"/>
      <c r="KY110" s="472">
        <f>KY109/KY60</f>
        <v>0.37093825095328287</v>
      </c>
      <c r="KZ110" s="471"/>
      <c r="LA110" s="472">
        <f>LA109/LA60</f>
        <v>0.38931015589555512</v>
      </c>
      <c r="LB110" s="471"/>
      <c r="LC110" s="472">
        <f>LC109/LC60</f>
        <v>0.32598449803527846</v>
      </c>
      <c r="LD110" s="471"/>
      <c r="LE110" s="472">
        <f>LE109/LE60</f>
        <v>0.31908749168328415</v>
      </c>
      <c r="LF110" s="471"/>
      <c r="LG110" s="472">
        <f>LG109/LG60</f>
        <v>0.25108275158735299</v>
      </c>
      <c r="LH110" s="471"/>
      <c r="LI110" s="472">
        <f>LI109/LI60</f>
        <v>0.34107109795293789</v>
      </c>
      <c r="LJ110" s="471"/>
      <c r="LK110" s="472">
        <f>LK109/LK60</f>
        <v>0.29680182193886639</v>
      </c>
      <c r="LL110" s="471"/>
      <c r="LM110" s="472">
        <f>LM109/LM60</f>
        <v>0.343599522389676</v>
      </c>
      <c r="LN110" s="471"/>
      <c r="LO110" s="472">
        <f>LO109/LO60</f>
        <v>0.35675844088899489</v>
      </c>
      <c r="LP110" s="471"/>
      <c r="LQ110" s="472">
        <f>LQ109/LQ60</f>
        <v>0.33730676923813591</v>
      </c>
      <c r="LR110" s="471"/>
      <c r="LS110" s="472">
        <f>LS109/LS60</f>
        <v>0.30595050340847812</v>
      </c>
      <c r="LT110" s="471"/>
      <c r="LU110" s="472">
        <f>LU109/LU60</f>
        <v>0.28531381425850794</v>
      </c>
      <c r="LV110" s="471"/>
      <c r="LW110" s="472">
        <f>LW109/LW60</f>
        <v>0.29652262987921713</v>
      </c>
      <c r="LX110" s="471"/>
      <c r="LY110" s="472">
        <f>LY109/LY60</f>
        <v>0.30762123669238545</v>
      </c>
      <c r="LZ110" s="471"/>
      <c r="MA110" s="472">
        <f>MA109/MA60</f>
        <v>0.31711402237576558</v>
      </c>
      <c r="MB110" s="471"/>
      <c r="MC110" s="472">
        <f>MC109/MC60</f>
        <v>0.31350710735889648</v>
      </c>
      <c r="MD110" s="471"/>
      <c r="ME110" s="472">
        <f>ME109/ME60</f>
        <v>0.39138312321201346</v>
      </c>
      <c r="MF110" s="471"/>
      <c r="MG110" s="472">
        <f>MG109/MG60</f>
        <v>0.3282498184458969</v>
      </c>
      <c r="MH110" s="465"/>
      <c r="MI110" s="471"/>
      <c r="MJ110" s="472">
        <f>MJ109/MJ69</f>
        <v>0.41511205561032671</v>
      </c>
      <c r="MK110" s="471"/>
      <c r="ML110" s="472">
        <f>ML109/ML69</f>
        <v>0.38398005077056763</v>
      </c>
      <c r="MM110" s="471"/>
      <c r="MN110" s="472">
        <f>MN109/MN60</f>
        <v>0.3220204004494408</v>
      </c>
      <c r="MO110" s="471"/>
      <c r="MP110" s="472">
        <f>MP109/MP69</f>
        <v>0.29697171472509659</v>
      </c>
      <c r="MQ110" s="471"/>
      <c r="MR110" s="472" t="e">
        <f>MR109/MR87</f>
        <v>#DIV/0!</v>
      </c>
      <c r="MS110" s="471"/>
      <c r="MT110" s="472">
        <f>MT109/MT69</f>
        <v>0.35132601506828237</v>
      </c>
      <c r="MU110" s="471"/>
      <c r="MV110" s="472">
        <f>MV109/MV60</f>
        <v>0.28785968130230427</v>
      </c>
      <c r="MW110" s="471"/>
      <c r="MX110" s="472">
        <f>MX109/MX60</f>
        <v>0.33793103448275857</v>
      </c>
      <c r="MY110" s="471"/>
      <c r="MZ110" s="472">
        <f>MZ109/MZ60</f>
        <v>0.43717186219043147</v>
      </c>
      <c r="NA110" s="471"/>
      <c r="NB110" s="472">
        <f>NB109/NB60</f>
        <v>0.40151802656546492</v>
      </c>
      <c r="NC110" s="471"/>
      <c r="ND110" s="472">
        <f>ND109/ND60</f>
        <v>0.43311754731829299</v>
      </c>
      <c r="NE110" s="471"/>
      <c r="NF110" s="472">
        <f>NF109/NF60</f>
        <v>0.43717688170178493</v>
      </c>
      <c r="NG110" s="471"/>
      <c r="NH110" s="472">
        <f>NH109/NH60</f>
        <v>0.43655936187281613</v>
      </c>
      <c r="NI110" s="471"/>
      <c r="NJ110" s="472">
        <f>NJ109/NJ60</f>
        <v>0.38341676269203628</v>
      </c>
      <c r="NK110" s="471"/>
      <c r="NL110" s="472">
        <f>NL109/NL60</f>
        <v>0.37119675456389456</v>
      </c>
      <c r="NM110" s="471"/>
      <c r="NN110" s="472">
        <f>NN109/NN60</f>
        <v>0.37119675456389456</v>
      </c>
      <c r="NO110" s="471"/>
      <c r="NP110" s="472">
        <f>NP109/NP60</f>
        <v>0.39576376727098905</v>
      </c>
      <c r="NQ110" s="471"/>
      <c r="NR110" s="472">
        <f>NR109/NR60</f>
        <v>0.43183461667756495</v>
      </c>
      <c r="NS110" s="471"/>
      <c r="NT110" s="472">
        <f>NT109/NT60</f>
        <v>0.44160177084902008</v>
      </c>
      <c r="NU110" s="471"/>
      <c r="NV110" s="472">
        <f>NV109/NV60</f>
        <v>0.35883996987315614</v>
      </c>
      <c r="NW110" s="471"/>
      <c r="NX110" s="472">
        <f>NX109/NX60</f>
        <v>0.43796131036931985</v>
      </c>
      <c r="NY110" s="471"/>
      <c r="NZ110" s="472">
        <f>NZ109/NZ60</f>
        <v>0.40871471543651339</v>
      </c>
      <c r="OA110" s="471"/>
      <c r="OB110" s="472">
        <f>OB109/OB60</f>
        <v>0.46963689584422169</v>
      </c>
      <c r="OC110" s="471"/>
      <c r="OD110" s="472">
        <f>OD109/OD60</f>
        <v>0.47590661674252838</v>
      </c>
      <c r="OE110" s="471"/>
      <c r="OF110" s="472">
        <f>OF109/OF60</f>
        <v>0.42590013661161741</v>
      </c>
      <c r="OG110" s="471"/>
      <c r="OH110" s="472">
        <f>OH109/OH60</f>
        <v>0.41274423560841184</v>
      </c>
      <c r="OI110" s="471"/>
      <c r="OJ110" s="472">
        <f>OJ109/OJ60</f>
        <v>0.38575529201107422</v>
      </c>
      <c r="OK110" s="471"/>
      <c r="OL110" s="472">
        <f>OL109/OL60</f>
        <v>0.41655962806849883</v>
      </c>
      <c r="OM110" s="471"/>
      <c r="ON110" s="472">
        <f>ON109/ON60</f>
        <v>0.38341676269203628</v>
      </c>
      <c r="OO110" s="471"/>
      <c r="OP110" s="472">
        <f>OP109/OP60</f>
        <v>0.40484384587723204</v>
      </c>
      <c r="OQ110" s="471"/>
      <c r="OR110" s="472">
        <f>OR109/OR60</f>
        <v>0.40815898412746582</v>
      </c>
      <c r="OS110" s="471"/>
      <c r="OT110" s="472">
        <f>OT109/OT60</f>
        <v>0.39702516523797626</v>
      </c>
      <c r="OU110" s="471"/>
      <c r="OV110" s="472">
        <f>OV109/OV60</f>
        <v>0.3126562956460775</v>
      </c>
      <c r="OW110" s="471"/>
      <c r="OX110" s="472">
        <f>OX109/OX60</f>
        <v>0.29221899479707314</v>
      </c>
      <c r="OY110" s="471"/>
      <c r="OZ110" s="472">
        <f>OZ109/OZ60</f>
        <v>0.30331951268231638</v>
      </c>
      <c r="PA110" s="471"/>
      <c r="PB110" s="472">
        <f>PB109/PB60</f>
        <v>0.31431088657941553</v>
      </c>
      <c r="PC110" s="471"/>
      <c r="PD110" s="472">
        <f>PD109/PD60</f>
        <v>0.32371195452672435</v>
      </c>
      <c r="PE110" s="471"/>
      <c r="PF110" s="472">
        <f>PF109/PF60</f>
        <v>0.36329048084245974</v>
      </c>
      <c r="PG110" s="471"/>
      <c r="PH110" s="472">
        <f>PH109/PH60</f>
        <v>0.44996656589748812</v>
      </c>
      <c r="PI110" s="471"/>
      <c r="PJ110" s="472">
        <f>PJ109/PJ60</f>
        <v>0.44146783144642443</v>
      </c>
      <c r="PK110" s="471"/>
      <c r="PL110" s="472">
        <f>PL109/PL60</f>
        <v>0.43188854489164086</v>
      </c>
      <c r="PM110" s="471"/>
      <c r="PN110" s="472">
        <f>PN109/PN60</f>
        <v>0.45533769063180829</v>
      </c>
      <c r="PO110" s="471"/>
      <c r="PP110" s="472">
        <f>PP109/PP60</f>
        <v>0.45533769063180829</v>
      </c>
      <c r="PQ110" s="466"/>
      <c r="PR110" s="471"/>
      <c r="PS110" s="472">
        <f>PS109/PS60</f>
        <v>0.57059623112990454</v>
      </c>
      <c r="PT110" s="471"/>
      <c r="PU110" s="472">
        <f>PU109/PU60</f>
        <v>0.60775121112673847</v>
      </c>
      <c r="PV110" s="471"/>
      <c r="PW110" s="472">
        <f>PW109/PW60</f>
        <v>0.57059623112990454</v>
      </c>
      <c r="PX110" s="471"/>
      <c r="PY110" s="472">
        <f>PY109/PY60</f>
        <v>0.60775121112673847</v>
      </c>
      <c r="PZ110" s="471"/>
      <c r="QA110" s="472">
        <f>QA109/QA60</f>
        <v>0.56522868401902826</v>
      </c>
      <c r="QB110" s="471"/>
      <c r="QC110" s="472">
        <f>QC109/QC60</f>
        <v>0.60284810126582278</v>
      </c>
      <c r="QD110" s="466"/>
      <c r="QE110" s="466"/>
      <c r="QF110" s="471"/>
      <c r="QG110" s="472">
        <f>QG109/QG60</f>
        <v>0.49429598374746053</v>
      </c>
      <c r="QH110" s="471"/>
      <c r="QI110" s="472">
        <f>QI109/QI60</f>
        <v>0.52867635568057514</v>
      </c>
      <c r="QJ110" s="471"/>
      <c r="QK110" s="472">
        <f>QK109/QK60</f>
        <v>0.49429598374746053</v>
      </c>
      <c r="QL110" s="471"/>
      <c r="QM110" s="472">
        <f>QM109/QM60</f>
        <v>0.52867635568057514</v>
      </c>
      <c r="QN110" s="471"/>
      <c r="QO110" s="472">
        <f>QO109/QO60</f>
        <v>0.43731524952182227</v>
      </c>
      <c r="QP110" s="471"/>
      <c r="QQ110" s="472">
        <f>QQ109/QQ60</f>
        <v>0.47556946617979479</v>
      </c>
    </row>
    <row r="111" spans="1:459" x14ac:dyDescent="0.45">
      <c r="A111" s="871"/>
      <c r="B111" s="180" t="s">
        <v>410</v>
      </c>
      <c r="C111" s="203"/>
      <c r="D111" s="204"/>
      <c r="E111" s="473"/>
      <c r="F111" s="474"/>
      <c r="G111" s="475">
        <f>G109-G67-G64</f>
        <v>1.9949364686049773</v>
      </c>
      <c r="H111" s="474"/>
      <c r="I111" s="475">
        <f>I109-I67-I64</f>
        <v>1.9949364686049773</v>
      </c>
      <c r="J111" s="474"/>
      <c r="K111" s="475">
        <f>K109-K67-K64</f>
        <v>2.2213830041901783</v>
      </c>
      <c r="L111" s="474"/>
      <c r="M111" s="475">
        <f>M109-M67-M64</f>
        <v>2.2213830041901783</v>
      </c>
      <c r="N111" s="474"/>
      <c r="O111" s="475">
        <f>O109-O67-O64</f>
        <v>2.1084851807576785</v>
      </c>
      <c r="P111" s="474"/>
      <c r="Q111" s="476">
        <f>Q109-Q67-Q64</f>
        <v>1.9504694160965603</v>
      </c>
      <c r="R111" s="474"/>
      <c r="S111" s="475">
        <f>S109-S67-S64</f>
        <v>1.7230479643956871</v>
      </c>
      <c r="T111" s="474"/>
      <c r="U111" s="475">
        <f>U109-U93</f>
        <v>-1.8618595783569754</v>
      </c>
      <c r="V111" s="474"/>
      <c r="W111" s="475">
        <f>W109-W93</f>
        <v>-1.8618595783569754</v>
      </c>
      <c r="X111" s="474"/>
      <c r="Y111" s="475">
        <f>Y109-Y93</f>
        <v>-1.863533912510174</v>
      </c>
      <c r="Z111" s="474"/>
      <c r="AA111" s="476">
        <f>AA109-AA67-AA64</f>
        <v>1.8894020957635496</v>
      </c>
      <c r="AB111" s="474"/>
      <c r="AC111" s="476">
        <f>AC109-AC67-AC64</f>
        <v>1.5429961334498836</v>
      </c>
      <c r="AD111" s="474"/>
      <c r="AE111" s="476">
        <f>AE109-AE67-AE64</f>
        <v>1.4818268678160915</v>
      </c>
      <c r="AF111" s="474"/>
      <c r="AG111" s="476">
        <f>AG109-AG67-AG64</f>
        <v>2.4466974941885495</v>
      </c>
      <c r="AH111" s="474"/>
      <c r="AI111" s="476">
        <f>AI109-AI67-AI64</f>
        <v>2.2961538978494622</v>
      </c>
      <c r="AJ111" s="474"/>
      <c r="AK111" s="476">
        <f>AK109-AK67-AK64</f>
        <v>2.5124286951546</v>
      </c>
      <c r="AL111" s="474"/>
      <c r="AM111" s="476">
        <f>AM109-AM67-AM64</f>
        <v>2.3845375999138203</v>
      </c>
      <c r="AN111" s="474"/>
      <c r="AO111" s="476">
        <f>AO109-AO67-AO64</f>
        <v>2.2717905102075835</v>
      </c>
      <c r="AP111" s="474"/>
      <c r="AQ111" s="476">
        <f>AQ109-AQ67-AQ64</f>
        <v>2.1121236714443721</v>
      </c>
      <c r="AR111" s="474"/>
      <c r="AS111" s="476">
        <f>AS109-AS67-AS64</f>
        <v>2.2589892241379301</v>
      </c>
      <c r="AT111" s="474"/>
      <c r="AU111" s="476">
        <f>AU109-AU67-AU64</f>
        <v>2.2589892241379301</v>
      </c>
      <c r="AV111" s="474"/>
      <c r="AW111" s="476">
        <f>AW109-AW67-AW64</f>
        <v>2.5051704035251969</v>
      </c>
      <c r="AX111" s="474"/>
      <c r="AY111" s="476">
        <f>AY109-AY67-AY64</f>
        <v>2.7566252077560085</v>
      </c>
      <c r="AZ111" s="474"/>
      <c r="BA111" s="476">
        <f>BA109-BA67-BA64</f>
        <v>2.8332254449032854</v>
      </c>
      <c r="BB111" s="474"/>
      <c r="BC111" s="476">
        <f>BC109-BC67-BC64</f>
        <v>2.8346564286353999</v>
      </c>
      <c r="BD111" s="474"/>
      <c r="BE111" s="476">
        <f>BE109-BE67-BE64</f>
        <v>2.8480569842143897</v>
      </c>
      <c r="BF111" s="474"/>
      <c r="BG111" s="476">
        <f>BG109-BG67-BG64</f>
        <v>3.071339133884611</v>
      </c>
      <c r="BH111" s="474"/>
      <c r="BI111" s="476">
        <f>BI109-BI67-BI64</f>
        <v>3.2710826730883635</v>
      </c>
      <c r="BJ111" s="474"/>
      <c r="BK111" s="476">
        <f>BK109-BK67-BK64</f>
        <v>3.3018725205323891</v>
      </c>
      <c r="BL111" s="474"/>
      <c r="BM111" s="476">
        <f>BM109-BM67-BM64</f>
        <v>2.8418416177268968</v>
      </c>
      <c r="BN111" s="474"/>
      <c r="BO111" s="476">
        <f>BO109-BO67-BO64</f>
        <v>2.7412105788358634</v>
      </c>
      <c r="BP111" s="474"/>
      <c r="BQ111" s="476">
        <f>BQ109-BQ67-BQ64</f>
        <v>2.6040629591728193</v>
      </c>
      <c r="BR111" s="474"/>
      <c r="BS111" s="476">
        <f>BS109-BS67-BS64</f>
        <v>2.9584521993020676</v>
      </c>
      <c r="BT111" s="474"/>
      <c r="BU111" s="476">
        <f>BU109-BU67-BU64</f>
        <v>2.7641132172812783</v>
      </c>
      <c r="BV111" s="474"/>
      <c r="BW111" s="476">
        <f>BW109-BW67-BW64</f>
        <v>2.7408526621005347</v>
      </c>
      <c r="BX111" s="474"/>
      <c r="BY111" s="476">
        <f>BY109-BY67-BY64</f>
        <v>2.993287563148022</v>
      </c>
      <c r="BZ111" s="474"/>
      <c r="CA111" s="476">
        <f>CA109-CA67-CA64</f>
        <v>2.8610457743684012</v>
      </c>
      <c r="CB111" s="474"/>
      <c r="CC111" s="476">
        <f>CC109-CC67-CC64</f>
        <v>3.0988947953343997</v>
      </c>
      <c r="CD111" s="474"/>
      <c r="CE111" s="476">
        <f>CE109-CE67-CE64</f>
        <v>2.9721237135802836</v>
      </c>
      <c r="CF111" s="474"/>
      <c r="CG111" s="476">
        <f>CG109-CG67-CG64</f>
        <v>2.5685205380539928</v>
      </c>
      <c r="CH111" s="474"/>
      <c r="CI111" s="476">
        <f>CI109-CI67-CI64</f>
        <v>2.6441531052344862</v>
      </c>
      <c r="CJ111" s="474"/>
      <c r="CK111" s="476">
        <f>CK109-CK67-CK64</f>
        <v>2.7088426435715345</v>
      </c>
      <c r="CL111" s="474"/>
      <c r="CM111" s="476">
        <f>CM109-CM67-CM64</f>
        <v>2.8049986085395631</v>
      </c>
      <c r="CN111" s="474"/>
      <c r="CO111" s="476">
        <f>CO109-CO67-CO64</f>
        <v>2.8131800371403024</v>
      </c>
      <c r="CP111" s="474"/>
      <c r="CQ111" s="476">
        <f>CQ109-CQ67-CQ64</f>
        <v>2.7945362654320984</v>
      </c>
      <c r="CR111" s="474"/>
      <c r="CS111" s="476">
        <f>CS109-CS67-CS64</f>
        <v>2.7945362654320984</v>
      </c>
      <c r="CT111" s="209"/>
      <c r="CU111" s="474"/>
      <c r="CV111" s="476">
        <f>CV109-CV67-CV64</f>
        <v>3.1369812121806468</v>
      </c>
      <c r="CW111" s="474"/>
      <c r="CX111" s="476">
        <f>CX109-CX67-CX64</f>
        <v>2.7065881298423609</v>
      </c>
      <c r="CY111" s="474"/>
      <c r="CZ111" s="476">
        <f>CZ109-CZ67-CZ64</f>
        <v>2.7633053062143751</v>
      </c>
      <c r="DA111" s="474"/>
      <c r="DB111" s="476">
        <f>DB109-DB67-DB64</f>
        <v>1.8698513062743702</v>
      </c>
      <c r="DC111" s="474"/>
      <c r="DD111" s="476">
        <f>DD109-DD67-DD64</f>
        <v>2.2719843758938492</v>
      </c>
      <c r="DE111" s="474"/>
      <c r="DF111" s="476">
        <f>DF109-DF67-DF64</f>
        <v>3.7000971458447385</v>
      </c>
      <c r="DG111" s="474"/>
      <c r="DH111" s="476">
        <f>DH109-DH67-DH64</f>
        <v>3.2237085138248842</v>
      </c>
      <c r="DI111" s="474"/>
      <c r="DJ111" s="476">
        <f>DJ109-DJ67-DJ64</f>
        <v>3.9008865893953306</v>
      </c>
      <c r="DK111" s="474"/>
      <c r="DL111" s="476">
        <f>DL109-DL67-DL64</f>
        <v>3.5332769361021121</v>
      </c>
      <c r="DM111" s="474"/>
      <c r="DN111" s="476">
        <f>DN109-DN67-DN64</f>
        <v>3.5804398222252223</v>
      </c>
      <c r="DO111" s="474"/>
      <c r="DP111" s="476">
        <f>DP109-DP67-DP64</f>
        <v>3.6442715192793385</v>
      </c>
      <c r="DQ111" s="474"/>
      <c r="DR111" s="476">
        <f>DR109-DR67-DR64</f>
        <v>2.9754326517559191</v>
      </c>
      <c r="DS111" s="474"/>
      <c r="DT111" s="476">
        <f>DT109-DT67-DT64</f>
        <v>3.5200493254048508</v>
      </c>
      <c r="DU111" s="474"/>
      <c r="DV111" s="476">
        <f>DV109-DV67-DV64</f>
        <v>3.9143563289264049</v>
      </c>
      <c r="DW111" s="474"/>
      <c r="DX111" s="476">
        <f>DX109-DX67-DX64</f>
        <v>3.9678477632366471</v>
      </c>
      <c r="DY111" s="474"/>
      <c r="DZ111" s="476">
        <f>DZ109-DZ67-DZ64</f>
        <v>4.2459975154904015</v>
      </c>
      <c r="EA111" s="474"/>
      <c r="EB111" s="476">
        <f>EB109-EB67-EB64</f>
        <v>4.0559932281144988</v>
      </c>
      <c r="EC111" s="474"/>
      <c r="ED111" s="476">
        <f>ED109-ED67-ED64</f>
        <v>4.3412458316881946</v>
      </c>
      <c r="EE111" s="474"/>
      <c r="EF111" s="476">
        <f>EF109-EF67-EF64</f>
        <v>4.5015479265650491</v>
      </c>
      <c r="EG111" s="474"/>
      <c r="EH111" s="476">
        <f>EH109-EH67-EH64</f>
        <v>4.4393427899829128</v>
      </c>
      <c r="EI111" s="474"/>
      <c r="EJ111" s="476">
        <f>EJ109-EJ67-EJ64</f>
        <v>4.3940816686604265</v>
      </c>
      <c r="EK111" s="474"/>
      <c r="EL111" s="476">
        <f>EL109-EL67-EL64</f>
        <v>4.2275221591528727</v>
      </c>
      <c r="EM111" s="474"/>
      <c r="EN111" s="476">
        <f>EN109-EN67-EN64</f>
        <v>4.6020688006550792</v>
      </c>
      <c r="EO111" s="474"/>
      <c r="EP111" s="476">
        <f>EP109-EP67-EP64</f>
        <v>3.9072904309205683</v>
      </c>
      <c r="EQ111" s="474"/>
      <c r="ER111" s="476">
        <f>ER109-ER67-ER64</f>
        <v>4.5894562838423791</v>
      </c>
      <c r="ES111" s="474"/>
      <c r="ET111" s="476">
        <f>ET109-ET67-ET64</f>
        <v>4.339477605588776</v>
      </c>
      <c r="EU111" s="474"/>
      <c r="EV111" s="476">
        <f>EV109-EV67-EV64</f>
        <v>4.4341318569532255</v>
      </c>
      <c r="EW111" s="474"/>
      <c r="EX111" s="476">
        <f>EX109-EX67-EX64</f>
        <v>4.5210157481830073</v>
      </c>
      <c r="EY111" s="474"/>
      <c r="EZ111" s="476">
        <f>EZ109-EZ67-EZ64</f>
        <v>4.3417548095279024</v>
      </c>
      <c r="FA111" s="474"/>
      <c r="FB111" s="476">
        <f>FB109-FB67-FB64</f>
        <v>3.9080200669134912</v>
      </c>
      <c r="FC111" s="474"/>
      <c r="FD111" s="476">
        <f>FD109-FD67-FD64</f>
        <v>4.1285136913404266</v>
      </c>
      <c r="FE111" s="474"/>
      <c r="FF111" s="476">
        <f>FF109-FF67-FF64</f>
        <v>4.8289275141942749</v>
      </c>
      <c r="FG111" s="474"/>
      <c r="FH111" s="476">
        <f>FH109-FH67-FH64</f>
        <v>4.5391256693787625</v>
      </c>
      <c r="FI111" s="474"/>
      <c r="FJ111" s="476">
        <f>FJ109-FJ67-FJ64</f>
        <v>4.3992040069075493</v>
      </c>
      <c r="FK111" s="474"/>
      <c r="FL111" s="476">
        <f>FL109-FL67-FL64</f>
        <v>4.3787814734117081</v>
      </c>
      <c r="FM111" s="474"/>
      <c r="FN111" s="476">
        <f>FN109-FN67-FN64</f>
        <v>4.3288683497866902</v>
      </c>
      <c r="FO111" s="474"/>
      <c r="FP111" s="476">
        <f>FP109-FP67-FP64</f>
        <v>4.3288683497866902</v>
      </c>
      <c r="FQ111" s="477"/>
      <c r="FR111" s="474"/>
      <c r="FS111" s="475">
        <f>FS109-FS67-FS64</f>
        <v>1.637866522253455</v>
      </c>
      <c r="FT111" s="474"/>
      <c r="FU111" s="475">
        <f>FU109-FU67-FU64</f>
        <v>1.3474235994571058</v>
      </c>
      <c r="FV111" s="474"/>
      <c r="FW111" s="476">
        <f>FW109-FW67-FW64</f>
        <v>1.0406570329109592</v>
      </c>
      <c r="FX111" s="474"/>
      <c r="FY111" s="475">
        <f>FY109-FY67-FY64</f>
        <v>0.75864683821894985</v>
      </c>
      <c r="FZ111" s="474"/>
      <c r="GA111" s="475">
        <f>GA109-GA93</f>
        <v>-0.75968686272641861</v>
      </c>
      <c r="GB111" s="474"/>
      <c r="GC111" s="475">
        <f>GC109-GC93</f>
        <v>-0.75968686272641861</v>
      </c>
      <c r="GD111" s="474"/>
      <c r="GE111" s="475">
        <f>GE109-GE93</f>
        <v>-0.76037003436556105</v>
      </c>
      <c r="GF111" s="474"/>
      <c r="GG111" s="476">
        <f>GG109-GG67-GG64</f>
        <v>0.93174503340622938</v>
      </c>
      <c r="GH111" s="474"/>
      <c r="GI111" s="476">
        <f>GI109-GI67-GI64</f>
        <v>1.2548842453379949</v>
      </c>
      <c r="GJ111" s="474"/>
      <c r="GK111" s="476">
        <f>GK109-GK67-GK64</f>
        <v>1.4960121264367814</v>
      </c>
      <c r="GL111" s="474"/>
      <c r="GM111" s="476">
        <f>GM109-GM67-GM64</f>
        <v>2.5254497180594644</v>
      </c>
      <c r="GN111" s="474"/>
      <c r="GO111" s="476">
        <f>GO109-GO67-GO64</f>
        <v>2.3881144623655919</v>
      </c>
      <c r="GP111" s="474"/>
      <c r="GQ111" s="476">
        <f>GQ109-GQ67-GQ64</f>
        <v>2.6126891668967893</v>
      </c>
      <c r="GR111" s="474"/>
      <c r="GS111" s="476">
        <f>GS109-GS67-GS64</f>
        <v>2.4662594270853164</v>
      </c>
      <c r="GT111" s="474"/>
      <c r="GU111" s="476">
        <f>GU109-GU67-GU64</f>
        <v>2.5242436606602867</v>
      </c>
      <c r="GV111" s="474"/>
      <c r="GW111" s="476">
        <f>GW109-GW67-GW64</f>
        <v>1.6828091910731322</v>
      </c>
      <c r="GX111" s="474"/>
      <c r="GY111" s="476">
        <f>GY109-GY67-GY64</f>
        <v>1.8546328160919545</v>
      </c>
      <c r="GZ111" s="474"/>
      <c r="HA111" s="476">
        <f>HA109-HA67-HA64</f>
        <v>2.193174482758621</v>
      </c>
      <c r="HB111" s="474"/>
      <c r="HC111" s="476">
        <f>HC109-HC67-HC64</f>
        <v>2.2053406681517012</v>
      </c>
      <c r="HD111" s="474"/>
      <c r="HE111" s="476">
        <f>HE109-HE67-HE64</f>
        <v>2.91059659977148</v>
      </c>
      <c r="HF111" s="474"/>
      <c r="HG111" s="476">
        <f>HG109-HG67-HG64</f>
        <v>2.8521963655796267</v>
      </c>
      <c r="HH111" s="474"/>
      <c r="HI111" s="476">
        <f>HI109-HI67-HI64</f>
        <v>2.9236818979177381</v>
      </c>
      <c r="HJ111" s="474"/>
      <c r="HK111" s="476">
        <f>HK109-HK67-HK64</f>
        <v>2.9615178949599179</v>
      </c>
      <c r="HL111" s="474"/>
      <c r="HM111" s="476">
        <f>HM109-HM67-HM64</f>
        <v>3.1588408206757612</v>
      </c>
      <c r="HN111" s="474"/>
      <c r="HO111" s="476">
        <f>HO109-HO67-HO64</f>
        <v>3.1323168630988785</v>
      </c>
      <c r="HP111" s="474"/>
      <c r="HQ111" s="476">
        <f>HQ109-HQ67-HQ64</f>
        <v>3.0967551885182556</v>
      </c>
      <c r="HR111" s="474"/>
      <c r="HS111" s="476">
        <f>HS109-HS67-HS64</f>
        <v>2.8282959478258172</v>
      </c>
      <c r="HT111" s="474"/>
      <c r="HU111" s="476">
        <f>HU109-HU67-HU64</f>
        <v>2.9091954324029285</v>
      </c>
      <c r="HV111" s="474"/>
      <c r="HW111" s="476">
        <f>HW109-HW67-HW64</f>
        <v>2.7271926507926749</v>
      </c>
      <c r="HX111" s="474"/>
      <c r="HY111" s="476">
        <f>HY109-HY67-HY64</f>
        <v>2.0678778651694931</v>
      </c>
      <c r="HZ111" s="474"/>
      <c r="IA111" s="476">
        <f>IA109-IA67-IA64</f>
        <v>1.9363341242665739</v>
      </c>
      <c r="IB111" s="474"/>
      <c r="IC111" s="476">
        <f>IC109-IC67-IC64</f>
        <v>2.9302382422951987</v>
      </c>
      <c r="ID111" s="474"/>
      <c r="IE111" s="476">
        <f>IE109-IE67-IE64</f>
        <v>3.0220956748393424</v>
      </c>
      <c r="IF111" s="474"/>
      <c r="IG111" s="476">
        <f>IG109-IG67-IG64</f>
        <v>2.9904171589377353</v>
      </c>
      <c r="IH111" s="474"/>
      <c r="II111" s="476">
        <f>II109-II67-II64</f>
        <v>2.8358129213346914</v>
      </c>
      <c r="IJ111" s="474"/>
      <c r="IK111" s="476">
        <f>IK109-IK67-IK64</f>
        <v>2.6744679081930882</v>
      </c>
      <c r="IL111" s="474"/>
      <c r="IM111" s="476">
        <f>IM109-IM67-IM64</f>
        <v>2.764670147013176</v>
      </c>
      <c r="IN111" s="474"/>
      <c r="IO111" s="476">
        <f>IO109-IO67-IO64</f>
        <v>2.8514025124836828</v>
      </c>
      <c r="IP111" s="474"/>
      <c r="IQ111" s="476">
        <f>IQ109-IQ67-IQ64</f>
        <v>2.9255858555900676</v>
      </c>
      <c r="IR111" s="474"/>
      <c r="IS111" s="476">
        <f>IS109-IS67-IS64</f>
        <v>2.8621148200684821</v>
      </c>
      <c r="IT111" s="474"/>
      <c r="IU111" s="476">
        <f>IU109-IU67-IU64</f>
        <v>2.7316037725447981</v>
      </c>
      <c r="IV111" s="474"/>
      <c r="IW111" s="476">
        <f>IW109-IW67-IW64</f>
        <v>2.9751651107306221</v>
      </c>
      <c r="IX111" s="474"/>
      <c r="IY111" s="476">
        <f>IY109-IY67-IY64</f>
        <v>2.9534980246913585</v>
      </c>
      <c r="IZ111" s="473"/>
      <c r="JA111" s="474"/>
      <c r="JB111" s="476">
        <f>JB109-JB67-JB64</f>
        <v>2.51214</v>
      </c>
      <c r="JC111" s="474"/>
      <c r="JD111" s="476">
        <f>JD109-JD67-JD64</f>
        <v>2.4393551898734178</v>
      </c>
      <c r="JE111" s="477"/>
      <c r="JF111" s="474"/>
      <c r="JG111" s="475">
        <f>JG109-JG67-JG64</f>
        <v>1.8807894840579362</v>
      </c>
      <c r="JH111" s="474"/>
      <c r="JI111" s="475">
        <f>JI109-JI67-JI64</f>
        <v>1.6007554650129063</v>
      </c>
      <c r="JJ111" s="474"/>
      <c r="JK111" s="476">
        <f>JK109-JK67-JK64</f>
        <v>1.3665232242670222</v>
      </c>
      <c r="JL111" s="474"/>
      <c r="JM111" s="475">
        <f>JM109-JM67-JM64</f>
        <v>1.1102029558182811</v>
      </c>
      <c r="JN111" s="474"/>
      <c r="JO111" s="475">
        <f>JO109-JO93</f>
        <v>-1.5101446905175275</v>
      </c>
      <c r="JP111" s="474"/>
      <c r="JQ111" s="476">
        <f>JQ109-JQ67-JQ64</f>
        <v>1.4691517055444938</v>
      </c>
      <c r="JR111" s="474"/>
      <c r="JS111" s="476">
        <f>JS109-JS67-JS64</f>
        <v>0.9559270587745583</v>
      </c>
      <c r="JT111" s="474"/>
      <c r="JU111" s="476">
        <f>JU109-JU67-JU64</f>
        <v>1.1671360796387524</v>
      </c>
      <c r="JV111" s="474"/>
      <c r="JW111" s="476">
        <f>JW109-JW67-JW64</f>
        <v>1.7695997457131356</v>
      </c>
      <c r="JX111" s="474"/>
      <c r="JY111" s="476">
        <f>JY109-JY67-JY64</f>
        <v>1.415401347926267</v>
      </c>
      <c r="JZ111" s="474"/>
      <c r="KA111" s="476">
        <f>KA109-KA67-KA64</f>
        <v>1.7263629907987226</v>
      </c>
      <c r="KB111" s="474"/>
      <c r="KC111" s="476">
        <f>KC109-KC67-KC64</f>
        <v>1.6497707321551531</v>
      </c>
      <c r="KD111" s="474"/>
      <c r="KE111" s="476">
        <f>KE109-KE67-KE64</f>
        <v>1.6892560814892774</v>
      </c>
      <c r="KF111" s="474"/>
      <c r="KG111" s="476">
        <f>KG109-KG67-KG64</f>
        <v>1.2151890670759671</v>
      </c>
      <c r="KH111" s="474"/>
      <c r="KI111" s="476">
        <f>KI109-KI67-KI64</f>
        <v>1.260206687192118</v>
      </c>
      <c r="KJ111" s="474"/>
      <c r="KK111" s="476">
        <f>KK109-KK67-KK64</f>
        <v>1.5978690248544556</v>
      </c>
      <c r="KL111" s="474"/>
      <c r="KM111" s="476">
        <f>KM109-KM67-KM64</f>
        <v>1.6645378754147444</v>
      </c>
      <c r="KN111" s="474"/>
      <c r="KO111" s="476">
        <f>KO109-KO67-KO64</f>
        <v>1.9068478831997613</v>
      </c>
      <c r="KP111" s="474"/>
      <c r="KQ111" s="476">
        <f>KQ109-KQ67-KQ64</f>
        <v>1.7240805113352895</v>
      </c>
      <c r="KR111" s="474"/>
      <c r="KS111" s="476">
        <f>KS109-KS67-KS64</f>
        <v>1.9615215782224134</v>
      </c>
      <c r="KT111" s="474"/>
      <c r="KU111" s="476">
        <f>KU109-KU67-KU64</f>
        <v>1.9865229751431652</v>
      </c>
      <c r="KV111" s="474"/>
      <c r="KW111" s="476">
        <f>KW109-KW67-KW64</f>
        <v>2.1465940120653837</v>
      </c>
      <c r="KX111" s="474"/>
      <c r="KY111" s="476">
        <f>KY109-KY67-KY64</f>
        <v>2.2857663727160897</v>
      </c>
      <c r="KZ111" s="474"/>
      <c r="LA111" s="476">
        <f>LA109-LA67-LA64</f>
        <v>2.4106953263235411</v>
      </c>
      <c r="LB111" s="474"/>
      <c r="LC111" s="476">
        <f>LC109-LC67-LC64</f>
        <v>1.9800808528736598</v>
      </c>
      <c r="LD111" s="474"/>
      <c r="LE111" s="476">
        <f>LE109-LE67-LE64</f>
        <v>1.9331812096800984</v>
      </c>
      <c r="LF111" s="474"/>
      <c r="LG111" s="476">
        <f>LG109-LG67-LG64</f>
        <v>1.4707489770277666</v>
      </c>
      <c r="LH111" s="474"/>
      <c r="LI111" s="476">
        <f>LI109-LI67-LI64</f>
        <v>2.082669732313744</v>
      </c>
      <c r="LJ111" s="474"/>
      <c r="LK111" s="476">
        <f>LK109-LK67-LK64</f>
        <v>1.7816386554180577</v>
      </c>
      <c r="LL111" s="474"/>
      <c r="LM111" s="476">
        <f>LM109-LM67-LM64</f>
        <v>2.0998630184835632</v>
      </c>
      <c r="LN111" s="474"/>
      <c r="LO111" s="476">
        <f>LO109-LO67-LO64</f>
        <v>2.1893436642789315</v>
      </c>
      <c r="LP111" s="474"/>
      <c r="LQ111" s="476">
        <f>LQ109-LQ67-LQ64</f>
        <v>2.0570722970530904</v>
      </c>
      <c r="LR111" s="474"/>
      <c r="LS111" s="476">
        <f>LS109-LS67-LS64</f>
        <v>1.8438496894114174</v>
      </c>
      <c r="LT111" s="474"/>
      <c r="LU111" s="476">
        <f>LU109-LU67-LU64</f>
        <v>1.7035202031916201</v>
      </c>
      <c r="LV111" s="474"/>
      <c r="LW111" s="476">
        <f>LW109-LW67-LW64</f>
        <v>1.7797401494124427</v>
      </c>
      <c r="LX111" s="474"/>
      <c r="LY111" s="476">
        <f>LY109-LY67-LY64</f>
        <v>1.8552106757419873</v>
      </c>
      <c r="LZ111" s="474"/>
      <c r="MA111" s="476">
        <f>MA109-MA67-MA64</f>
        <v>1.9197616183889723</v>
      </c>
      <c r="MB111" s="474"/>
      <c r="MC111" s="476">
        <f>MC109-MC67-MC64</f>
        <v>1.8952345962742623</v>
      </c>
      <c r="MD111" s="474"/>
      <c r="ME111" s="476">
        <f>ME109-ME67-ME64</f>
        <v>2.4247915040754577</v>
      </c>
      <c r="MF111" s="474"/>
      <c r="MG111" s="476">
        <f>MG109-MG67-MG64</f>
        <v>1.995485031665865</v>
      </c>
      <c r="MH111" s="477"/>
      <c r="MI111" s="474"/>
      <c r="MJ111" s="475">
        <f>MJ109-MJ67-MJ64</f>
        <v>1.9359583058135086</v>
      </c>
      <c r="MK111" s="474"/>
      <c r="ML111" s="475">
        <f>ML109-ML67-ML64</f>
        <v>1.7677604796788096</v>
      </c>
      <c r="MM111" s="474"/>
      <c r="MN111" s="476">
        <f>MN109-MN67-MN64</f>
        <v>1.5053709945209766</v>
      </c>
      <c r="MO111" s="474"/>
      <c r="MP111" s="475">
        <f>MP109-MP67-MP64</f>
        <v>1.2951067150332658</v>
      </c>
      <c r="MQ111" s="474"/>
      <c r="MR111" s="475">
        <f>MR109-MR93+MR134</f>
        <v>-5.7936691654178571E-2</v>
      </c>
      <c r="MS111" s="474"/>
      <c r="MT111" s="476">
        <f>MT109-MT67-MT64</f>
        <v>1.444023211703944</v>
      </c>
      <c r="MU111" s="474"/>
      <c r="MV111" s="476">
        <f>MV109-MV67-MV64</f>
        <v>1.2676316847724467</v>
      </c>
      <c r="MW111" s="474"/>
      <c r="MX111" s="476">
        <f>MX109-MX67-MX64</f>
        <v>1.7605366761939882</v>
      </c>
      <c r="MY111" s="474"/>
      <c r="MZ111" s="476">
        <f>MZ109-MZ67-MZ64</f>
        <v>2.4353743046061638</v>
      </c>
      <c r="NA111" s="474"/>
      <c r="NB111" s="476">
        <f>NB109-NB67-NB64</f>
        <v>2.1929282223563913</v>
      </c>
      <c r="NC111" s="474"/>
      <c r="ND111" s="476">
        <f>ND109-ND67-ND64</f>
        <v>2.407804963475622</v>
      </c>
      <c r="NE111" s="474"/>
      <c r="NF111" s="476">
        <f>NF109-NF67-NF64</f>
        <v>2.4354084372833671</v>
      </c>
      <c r="NG111" s="474"/>
      <c r="NH111" s="476">
        <f>NH109-NH67-NH64</f>
        <v>2.4312093024463794</v>
      </c>
      <c r="NI111" s="474"/>
      <c r="NJ111" s="476">
        <f>NJ109-NJ67-NJ64</f>
        <v>2.0698396280170765</v>
      </c>
      <c r="NK111" s="474"/>
      <c r="NL111" s="476">
        <f>NL109-NL67-NL64</f>
        <v>2.3027377390072585</v>
      </c>
      <c r="NM111" s="474"/>
      <c r="NN111" s="476">
        <f>NN109-NN67-NN64</f>
        <v>2.3027377390072585</v>
      </c>
      <c r="NO111" s="474"/>
      <c r="NP111" s="476">
        <f>NP109-NP67-NP64</f>
        <v>2.4697934254155012</v>
      </c>
      <c r="NQ111" s="474"/>
      <c r="NR111" s="476">
        <f>NR109-NR67-NR64</f>
        <v>2.7150752013802171</v>
      </c>
      <c r="NS111" s="474"/>
      <c r="NT111" s="476">
        <f>NT109-NT67-NT64</f>
        <v>2.7814918497461121</v>
      </c>
      <c r="NU111" s="474"/>
      <c r="NV111" s="476">
        <f>NV109-NV67-NV64</f>
        <v>2.2187116031102372</v>
      </c>
      <c r="NW111" s="474"/>
      <c r="NX111" s="476">
        <f>NX109-NX67-NX64</f>
        <v>2.7567367184841505</v>
      </c>
      <c r="NY111" s="474"/>
      <c r="NZ111" s="476">
        <f>NZ109-NZ67-NZ64</f>
        <v>2.5578598729410666</v>
      </c>
      <c r="OA111" s="474"/>
      <c r="OB111" s="476">
        <f>OB109-OB67-OB64</f>
        <v>2.9721306997134831</v>
      </c>
      <c r="OC111" s="474"/>
      <c r="OD111" s="476">
        <f>OD109-OD67-OD64</f>
        <v>3.0147648018219684</v>
      </c>
      <c r="OE111" s="474"/>
      <c r="OF111" s="476">
        <f>OF109-OF67-OF64</f>
        <v>2.674720736931774</v>
      </c>
      <c r="OG111" s="474"/>
      <c r="OH111" s="476">
        <f>OH109-OH67-OH64</f>
        <v>2.5852606101099762</v>
      </c>
      <c r="OI111" s="474"/>
      <c r="OJ111" s="476">
        <f>OJ109-OJ67-OJ64</f>
        <v>2.4017357936480801</v>
      </c>
      <c r="OK111" s="474"/>
      <c r="OL111" s="476">
        <f>OL109-OL67-OL64</f>
        <v>2.6112052788385678</v>
      </c>
      <c r="OM111" s="474"/>
      <c r="ON111" s="476">
        <f>ON109-ON67-ON64</f>
        <v>2.3858337942786223</v>
      </c>
      <c r="OO111" s="474"/>
      <c r="OP111" s="476">
        <f>OP109-OP67-OP64</f>
        <v>2.5315379599379533</v>
      </c>
      <c r="OQ111" s="474"/>
      <c r="OR111" s="476">
        <f>OR109-OR67-OR64</f>
        <v>2.5540809000395432</v>
      </c>
      <c r="OS111" s="474"/>
      <c r="OT111" s="476">
        <f>OT109-OT67-OT64</f>
        <v>2.4783709315910141</v>
      </c>
      <c r="OU111" s="474"/>
      <c r="OV111" s="476">
        <f>OV109-OV67-OV64</f>
        <v>1.9046626183661026</v>
      </c>
      <c r="OW111" s="474"/>
      <c r="OX111" s="476">
        <f>OX109-OX67-OX64</f>
        <v>1.7656889725928731</v>
      </c>
      <c r="OY111" s="474"/>
      <c r="OZ111" s="476">
        <f>OZ109-OZ67-OZ64</f>
        <v>1.8411724942125274</v>
      </c>
      <c r="PA111" s="474"/>
      <c r="PB111" s="476">
        <f>PB109-PB67-PB64</f>
        <v>1.9159138367128012</v>
      </c>
      <c r="PC111" s="474"/>
      <c r="PD111" s="476">
        <f>PD109-PD67-PD64</f>
        <v>1.9798410987545012</v>
      </c>
      <c r="PE111" s="474"/>
      <c r="PF111" s="476">
        <f>PF109-PF67-PF64</f>
        <v>2.2489750777015018</v>
      </c>
      <c r="PG111" s="474"/>
      <c r="PH111" s="476">
        <f>PH109-PH67-PH64</f>
        <v>2.8383724560756947</v>
      </c>
      <c r="PI111" s="474"/>
      <c r="PJ111" s="476">
        <f>PJ109-PJ67-PJ64</f>
        <v>2.7807298118084618</v>
      </c>
      <c r="PK111" s="474"/>
      <c r="PL111" s="476">
        <f>PL109-PL67-PL64</f>
        <v>2.7156544132359333</v>
      </c>
      <c r="PM111" s="474"/>
      <c r="PN111" s="476">
        <f>PN109-PN67-PN64</f>
        <v>2.8748961042690717</v>
      </c>
      <c r="PO111" s="474"/>
      <c r="PP111" s="476">
        <f>PP109-PP67-PP64</f>
        <v>2.8748961042690717</v>
      </c>
      <c r="PQ111" s="307"/>
      <c r="PR111" s="474"/>
      <c r="PS111" s="476">
        <f>PS109-PS67-PS64</f>
        <v>4.3321514328227977</v>
      </c>
      <c r="PT111" s="474"/>
      <c r="PU111" s="476">
        <f>PU109-PU67-PU64</f>
        <v>4.6256757747977861</v>
      </c>
      <c r="PV111" s="474"/>
      <c r="PW111" s="476">
        <f>PW109-PW67-PW64</f>
        <v>4.3324914328227973</v>
      </c>
      <c r="PX111" s="474"/>
      <c r="PY111" s="476">
        <f>PY109-PY67-PY64</f>
        <v>4.6260157747977857</v>
      </c>
      <c r="PZ111" s="474"/>
      <c r="QA111" s="476">
        <f>QA109-QA67-QA64</f>
        <v>4.2907253106468755</v>
      </c>
      <c r="QB111" s="474"/>
      <c r="QC111" s="476">
        <f>QC109-QC67-QC64</f>
        <v>4.5879187068965521</v>
      </c>
      <c r="QD111" s="307"/>
      <c r="QE111" s="307"/>
      <c r="QF111" s="474"/>
      <c r="QG111" s="476">
        <f>QG109-QG67-QG64</f>
        <v>3.7293794785014902</v>
      </c>
      <c r="QH111" s="474"/>
      <c r="QI111" s="476">
        <f>QI109-QI67-QI64</f>
        <v>4.000984416773095</v>
      </c>
      <c r="QJ111" s="474"/>
      <c r="QK111" s="476">
        <f>QK109-QK67-QK64</f>
        <v>3.7297194785014902</v>
      </c>
      <c r="QL111" s="474"/>
      <c r="QM111" s="476">
        <f>QM109-QM67-QM64</f>
        <v>4.0013244167730946</v>
      </c>
      <c r="QN111" s="474"/>
      <c r="QO111" s="476">
        <f>QO109-QO67-QO64</f>
        <v>2.9297194785014895</v>
      </c>
      <c r="QP111" s="474"/>
      <c r="QQ111" s="476">
        <f>QQ109-QQ67-QQ64</f>
        <v>3.2013244167730943</v>
      </c>
    </row>
    <row r="112" spans="1:459" x14ac:dyDescent="0.45">
      <c r="A112" s="871"/>
      <c r="B112" s="457" t="s">
        <v>411</v>
      </c>
      <c r="C112" s="458"/>
      <c r="D112" s="459"/>
      <c r="E112" s="460"/>
      <c r="F112" s="461"/>
      <c r="G112" s="462">
        <f>G111/G69</f>
        <v>0.39116401345195634</v>
      </c>
      <c r="H112" s="461"/>
      <c r="I112" s="462">
        <f>I111/I69</f>
        <v>0.30226310130378448</v>
      </c>
      <c r="J112" s="461"/>
      <c r="K112" s="462">
        <f>K111/K69</f>
        <v>0.33657318245305734</v>
      </c>
      <c r="L112" s="461"/>
      <c r="M112" s="462">
        <f>M111/M69</f>
        <v>0.33657318245305734</v>
      </c>
      <c r="N112" s="461"/>
      <c r="O112" s="462">
        <f>O111/O69</f>
        <v>0.31946745162995133</v>
      </c>
      <c r="P112" s="461"/>
      <c r="Q112" s="463">
        <f>Q111/Q60</f>
        <v>0.28267672697051599</v>
      </c>
      <c r="R112" s="461"/>
      <c r="S112" s="462">
        <f>S111/S69</f>
        <v>0.26106787339328591</v>
      </c>
      <c r="T112" s="461"/>
      <c r="U112" s="462" t="e">
        <f>U111/U87</f>
        <v>#DIV/0!</v>
      </c>
      <c r="V112" s="461"/>
      <c r="W112" s="462" t="e">
        <f>W111/W87</f>
        <v>#DIV/0!</v>
      </c>
      <c r="X112" s="461"/>
      <c r="Y112" s="462" t="e">
        <f>Y111/Y87</f>
        <v>#DIV/0!</v>
      </c>
      <c r="Z112" s="461"/>
      <c r="AA112" s="463">
        <f>AA111/AA69</f>
        <v>0.27991142159459992</v>
      </c>
      <c r="AB112" s="461"/>
      <c r="AC112" s="463">
        <f>AC111/AC60</f>
        <v>0.21282705288963913</v>
      </c>
      <c r="AD112" s="461"/>
      <c r="AE112" s="463">
        <f>AE111/AE60</f>
        <v>0.19497721944948573</v>
      </c>
      <c r="AF112" s="461"/>
      <c r="AG112" s="463">
        <f>AG111/AG60</f>
        <v>0.32193388081428287</v>
      </c>
      <c r="AH112" s="461"/>
      <c r="AI112" s="463">
        <f>AI111/AI60</f>
        <v>0.30212551287492928</v>
      </c>
      <c r="AJ112" s="461"/>
      <c r="AK112" s="463">
        <f>AK111/AK60</f>
        <v>0.33058272304665792</v>
      </c>
      <c r="AL112" s="461"/>
      <c r="AM112" s="463">
        <f>AM111/AM60</f>
        <v>0.31375494735708165</v>
      </c>
      <c r="AN112" s="461"/>
      <c r="AO112" s="463">
        <f>AO111/AO60</f>
        <v>0.29891980397468204</v>
      </c>
      <c r="AP112" s="461"/>
      <c r="AQ112" s="463">
        <f>AQ111/AQ60</f>
        <v>0.27791100940057528</v>
      </c>
      <c r="AR112" s="461"/>
      <c r="AS112" s="463">
        <f>AS111/AS60</f>
        <v>0.29723542422867505</v>
      </c>
      <c r="AT112" s="461"/>
      <c r="AU112" s="463">
        <f>AU111/AU60</f>
        <v>0.29723542422867505</v>
      </c>
      <c r="AV112" s="461"/>
      <c r="AW112" s="463">
        <f>AW111/AW60</f>
        <v>0.32962768467436804</v>
      </c>
      <c r="AX112" s="461"/>
      <c r="AY112" s="463">
        <f>AY111/AY60</f>
        <v>0.36271384312579064</v>
      </c>
      <c r="AZ112" s="461"/>
      <c r="BA112" s="463">
        <f>BA111/BA60</f>
        <v>0.37279282169780076</v>
      </c>
      <c r="BB112" s="461"/>
      <c r="BC112" s="463">
        <f>BC111/BC60</f>
        <v>0.3729811090309737</v>
      </c>
      <c r="BD112" s="461"/>
      <c r="BE112" s="463">
        <f>BE111/BE60</f>
        <v>0.37474434002820917</v>
      </c>
      <c r="BF112" s="461"/>
      <c r="BG112" s="463">
        <f>BG111/BG60</f>
        <v>0.40412357024797513</v>
      </c>
      <c r="BH112" s="461"/>
      <c r="BI112" s="463">
        <f>BI111/BI60</f>
        <v>0.43040561488004786</v>
      </c>
      <c r="BJ112" s="461"/>
      <c r="BK112" s="463">
        <f>BK111/BK60</f>
        <v>0.43445691059636699</v>
      </c>
      <c r="BL112" s="461"/>
      <c r="BM112" s="463">
        <f>BM111/BM60</f>
        <v>0.37392652864827591</v>
      </c>
      <c r="BN112" s="461"/>
      <c r="BO112" s="463">
        <f>BO111/BO60</f>
        <v>0.36068560247840309</v>
      </c>
      <c r="BP112" s="461"/>
      <c r="BQ112" s="463">
        <f>BQ111/BQ60</f>
        <v>0.34263986304905519</v>
      </c>
      <c r="BR112" s="461"/>
      <c r="BS112" s="463">
        <f>BS111/BS60</f>
        <v>0.38927002622395629</v>
      </c>
      <c r="BT112" s="461"/>
      <c r="BU112" s="463">
        <f>BU111/BU60</f>
        <v>0.36369910753701035</v>
      </c>
      <c r="BV112" s="461"/>
      <c r="BW112" s="463">
        <f>BW111/BW60</f>
        <v>0.36063850817112303</v>
      </c>
      <c r="BX112" s="461"/>
      <c r="BY112" s="463">
        <f>BY111/BY60</f>
        <v>0.3938536267300029</v>
      </c>
      <c r="BZ112" s="461"/>
      <c r="CA112" s="463">
        <f>CA111/CA60</f>
        <v>0.37645339136426331</v>
      </c>
      <c r="CB112" s="461"/>
      <c r="CC112" s="463">
        <f>CC111/CC60</f>
        <v>0.40774931517557894</v>
      </c>
      <c r="CD112" s="461"/>
      <c r="CE112" s="463">
        <f>CE111/CE60</f>
        <v>0.39106890968161628</v>
      </c>
      <c r="CF112" s="461"/>
      <c r="CG112" s="463">
        <f>CG111/CG60</f>
        <v>0.33796322869131484</v>
      </c>
      <c r="CH112" s="461"/>
      <c r="CI112" s="463">
        <f>CI111/CI60</f>
        <v>0.34791488226769557</v>
      </c>
      <c r="CJ112" s="461"/>
      <c r="CK112" s="463">
        <f>CK111/CK60</f>
        <v>0.35642666362783348</v>
      </c>
      <c r="CL112" s="461"/>
      <c r="CM112" s="463">
        <f>CM111/CM60</f>
        <v>0.36907876428152148</v>
      </c>
      <c r="CN112" s="461"/>
      <c r="CO112" s="463">
        <f>CO111/CO60</f>
        <v>0.37015526804477666</v>
      </c>
      <c r="CP112" s="461"/>
      <c r="CQ112" s="463">
        <f>CQ111/CQ60</f>
        <v>0.367702140188434</v>
      </c>
      <c r="CR112" s="461"/>
      <c r="CS112" s="463">
        <f>CS111/CS60</f>
        <v>0.367702140188434</v>
      </c>
      <c r="CT112" s="464"/>
      <c r="CU112" s="461"/>
      <c r="CV112" s="463">
        <f>CV111/CV60</f>
        <v>0.30456128273598509</v>
      </c>
      <c r="CW112" s="461"/>
      <c r="CX112" s="463">
        <f>CX111/CX60</f>
        <v>0.26277554658663693</v>
      </c>
      <c r="CY112" s="461"/>
      <c r="CZ112" s="463">
        <f>CZ111/CZ60</f>
        <v>0.26068917983154483</v>
      </c>
      <c r="DA112" s="461"/>
      <c r="DB112" s="463">
        <f>DB111/DB60</f>
        <v>0.17640106662965757</v>
      </c>
      <c r="DC112" s="461"/>
      <c r="DD112" s="463">
        <f>DD111/DD60</f>
        <v>0.20017483488051535</v>
      </c>
      <c r="DE112" s="461"/>
      <c r="DF112" s="463">
        <f>DF111/DF60</f>
        <v>0.32599974853257607</v>
      </c>
      <c r="DG112" s="461"/>
      <c r="DH112" s="463">
        <f>DH111/DH60</f>
        <v>0.28402718183479159</v>
      </c>
      <c r="DI112" s="461"/>
      <c r="DJ112" s="463">
        <f>DJ111/DJ60</f>
        <v>0.34369044840487495</v>
      </c>
      <c r="DK112" s="461"/>
      <c r="DL112" s="463">
        <f>DL111/DL60</f>
        <v>0.31130193269622136</v>
      </c>
      <c r="DM112" s="461"/>
      <c r="DN112" s="463">
        <f>DN111/DN60</f>
        <v>0.31545725305949096</v>
      </c>
      <c r="DO112" s="461"/>
      <c r="DP112" s="463">
        <f>DP111/DP60</f>
        <v>0.32108119112593292</v>
      </c>
      <c r="DQ112" s="461"/>
      <c r="DR112" s="463">
        <f>DR111/DR60</f>
        <v>0.26215265654237174</v>
      </c>
      <c r="DS112" s="461"/>
      <c r="DT112" s="463">
        <f>DT111/DT60</f>
        <v>0.31013650444095603</v>
      </c>
      <c r="DU112" s="461"/>
      <c r="DV112" s="463">
        <f>DV111/DV60</f>
        <v>0.3448772095970401</v>
      </c>
      <c r="DW112" s="461"/>
      <c r="DX112" s="463">
        <f>DX111/DX60</f>
        <v>0.34959011129838302</v>
      </c>
      <c r="DY112" s="461"/>
      <c r="DZ112" s="463">
        <f>DZ111/DZ60</f>
        <v>0.37409669740003537</v>
      </c>
      <c r="EA112" s="461"/>
      <c r="EB112" s="463">
        <f>EB111/EB60</f>
        <v>0.35735623155193824</v>
      </c>
      <c r="EC112" s="461"/>
      <c r="ED112" s="463">
        <f>ED111/ED60</f>
        <v>0.38248861953199953</v>
      </c>
      <c r="EE112" s="461"/>
      <c r="EF112" s="463">
        <f>EF111/EF60</f>
        <v>0.39661215212026868</v>
      </c>
      <c r="EG112" s="461"/>
      <c r="EH112" s="463">
        <f>EH111/EH60</f>
        <v>0.39113152334651213</v>
      </c>
      <c r="EI112" s="461"/>
      <c r="EJ112" s="463">
        <f>EJ111/EJ60</f>
        <v>0.38714375935334155</v>
      </c>
      <c r="EK112" s="461"/>
      <c r="EL112" s="463">
        <f>EL111/EL60</f>
        <v>0.37246891270069366</v>
      </c>
      <c r="EM112" s="461"/>
      <c r="EN112" s="463">
        <f>EN111/EN60</f>
        <v>0.40546861679780433</v>
      </c>
      <c r="EO112" s="461"/>
      <c r="EP112" s="463">
        <f>EP111/EP60</f>
        <v>0.34425466351723072</v>
      </c>
      <c r="EQ112" s="461"/>
      <c r="ER112" s="463">
        <f>ER111/ER60</f>
        <v>0.40435738183633296</v>
      </c>
      <c r="ES112" s="461"/>
      <c r="ET112" s="463">
        <f>ET111/ET60</f>
        <v>0.3823328286862358</v>
      </c>
      <c r="EU112" s="461"/>
      <c r="EV112" s="463">
        <f>EV111/EV60</f>
        <v>0.39067241030424898</v>
      </c>
      <c r="EW112" s="461"/>
      <c r="EX112" s="463">
        <f>EX111/EX60</f>
        <v>0.3983273786945381</v>
      </c>
      <c r="EY112" s="461"/>
      <c r="EZ112" s="463">
        <f>EZ111/EZ60</f>
        <v>0.38253346339452887</v>
      </c>
      <c r="FA112" s="461"/>
      <c r="FB112" s="463">
        <f>FB111/FB60</f>
        <v>0.34431894862673934</v>
      </c>
      <c r="FC112" s="461"/>
      <c r="FD112" s="463">
        <f>FD111/FD60</f>
        <v>0.36374569967757064</v>
      </c>
      <c r="FE112" s="461"/>
      <c r="FF112" s="463">
        <f>FF111/FF60</f>
        <v>0.42545616865147801</v>
      </c>
      <c r="FG112" s="461"/>
      <c r="FH112" s="463">
        <f>FH111/FH60</f>
        <v>0.39992296646508924</v>
      </c>
      <c r="FI112" s="461"/>
      <c r="FJ112" s="463">
        <f>FJ111/FJ60</f>
        <v>0.38759506668788984</v>
      </c>
      <c r="FK112" s="461"/>
      <c r="FL112" s="463">
        <f>FL111/FL60</f>
        <v>0.38579572452966593</v>
      </c>
      <c r="FM112" s="461"/>
      <c r="FN112" s="463">
        <f>FN111/FN60</f>
        <v>0.3813980924922194</v>
      </c>
      <c r="FO112" s="461"/>
      <c r="FP112" s="463">
        <f>FP111/FP60</f>
        <v>0.3813980924922194</v>
      </c>
      <c r="FQ112" s="465"/>
      <c r="FR112" s="461"/>
      <c r="FS112" s="462">
        <f>FS111/FS69</f>
        <v>0.24816159428082651</v>
      </c>
      <c r="FT112" s="461"/>
      <c r="FU112" s="462">
        <f>FU111/FU69</f>
        <v>0.20415509082683422</v>
      </c>
      <c r="FV112" s="461"/>
      <c r="FW112" s="463">
        <f>FW111/FW60</f>
        <v>0.150819859842168</v>
      </c>
      <c r="FX112" s="461"/>
      <c r="FY112" s="462">
        <f>FY111/FY69</f>
        <v>0.11494649063923483</v>
      </c>
      <c r="FZ112" s="461"/>
      <c r="GA112" s="462" t="e">
        <f>GA111/GA87</f>
        <v>#DIV/0!</v>
      </c>
      <c r="GB112" s="461"/>
      <c r="GC112" s="462" t="e">
        <f>GC111/GC87</f>
        <v>#DIV/0!</v>
      </c>
      <c r="GD112" s="461"/>
      <c r="GE112" s="462" t="e">
        <f>GE111/GE87</f>
        <v>#DIV/0!</v>
      </c>
      <c r="GF112" s="461"/>
      <c r="GG112" s="463">
        <f>GG111/GG69</f>
        <v>0.13803630124536731</v>
      </c>
      <c r="GH112" s="461"/>
      <c r="GI112" s="463">
        <f>GI111/GI60</f>
        <v>0.1730874821155855</v>
      </c>
      <c r="GJ112" s="461"/>
      <c r="GK112" s="463">
        <f>GK111/GK60</f>
        <v>0.17600142663962134</v>
      </c>
      <c r="GL112" s="461"/>
      <c r="GM112" s="463">
        <f>GM111/GM60</f>
        <v>0.29711173153640758</v>
      </c>
      <c r="GN112" s="461"/>
      <c r="GO112" s="463">
        <f>GO111/GO60</f>
        <v>0.28095464263124609</v>
      </c>
      <c r="GP112" s="461"/>
      <c r="GQ112" s="463">
        <f>GQ111/GQ60</f>
        <v>0.30737519610550462</v>
      </c>
      <c r="GR112" s="461"/>
      <c r="GS112" s="463">
        <f>GS111/GS60</f>
        <v>0.29014816789239017</v>
      </c>
      <c r="GT112" s="461"/>
      <c r="GU112" s="463">
        <f>GU111/GU60</f>
        <v>0.29696984243062197</v>
      </c>
      <c r="GV112" s="461"/>
      <c r="GW112" s="463">
        <f>GW111/GW60</f>
        <v>0.19797755189095673</v>
      </c>
      <c r="GX112" s="461"/>
      <c r="GY112" s="463">
        <f>GY111/GY60</f>
        <v>0.21819209601081818</v>
      </c>
      <c r="GZ112" s="461"/>
      <c r="HA112" s="463">
        <f>HA111/HA60</f>
        <v>0.25802052738336717</v>
      </c>
      <c r="HB112" s="461"/>
      <c r="HC112" s="463">
        <f>HC111/HC60</f>
        <v>0.25945184331196486</v>
      </c>
      <c r="HD112" s="461"/>
      <c r="HE112" s="463">
        <f>HE111/HE60</f>
        <v>0.34242312938488001</v>
      </c>
      <c r="HF112" s="461"/>
      <c r="HG112" s="463">
        <f>HG111/HG60</f>
        <v>0.33555251359760313</v>
      </c>
      <c r="HH112" s="461"/>
      <c r="HI112" s="463">
        <f>HI111/HI60</f>
        <v>0.34396257622561627</v>
      </c>
      <c r="HJ112" s="461"/>
      <c r="HK112" s="463">
        <f>HK111/HK60</f>
        <v>0.34841386999528445</v>
      </c>
      <c r="HL112" s="461"/>
      <c r="HM112" s="463">
        <f>HM111/HM60</f>
        <v>0.37162833184420718</v>
      </c>
      <c r="HN112" s="461"/>
      <c r="HO112" s="463">
        <f>HO111/HO60</f>
        <v>0.36850786624692689</v>
      </c>
      <c r="HP112" s="461"/>
      <c r="HQ112" s="463">
        <f>HQ111/HQ60</f>
        <v>0.36432413982567713</v>
      </c>
      <c r="HR112" s="461"/>
      <c r="HS112" s="463">
        <f>HS111/HS60</f>
        <v>0.33274069974421377</v>
      </c>
      <c r="HT112" s="461"/>
      <c r="HU112" s="463">
        <f>HU111/HU60</f>
        <v>0.34225828616505044</v>
      </c>
      <c r="HV112" s="461"/>
      <c r="HW112" s="463">
        <f>HW111/HW60</f>
        <v>0.32084619421090294</v>
      </c>
      <c r="HX112" s="461"/>
      <c r="HY112" s="463">
        <f>HY111/HY60</f>
        <v>0.24327974884346978</v>
      </c>
      <c r="HZ112" s="461"/>
      <c r="IA112" s="463">
        <f>IA111/IA60</f>
        <v>0.22780401461959693</v>
      </c>
      <c r="IB112" s="461"/>
      <c r="IC112" s="463">
        <f>IC111/IC60</f>
        <v>0.34473391085825866</v>
      </c>
      <c r="ID112" s="461"/>
      <c r="IE112" s="463">
        <f>IE111/IE60</f>
        <v>0.35554066762815795</v>
      </c>
      <c r="IF112" s="461"/>
      <c r="IG112" s="463">
        <f>IG111/IG60</f>
        <v>0.35181378340443947</v>
      </c>
      <c r="IH112" s="461"/>
      <c r="II112" s="463">
        <f>II111/II60</f>
        <v>0.33362504956878725</v>
      </c>
      <c r="IJ112" s="461"/>
      <c r="IK112" s="463">
        <f>IK111/IK60</f>
        <v>0.31464328331683389</v>
      </c>
      <c r="IL112" s="461"/>
      <c r="IM112" s="463">
        <f>IM111/IM60</f>
        <v>0.32525531141331482</v>
      </c>
      <c r="IN112" s="461"/>
      <c r="IO112" s="463">
        <f>IO111/IO60</f>
        <v>0.3354591191157274</v>
      </c>
      <c r="IP112" s="461"/>
      <c r="IQ112" s="463">
        <f>IQ111/IQ60</f>
        <v>0.3441865712458903</v>
      </c>
      <c r="IR112" s="461"/>
      <c r="IS112" s="463">
        <f>IS111/IS60</f>
        <v>0.33671939059629202</v>
      </c>
      <c r="IT112" s="461"/>
      <c r="IU112" s="463">
        <f>IU111/IU60</f>
        <v>0.32136514971115271</v>
      </c>
      <c r="IV112" s="461"/>
      <c r="IW112" s="463">
        <f>IW111/IW60</f>
        <v>0.3500194247918379</v>
      </c>
      <c r="IX112" s="461"/>
      <c r="IY112" s="463">
        <f>IY111/IY60</f>
        <v>0.34747035584604219</v>
      </c>
      <c r="IZ112" s="460"/>
      <c r="JA112" s="461"/>
      <c r="JB112" s="463">
        <f>JB111/JB60</f>
        <v>0.29554588235294116</v>
      </c>
      <c r="JC112" s="461"/>
      <c r="JD112" s="463">
        <f>JD111/JD60</f>
        <v>0.28698296351451974</v>
      </c>
      <c r="JE112" s="465"/>
      <c r="JF112" s="461"/>
      <c r="JG112" s="462">
        <f>JG111/JG69</f>
        <v>0.31346491400965604</v>
      </c>
      <c r="JH112" s="461"/>
      <c r="JI112" s="462">
        <f>JI111/JI69</f>
        <v>0.26679257750215107</v>
      </c>
      <c r="JJ112" s="461"/>
      <c r="JK112" s="463">
        <f>JK111/JK60</f>
        <v>0.21690844829635275</v>
      </c>
      <c r="JL112" s="461"/>
      <c r="JM112" s="462">
        <f>JM111/JM69</f>
        <v>0.18503382596971352</v>
      </c>
      <c r="JN112" s="461"/>
      <c r="JO112" s="462" t="e">
        <f>JO111/JO87</f>
        <v>#DIV/0!</v>
      </c>
      <c r="JP112" s="461"/>
      <c r="JQ112" s="463">
        <f>JQ111/JQ69</f>
        <v>0.23319868341976094</v>
      </c>
      <c r="JR112" s="461"/>
      <c r="JS112" s="463">
        <f>JS111/JS60</f>
        <v>0.14057750864331739</v>
      </c>
      <c r="JT112" s="461"/>
      <c r="JU112" s="463">
        <f>JU111/JU60</f>
        <v>0.17163765877040477</v>
      </c>
      <c r="JV112" s="461"/>
      <c r="JW112" s="463">
        <f>JW111/JW60</f>
        <v>0.26023525672251996</v>
      </c>
      <c r="JX112" s="461"/>
      <c r="JY112" s="463">
        <f>JY111/JY60</f>
        <v>0.20814725704798046</v>
      </c>
      <c r="JZ112" s="461"/>
      <c r="KA112" s="463">
        <f>KA111/KA60</f>
        <v>0.25387691041157684</v>
      </c>
      <c r="KB112" s="461"/>
      <c r="KC112" s="463">
        <f>KC111/KC60</f>
        <v>0.24261334296399312</v>
      </c>
      <c r="KD112" s="461"/>
      <c r="KE112" s="463">
        <f>KE111/KE60</f>
        <v>0.24842001198371727</v>
      </c>
      <c r="KF112" s="461"/>
      <c r="KG112" s="463">
        <f>KG111/KG60</f>
        <v>0.17870427456999516</v>
      </c>
      <c r="KH112" s="461"/>
      <c r="KI112" s="463">
        <f>KI111/KI60</f>
        <v>0.18532451282237031</v>
      </c>
      <c r="KJ112" s="461"/>
      <c r="KK112" s="463">
        <f>KK111/KK60</f>
        <v>0.23498073894918464</v>
      </c>
      <c r="KL112" s="461"/>
      <c r="KM112" s="463">
        <f>KM111/KM60</f>
        <v>0.24478498167863888</v>
      </c>
      <c r="KN112" s="461"/>
      <c r="KO112" s="463">
        <f>KO111/KO60</f>
        <v>0.28041880635290606</v>
      </c>
      <c r="KP112" s="461"/>
      <c r="KQ112" s="463">
        <f>KQ111/KQ60</f>
        <v>0.25354125166695435</v>
      </c>
      <c r="KR112" s="461"/>
      <c r="KS112" s="463">
        <f>KS111/KS60</f>
        <v>0.28845905562094315</v>
      </c>
      <c r="KT112" s="461"/>
      <c r="KU112" s="463">
        <f>KU111/KU60</f>
        <v>0.29213573163870077</v>
      </c>
      <c r="KV112" s="461"/>
      <c r="KW112" s="463">
        <f>KW111/KW60</f>
        <v>0.31567559000961526</v>
      </c>
      <c r="KX112" s="461"/>
      <c r="KY112" s="463">
        <f>KY111/KY60</f>
        <v>0.33614211363471908</v>
      </c>
      <c r="KZ112" s="461"/>
      <c r="LA112" s="463">
        <f>LA111/LA60</f>
        <v>0.35451401857699133</v>
      </c>
      <c r="LB112" s="461"/>
      <c r="LC112" s="463">
        <f>LC111/LC60</f>
        <v>0.29118836071671467</v>
      </c>
      <c r="LD112" s="461"/>
      <c r="LE112" s="463">
        <f>LE111/LE60</f>
        <v>0.28429135436472036</v>
      </c>
      <c r="LF112" s="461"/>
      <c r="LG112" s="463">
        <f>LG111/LG60</f>
        <v>0.21628661426878923</v>
      </c>
      <c r="LH112" s="461"/>
      <c r="LI112" s="463">
        <f>LI111/LI60</f>
        <v>0.30627496063437409</v>
      </c>
      <c r="LJ112" s="461"/>
      <c r="LK112" s="463">
        <f>LK111/LK60</f>
        <v>0.2620056846203026</v>
      </c>
      <c r="LL112" s="461"/>
      <c r="LM112" s="463">
        <f>LM111/LM60</f>
        <v>0.30880338507111221</v>
      </c>
      <c r="LN112" s="461"/>
      <c r="LO112" s="463">
        <f>LO111/LO60</f>
        <v>0.3219623035704311</v>
      </c>
      <c r="LP112" s="461"/>
      <c r="LQ112" s="463">
        <f>LQ111/LQ60</f>
        <v>0.30251063191957211</v>
      </c>
      <c r="LR112" s="461"/>
      <c r="LS112" s="463">
        <f>LS111/LS60</f>
        <v>0.27115436608991433</v>
      </c>
      <c r="LT112" s="461"/>
      <c r="LU112" s="463">
        <f>LU111/LU60</f>
        <v>0.25051767693994414</v>
      </c>
      <c r="LV112" s="461"/>
      <c r="LW112" s="463">
        <f>LW111/LW60</f>
        <v>0.26172649256065333</v>
      </c>
      <c r="LX112" s="461"/>
      <c r="LY112" s="463">
        <f>LY111/LY60</f>
        <v>0.27282509937382166</v>
      </c>
      <c r="LZ112" s="461"/>
      <c r="MA112" s="463">
        <f>MA111/MA60</f>
        <v>0.28231788505720179</v>
      </c>
      <c r="MB112" s="461"/>
      <c r="MC112" s="463">
        <f>MC111/MC60</f>
        <v>0.27871097004033268</v>
      </c>
      <c r="MD112" s="461"/>
      <c r="ME112" s="463">
        <f>ME111/ME60</f>
        <v>0.35658698589344967</v>
      </c>
      <c r="MF112" s="461"/>
      <c r="MG112" s="463">
        <f>MG111/MG60</f>
        <v>0.29345368112733311</v>
      </c>
      <c r="MH112" s="465"/>
      <c r="MI112" s="461"/>
      <c r="MJ112" s="462">
        <f>MJ111/MJ69</f>
        <v>0.35851079737287195</v>
      </c>
      <c r="MK112" s="461"/>
      <c r="ML112" s="462">
        <f>ML111/ML69</f>
        <v>0.32736305179237213</v>
      </c>
      <c r="MM112" s="461"/>
      <c r="MN112" s="463">
        <f>MN111/MN60</f>
        <v>0.26410017447736428</v>
      </c>
      <c r="MO112" s="461"/>
      <c r="MP112" s="462">
        <f>MP111/MP69</f>
        <v>0.23983457685801218</v>
      </c>
      <c r="MQ112" s="461"/>
      <c r="MR112" s="462" t="e">
        <f>MR111/MR87</f>
        <v>#DIV/0!</v>
      </c>
      <c r="MS112" s="461"/>
      <c r="MT112" s="463">
        <f>MT111/MT69</f>
        <v>0.26254967485526254</v>
      </c>
      <c r="MU112" s="461"/>
      <c r="MV112" s="463">
        <f>MV111/MV60</f>
        <v>0.20780847291351587</v>
      </c>
      <c r="MW112" s="461"/>
      <c r="MX112" s="463">
        <f>MX111/MX60</f>
        <v>0.25890245238146886</v>
      </c>
      <c r="MY112" s="461"/>
      <c r="MZ112" s="463">
        <f>MZ111/MZ60</f>
        <v>0.35814328008914176</v>
      </c>
      <c r="NA112" s="461"/>
      <c r="NB112" s="463">
        <f>NB111/NB60</f>
        <v>0.32248944446417521</v>
      </c>
      <c r="NC112" s="461"/>
      <c r="ND112" s="463">
        <f>ND111/ND60</f>
        <v>0.35408896521700323</v>
      </c>
      <c r="NE112" s="461"/>
      <c r="NF112" s="463">
        <f>NF111/NF60</f>
        <v>0.35814829960049516</v>
      </c>
      <c r="NG112" s="461"/>
      <c r="NH112" s="463">
        <f>NH111/NH60</f>
        <v>0.35753077977152642</v>
      </c>
      <c r="NI112" s="461"/>
      <c r="NJ112" s="463">
        <f>NJ111/NJ60</f>
        <v>0.30438818059074657</v>
      </c>
      <c r="NK112" s="461"/>
      <c r="NL112" s="463">
        <f>NL111/NL60</f>
        <v>0.33863790279518508</v>
      </c>
      <c r="NM112" s="461"/>
      <c r="NN112" s="463">
        <f>NN111/NN60</f>
        <v>0.33863790279518508</v>
      </c>
      <c r="NO112" s="461"/>
      <c r="NP112" s="463">
        <f>NP111/NP60</f>
        <v>0.36320491550227957</v>
      </c>
      <c r="NQ112" s="461"/>
      <c r="NR112" s="463">
        <f>NR111/NR60</f>
        <v>0.39927576490885547</v>
      </c>
      <c r="NS112" s="461"/>
      <c r="NT112" s="463">
        <f>NT111/NT60</f>
        <v>0.4090429190803106</v>
      </c>
      <c r="NU112" s="461"/>
      <c r="NV112" s="463">
        <f>NV111/NV60</f>
        <v>0.32628111810444665</v>
      </c>
      <c r="NW112" s="461"/>
      <c r="NX112" s="463">
        <f>NX111/NX60</f>
        <v>0.40540245860061036</v>
      </c>
      <c r="NY112" s="461"/>
      <c r="NZ112" s="463">
        <f>NZ111/NZ60</f>
        <v>0.3761558636678039</v>
      </c>
      <c r="OA112" s="461"/>
      <c r="OB112" s="463">
        <f>OB111/OB60</f>
        <v>0.43707804407551221</v>
      </c>
      <c r="OC112" s="461"/>
      <c r="OD112" s="463">
        <f>OD111/OD60</f>
        <v>0.44334776497381889</v>
      </c>
      <c r="OE112" s="461"/>
      <c r="OF112" s="463">
        <f>OF111/OF60</f>
        <v>0.39334128484290798</v>
      </c>
      <c r="OG112" s="461"/>
      <c r="OH112" s="463">
        <f>OH111/OH60</f>
        <v>0.38018538383970241</v>
      </c>
      <c r="OI112" s="461"/>
      <c r="OJ112" s="463">
        <f>OJ111/OJ60</f>
        <v>0.35319644024236474</v>
      </c>
      <c r="OK112" s="461"/>
      <c r="OL112" s="463">
        <f>OL111/OL60</f>
        <v>0.3840007762997894</v>
      </c>
      <c r="OM112" s="461"/>
      <c r="ON112" s="463">
        <f>ON111/ON60</f>
        <v>0.3508579109233268</v>
      </c>
      <c r="OO112" s="461"/>
      <c r="OP112" s="463">
        <f>OP111/OP60</f>
        <v>0.37228499410852256</v>
      </c>
      <c r="OQ112" s="461"/>
      <c r="OR112" s="463">
        <f>OR111/OR60</f>
        <v>0.37560013235875639</v>
      </c>
      <c r="OS112" s="461"/>
      <c r="OT112" s="463">
        <f>OT111/OT60</f>
        <v>0.36446631346926678</v>
      </c>
      <c r="OU112" s="461"/>
      <c r="OV112" s="463">
        <f>OV111/OV60</f>
        <v>0.28009744387736801</v>
      </c>
      <c r="OW112" s="461"/>
      <c r="OX112" s="463">
        <f>OX111/OX60</f>
        <v>0.25966014302836371</v>
      </c>
      <c r="OY112" s="461"/>
      <c r="OZ112" s="463">
        <f>OZ111/OZ60</f>
        <v>0.27076066091360695</v>
      </c>
      <c r="PA112" s="461"/>
      <c r="PB112" s="463">
        <f>PB111/PB60</f>
        <v>0.2817520348107061</v>
      </c>
      <c r="PC112" s="461"/>
      <c r="PD112" s="463">
        <f>PD111/PD60</f>
        <v>0.29115310275801487</v>
      </c>
      <c r="PE112" s="461"/>
      <c r="PF112" s="463">
        <f>PF111/PF60</f>
        <v>0.33073162907375026</v>
      </c>
      <c r="PG112" s="461"/>
      <c r="PH112" s="463">
        <f>PH111/PH60</f>
        <v>0.41740771412877864</v>
      </c>
      <c r="PI112" s="461"/>
      <c r="PJ112" s="463">
        <f>PJ111/PJ60</f>
        <v>0.40893085467771501</v>
      </c>
      <c r="PK112" s="461"/>
      <c r="PL112" s="463">
        <f>PL111/PL60</f>
        <v>0.39936094312293136</v>
      </c>
      <c r="PM112" s="461"/>
      <c r="PN112" s="463">
        <f>PN111/PN60</f>
        <v>0.4227788388630988</v>
      </c>
      <c r="PO112" s="461"/>
      <c r="PP112" s="463">
        <f>PP111/PP60</f>
        <v>0.4227788388630988</v>
      </c>
      <c r="PQ112" s="466"/>
      <c r="PR112" s="461"/>
      <c r="PS112" s="463">
        <f>PS111/PS60</f>
        <v>0.5483735990914933</v>
      </c>
      <c r="PT112" s="461"/>
      <c r="PU112" s="463">
        <f>PU111/PU60</f>
        <v>0.58552857908832734</v>
      </c>
      <c r="PV112" s="461"/>
      <c r="PW112" s="463">
        <f>PW111/PW60</f>
        <v>0.54841663706617683</v>
      </c>
      <c r="PX112" s="461"/>
      <c r="PY112" s="463">
        <f>PY111/PY60</f>
        <v>0.58557161706301086</v>
      </c>
      <c r="PZ112" s="461"/>
      <c r="QA112" s="463">
        <f>QA111/QA60</f>
        <v>0.54312978615783236</v>
      </c>
      <c r="QB112" s="461"/>
      <c r="QC112" s="463">
        <f>QC111/QC60</f>
        <v>0.58074920340462688</v>
      </c>
      <c r="QD112" s="466"/>
      <c r="QE112" s="466"/>
      <c r="QF112" s="461"/>
      <c r="QG112" s="463">
        <f>QG111/QG60</f>
        <v>0.47207335170904935</v>
      </c>
      <c r="QH112" s="461"/>
      <c r="QI112" s="463">
        <f>QI111/QI60</f>
        <v>0.5064537236421639</v>
      </c>
      <c r="QJ112" s="461"/>
      <c r="QK112" s="463">
        <f>QK111/QK60</f>
        <v>0.47211638968373293</v>
      </c>
      <c r="QL112" s="461"/>
      <c r="QM112" s="463">
        <f>QM111/QM60</f>
        <v>0.50649676161684742</v>
      </c>
      <c r="QN112" s="461"/>
      <c r="QO112" s="463">
        <f>QO111/QO60</f>
        <v>0.41263654626781543</v>
      </c>
      <c r="QP112" s="461"/>
      <c r="QQ112" s="463">
        <f>QQ111/QQ60</f>
        <v>0.45089076292578795</v>
      </c>
    </row>
    <row r="113" spans="1:459" x14ac:dyDescent="0.45">
      <c r="A113" s="871"/>
      <c r="B113" s="180" t="s">
        <v>412</v>
      </c>
      <c r="C113" s="181"/>
      <c r="D113" s="199"/>
      <c r="E113" s="454"/>
      <c r="F113" s="285"/>
      <c r="G113" s="455">
        <f>G111-G84-G57</f>
        <v>-0.22553999744440545</v>
      </c>
      <c r="H113" s="285"/>
      <c r="I113" s="455">
        <f>I111-I84-I57</f>
        <v>-0.22553999744440545</v>
      </c>
      <c r="J113" s="285"/>
      <c r="K113" s="455">
        <f>K111-K84-K57</f>
        <v>1.1545989666314929</v>
      </c>
      <c r="L113" s="285"/>
      <c r="M113" s="455">
        <f>M111-M84-M57</f>
        <v>1.1545989666314929</v>
      </c>
      <c r="N113" s="285"/>
      <c r="O113" s="455">
        <f>O111-O84-O57</f>
        <v>1.3906838414719642</v>
      </c>
      <c r="P113" s="285"/>
      <c r="Q113" s="456">
        <f>Q111-Q84-Q57</f>
        <v>1.5336853785378748</v>
      </c>
      <c r="R113" s="285"/>
      <c r="S113" s="455">
        <f>S111-S84-S57</f>
        <v>1.3062639268370015</v>
      </c>
      <c r="T113" s="285"/>
      <c r="U113" s="455">
        <f>U111-U66</f>
        <v>-3841.8618595783569</v>
      </c>
      <c r="V113" s="285"/>
      <c r="W113" s="455">
        <f>W111-W66</f>
        <v>-3841.8618595783569</v>
      </c>
      <c r="X113" s="285"/>
      <c r="Y113" s="455">
        <f>Y111-Y66</f>
        <v>-3841.8635339125103</v>
      </c>
      <c r="Z113" s="285"/>
      <c r="AA113" s="456">
        <f>AA111-AA84-AA57</f>
        <v>1.4731160380712418</v>
      </c>
      <c r="AB113" s="285"/>
      <c r="AC113" s="456">
        <f>AC111-AC84-AC57</f>
        <v>1.1267100757575759</v>
      </c>
      <c r="AD113" s="285"/>
      <c r="AE113" s="456">
        <f>AE111-AE84-AE57</f>
        <v>1.2665161637931028</v>
      </c>
      <c r="AF113" s="285"/>
      <c r="AG113" s="456">
        <f>AG111-AG84-AG57</f>
        <v>2.236498903803811</v>
      </c>
      <c r="AH113" s="285"/>
      <c r="AI113" s="456">
        <f>AI111-AI84-AI57</f>
        <v>2.0853424059139782</v>
      </c>
      <c r="AJ113" s="285"/>
      <c r="AK113" s="456">
        <f>AK111-AK84-AK57</f>
        <v>2.3006028985819924</v>
      </c>
      <c r="AL113" s="285"/>
      <c r="AM113" s="456">
        <f>AM111-AM84-AM57</f>
        <v>2.1721918833471667</v>
      </c>
      <c r="AN113" s="285"/>
      <c r="AO113" s="456">
        <f>AO111-AO84-AO57</f>
        <v>2.0601542547340324</v>
      </c>
      <c r="AP113" s="285"/>
      <c r="AQ113" s="456">
        <f>AQ111-AQ84-AQ57</f>
        <v>1.8985845926998086</v>
      </c>
      <c r="AR113" s="285"/>
      <c r="AS113" s="456">
        <f>AS111-AS84-AS57</f>
        <v>2.0436785201149417</v>
      </c>
      <c r="AT113" s="285"/>
      <c r="AU113" s="478">
        <f>AU111-AU84-AU57</f>
        <v>2.0436785201149417</v>
      </c>
      <c r="AV113" s="285"/>
      <c r="AW113" s="478">
        <f>AW111-AW84-AW57</f>
        <v>2.2914068046263645</v>
      </c>
      <c r="AX113" s="285"/>
      <c r="AY113" s="478">
        <f>AY111-AY84-AY57</f>
        <v>2.5433787102893395</v>
      </c>
      <c r="AZ113" s="285"/>
      <c r="BA113" s="478">
        <f>BA111-BA84-BA57</f>
        <v>2.6204800855498558</v>
      </c>
      <c r="BB113" s="285"/>
      <c r="BC113" s="478">
        <f>BC111-BC84-BC57</f>
        <v>2.6227986677762249</v>
      </c>
      <c r="BD113" s="285"/>
      <c r="BE113" s="478">
        <f>BE111-BE84-BE57</f>
        <v>2.6366690131560997</v>
      </c>
      <c r="BF113" s="285"/>
      <c r="BG113" s="478">
        <f>BG111-BG84-BG57</f>
        <v>2.8615431599229302</v>
      </c>
      <c r="BH113" s="285"/>
      <c r="BI113" s="478">
        <f>BI111-BI84-BI57</f>
        <v>3.0606689255604107</v>
      </c>
      <c r="BJ113" s="285"/>
      <c r="BK113" s="478">
        <f>BK111-BK84-BK57</f>
        <v>3.0910092743638224</v>
      </c>
      <c r="BL113" s="285"/>
      <c r="BM113" s="478">
        <f>BM111-BM84-BM57</f>
        <v>2.629911142758484</v>
      </c>
      <c r="BN113" s="285"/>
      <c r="BO113" s="478">
        <f>BO111-BO84-BO57</f>
        <v>2.5308592227868809</v>
      </c>
      <c r="BP113" s="285"/>
      <c r="BQ113" s="478">
        <f>BQ111-BQ84-BQ57</f>
        <v>2.3939200467934376</v>
      </c>
      <c r="BR113" s="285"/>
      <c r="BS113" s="478">
        <f>BS111-BS84-BS57</f>
        <v>2.7485107469425567</v>
      </c>
      <c r="BT113" s="285"/>
      <c r="BU113" s="478">
        <f>BU111-BU84-BU57</f>
        <v>2.5556546274706804</v>
      </c>
      <c r="BV113" s="285"/>
      <c r="BW113" s="478">
        <f>BW111-BW84-BW57</f>
        <v>2.5323524817870142</v>
      </c>
      <c r="BX113" s="285"/>
      <c r="BY113" s="478">
        <f>BY111-BY84-BY57</f>
        <v>2.7858714869943868</v>
      </c>
      <c r="BZ113" s="285"/>
      <c r="CA113" s="478">
        <f>CA111-CA84-CA57</f>
        <v>2.6532558274248177</v>
      </c>
      <c r="CB113" s="285"/>
      <c r="CC113" s="478">
        <f>CC111-CC84-CC57</f>
        <v>2.8892802045652788</v>
      </c>
      <c r="CD113" s="285"/>
      <c r="CE113" s="478">
        <f>CE111-CE84-CE57</f>
        <v>2.7606049241515764</v>
      </c>
      <c r="CF113" s="285"/>
      <c r="CG113" s="478">
        <f>CG111-CG84-CG57</f>
        <v>2.3580360139342891</v>
      </c>
      <c r="CH113" s="285"/>
      <c r="CI113" s="478">
        <f>CI111-CI84-CI57</f>
        <v>2.4346926771828739</v>
      </c>
      <c r="CJ113" s="285"/>
      <c r="CK113" s="478">
        <f>CK111-CK84-CK57</f>
        <v>2.5002581384764908</v>
      </c>
      <c r="CL113" s="285"/>
      <c r="CM113" s="478">
        <f>CM111-CM84-CM57</f>
        <v>2.5956646665121501</v>
      </c>
      <c r="CN113" s="285"/>
      <c r="CO113" s="478">
        <f>CO111-CO84-CO57</f>
        <v>2.6054422600841218</v>
      </c>
      <c r="CP113" s="285"/>
      <c r="CQ113" s="478">
        <f>CQ111-CQ84-CQ57</f>
        <v>2.586543724279835</v>
      </c>
      <c r="CR113" s="285"/>
      <c r="CS113" s="478">
        <f>CS111-CS84-CS57</f>
        <v>2.586543724279835</v>
      </c>
      <c r="CT113" s="201"/>
      <c r="CU113" s="285"/>
      <c r="CV113" s="456">
        <f>CV111-CV84-CV57</f>
        <v>2.1523241495703811</v>
      </c>
      <c r="CW113" s="285"/>
      <c r="CX113" s="456">
        <f>CX111-CX84-CX57</f>
        <v>1.7219310672320953</v>
      </c>
      <c r="CY113" s="285"/>
      <c r="CZ113" s="456">
        <f>CZ111-CZ84-CZ57</f>
        <v>1.7786482436041096</v>
      </c>
      <c r="DA113" s="285"/>
      <c r="DB113" s="456">
        <f>DB111-DB84-DB57</f>
        <v>0.88597286799710484</v>
      </c>
      <c r="DC113" s="285"/>
      <c r="DD113" s="456">
        <f>DD111-DD84-DD57</f>
        <v>1.6396309673446676</v>
      </c>
      <c r="DE113" s="285"/>
      <c r="DF113" s="456">
        <f>DF111-DF84-DF57</f>
        <v>3.0757368638063896</v>
      </c>
      <c r="DG113" s="285"/>
      <c r="DH113" s="456">
        <f>DH111-DH84-DH57</f>
        <v>2.59838991982783</v>
      </c>
      <c r="DI113" s="285"/>
      <c r="DJ113" s="456">
        <f>DJ111-DJ84-DJ57</f>
        <v>3.273982063265549</v>
      </c>
      <c r="DK113" s="285"/>
      <c r="DL113" s="456">
        <f>DL111-DL84-DL57</f>
        <v>2.9055594808040852</v>
      </c>
      <c r="DM113" s="285"/>
      <c r="DN113" s="456">
        <f>DN111-DN84-DN57</f>
        <v>2.9538316560926883</v>
      </c>
      <c r="DO113" s="285"/>
      <c r="DP113" s="456">
        <f>DP111-DP84-DP57</f>
        <v>3.0146881635854546</v>
      </c>
      <c r="DQ113" s="285"/>
      <c r="DR113" s="456">
        <f>DR111-DR84-DR57</f>
        <v>2.3430792432067373</v>
      </c>
      <c r="DS113" s="285"/>
      <c r="DT113" s="478">
        <f>DT111-DT84-DT57</f>
        <v>2.8876959168556691</v>
      </c>
      <c r="DU113" s="285"/>
      <c r="DV113" s="478">
        <f>DV111-DV84-DV57</f>
        <v>3.2844219211776768</v>
      </c>
      <c r="DW113" s="285"/>
      <c r="DX113" s="478">
        <f>DX111-DX84-DX57</f>
        <v>3.3387218776489465</v>
      </c>
      <c r="DY113" s="285"/>
      <c r="DZ113" s="478">
        <f>DZ111-DZ84-DZ57</f>
        <v>3.6176551923627667</v>
      </c>
      <c r="EA113" s="285"/>
      <c r="EB113" s="478">
        <f>EB111-EB84-EB57</f>
        <v>3.4290387237165412</v>
      </c>
      <c r="EC113" s="285"/>
      <c r="ED113" s="478">
        <f>ED111-ED84-ED57</f>
        <v>3.7150258745983944</v>
      </c>
      <c r="EE113" s="285"/>
      <c r="EF113" s="478">
        <f>EF111-EF84-EF57</f>
        <v>3.8778171618325672</v>
      </c>
      <c r="EG113" s="285"/>
      <c r="EH113" s="478">
        <f>EH111-EH84-EH57</f>
        <v>3.8146460955744335</v>
      </c>
      <c r="EI113" s="285"/>
      <c r="EJ113" s="478">
        <f>EJ111-EJ84-EJ57</f>
        <v>3.7686821535098591</v>
      </c>
      <c r="EK113" s="285"/>
      <c r="EL113" s="478">
        <f>EL111-EL84-EL57</f>
        <v>3.6004539614539848</v>
      </c>
      <c r="EM113" s="285"/>
      <c r="EN113" s="478">
        <f>EN111-EN84-EN57</f>
        <v>3.9774696594349468</v>
      </c>
      <c r="EO113" s="285"/>
      <c r="EP113" s="478">
        <f>EP111-EP84-EP57</f>
        <v>3.2830172051122211</v>
      </c>
      <c r="EQ113" s="285"/>
      <c r="ER113" s="478">
        <f>ER111-ER84-ER57</f>
        <v>3.965498054049311</v>
      </c>
      <c r="ES113" s="285"/>
      <c r="ET113" s="478">
        <f>ET111-ET84-ET57</f>
        <v>3.7178379290968229</v>
      </c>
      <c r="EU113" s="285"/>
      <c r="EV113" s="478">
        <f>EV111-EV84-EV57</f>
        <v>3.812427150969552</v>
      </c>
      <c r="EW113" s="285"/>
      <c r="EX113" s="478">
        <f>EX111-EX84-EX57</f>
        <v>3.9010061104849933</v>
      </c>
      <c r="EY113" s="285"/>
      <c r="EZ113" s="478">
        <f>EZ111-EZ84-EZ57</f>
        <v>3.7211606002154385</v>
      </c>
      <c r="FA113" s="285"/>
      <c r="FB113" s="478">
        <f>FB111-FB84-FB57</f>
        <v>3.2845729067539247</v>
      </c>
      <c r="FC113" s="285"/>
      <c r="FD113" s="478">
        <f>FD111-FD84-FD57</f>
        <v>3.5020891911088499</v>
      </c>
      <c r="FE113" s="285"/>
      <c r="FF113" s="478">
        <f>FF111-FF84-FF57</f>
        <v>4.2041201559211192</v>
      </c>
      <c r="FG113" s="285"/>
      <c r="FH113" s="478">
        <f>FH111-FH84-FH57</f>
        <v>3.9159195527858097</v>
      </c>
      <c r="FI113" s="285"/>
      <c r="FJ113" s="478">
        <f>FJ111-FJ84-FJ57</f>
        <v>3.7773674535718005</v>
      </c>
      <c r="FK113" s="285"/>
      <c r="FL113" s="478">
        <f>FL111-FL84-FL57</f>
        <v>3.7557731260517624</v>
      </c>
      <c r="FM113" s="285"/>
      <c r="FN113" s="478">
        <f>FN111-FN84-FN57</f>
        <v>3.7083557115306576</v>
      </c>
      <c r="FO113" s="285"/>
      <c r="FP113" s="478">
        <f>FP111-FP84-FP57</f>
        <v>3.7083557115306576</v>
      </c>
      <c r="FQ113" s="177"/>
      <c r="FR113" s="285"/>
      <c r="FS113" s="455">
        <f>FS111-FS84-FS57</f>
        <v>0.57006518296774078</v>
      </c>
      <c r="FT113" s="285"/>
      <c r="FU113" s="455">
        <f>FU111-FU84-FU57</f>
        <v>0.62962226017139156</v>
      </c>
      <c r="FV113" s="285"/>
      <c r="FW113" s="456">
        <f>FW111-FW84-FW57</f>
        <v>0.6238729953522737</v>
      </c>
      <c r="FX113" s="285"/>
      <c r="FY113" s="455">
        <f>FY111-FY84-FY57</f>
        <v>0.34186280066026448</v>
      </c>
      <c r="FZ113" s="285"/>
      <c r="GA113" s="455">
        <f>GA111-GA66</f>
        <v>-3840.7596868627265</v>
      </c>
      <c r="GB113" s="285"/>
      <c r="GC113" s="455">
        <f>GC111-GC66</f>
        <v>-3840.7596868627265</v>
      </c>
      <c r="GD113" s="285"/>
      <c r="GE113" s="455">
        <f>GE111-GE66</f>
        <v>-3840.7603700343657</v>
      </c>
      <c r="GF113" s="285"/>
      <c r="GG113" s="456">
        <f>GG111-GG84-GG57</f>
        <v>0.51545897571392163</v>
      </c>
      <c r="GH113" s="285"/>
      <c r="GI113" s="456">
        <f>GI111-GI84-GI57</f>
        <v>0.83859818764568717</v>
      </c>
      <c r="GJ113" s="285"/>
      <c r="GK113" s="456">
        <f>GK111-GK84-GK57</f>
        <v>1.0807014224137927</v>
      </c>
      <c r="GL113" s="285"/>
      <c r="GM113" s="456">
        <f>GM111-GM84-GM57</f>
        <v>2.1152511276747261</v>
      </c>
      <c r="GN113" s="285"/>
      <c r="GO113" s="456">
        <f>GO111-GO84-GO57</f>
        <v>1.9773029704301079</v>
      </c>
      <c r="GP113" s="285"/>
      <c r="GQ113" s="456">
        <f>GQ111-GQ84-GQ57</f>
        <v>2.200863370324182</v>
      </c>
      <c r="GR113" s="285"/>
      <c r="GS113" s="456">
        <f>GS111-GS84-GS57</f>
        <v>2.0539137105186631</v>
      </c>
      <c r="GT113" s="285"/>
      <c r="GU113" s="456">
        <f>GU111-GU84-GU57</f>
        <v>2.1126074051867358</v>
      </c>
      <c r="GV113" s="285"/>
      <c r="GW113" s="456">
        <f>GW111-GW84-GW57</f>
        <v>1.2692701123285688</v>
      </c>
      <c r="GX113" s="285"/>
      <c r="GY113" s="456">
        <f>GY111-GY84-GY57</f>
        <v>1.4393221120689659</v>
      </c>
      <c r="GZ113" s="285"/>
      <c r="HA113" s="478">
        <f>HA111-HA84-HA57</f>
        <v>1.7778637787356326</v>
      </c>
      <c r="HB113" s="285"/>
      <c r="HC113" s="478">
        <f>HC111-HC84-HC57</f>
        <v>1.7915770692528687</v>
      </c>
      <c r="HD113" s="285"/>
      <c r="HE113" s="478">
        <f>HE111-HE84-HE57</f>
        <v>2.4973501023048112</v>
      </c>
      <c r="HF113" s="285"/>
      <c r="HG113" s="478">
        <f>HG111-HG84-HG57</f>
        <v>2.4394510062261974</v>
      </c>
      <c r="HH113" s="285"/>
      <c r="HI113" s="478">
        <f>HI111-HI84-HI57</f>
        <v>2.5118241370585634</v>
      </c>
      <c r="HJ113" s="285"/>
      <c r="HK113" s="478">
        <f>HK111-HK84-HK57</f>
        <v>2.5501299239016282</v>
      </c>
      <c r="HL113" s="285"/>
      <c r="HM113" s="478">
        <f>HM111-HM84-HM57</f>
        <v>2.7490448467140807</v>
      </c>
      <c r="HN113" s="285"/>
      <c r="HO113" s="478">
        <f>HO111-HO84-HO57</f>
        <v>2.7219031155709259</v>
      </c>
      <c r="HP113" s="285"/>
      <c r="HQ113" s="478">
        <f>HQ111-HQ84-HQ57</f>
        <v>2.6858919423496892</v>
      </c>
      <c r="HR113" s="285"/>
      <c r="HS113" s="478">
        <f>HS111-HS84-HS57</f>
        <v>2.4163654728574047</v>
      </c>
      <c r="HT113" s="285"/>
      <c r="HU113" s="478">
        <f>HU111-HU84-HU57</f>
        <v>2.4988440763539463</v>
      </c>
      <c r="HV113" s="285"/>
      <c r="HW113" s="478">
        <f>HW111-HW84-HW57</f>
        <v>2.3170497384132935</v>
      </c>
      <c r="HX113" s="285"/>
      <c r="HY113" s="478">
        <f>HY111-HY84-HY57</f>
        <v>1.6579364128099823</v>
      </c>
      <c r="HZ113" s="285"/>
      <c r="IA113" s="478">
        <f>IA111-IA84-IA57</f>
        <v>1.527875534455976</v>
      </c>
      <c r="IB113" s="285"/>
      <c r="IC113" s="478">
        <f>IC111-IC84-IC57</f>
        <v>2.5217380619816785</v>
      </c>
      <c r="ID113" s="285"/>
      <c r="IE113" s="478">
        <f>IE111-IE84-IE57</f>
        <v>2.6146795986857074</v>
      </c>
      <c r="IF113" s="285"/>
      <c r="IG113" s="478">
        <f>IG111-IG84-IG57</f>
        <v>2.582627211994152</v>
      </c>
      <c r="IH113" s="285"/>
      <c r="II113" s="478">
        <f>II111-II84-II57</f>
        <v>2.4261983305655708</v>
      </c>
      <c r="IJ113" s="285"/>
      <c r="IK113" s="478">
        <f>IK111-IK84-IK57</f>
        <v>2.2629491187643813</v>
      </c>
      <c r="IL113" s="285"/>
      <c r="IM113" s="478">
        <f>IM111-IM84-IM57</f>
        <v>2.3541856228934726</v>
      </c>
      <c r="IN113" s="285"/>
      <c r="IO113" s="478">
        <f>IO111-IO84-IO57</f>
        <v>2.4419420844320707</v>
      </c>
      <c r="IP113" s="285"/>
      <c r="IQ113" s="478">
        <f>IQ111-IQ84-IQ57</f>
        <v>2.5170013504950242</v>
      </c>
      <c r="IR113" s="285"/>
      <c r="IS113" s="478">
        <f>IS111-IS84-IS57</f>
        <v>2.4527808780410694</v>
      </c>
      <c r="IT113" s="285"/>
      <c r="IU113" s="478">
        <f>IU111-IU84-IU57</f>
        <v>2.3222698305173854</v>
      </c>
      <c r="IV113" s="285"/>
      <c r="IW113" s="478">
        <f>IW111-IW84-IW57</f>
        <v>2.5674273336744418</v>
      </c>
      <c r="IX113" s="285"/>
      <c r="IY113" s="478">
        <f>IY111-IY84-IY57</f>
        <v>2.5455054835390953</v>
      </c>
      <c r="IZ113" s="479"/>
      <c r="JA113" s="285"/>
      <c r="JB113" s="478">
        <f>JB111-JB84-JB57</f>
        <v>2.103367213541667</v>
      </c>
      <c r="JC113" s="285"/>
      <c r="JD113" s="478">
        <f>JD111-JD84-JD57</f>
        <v>2.0297824050632913</v>
      </c>
      <c r="JE113" s="177"/>
      <c r="JF113" s="285"/>
      <c r="JG113" s="455">
        <f>JG111-JG84-JG57</f>
        <v>1.0735627905636371</v>
      </c>
      <c r="JH113" s="285"/>
      <c r="JI113" s="455">
        <f>JI111-JI84-JI57</f>
        <v>1.1435287715186071</v>
      </c>
      <c r="JJ113" s="285"/>
      <c r="JK113" s="456">
        <f>JK111-JK84-JK57</f>
        <v>1.159296530772723</v>
      </c>
      <c r="JL113" s="285"/>
      <c r="JM113" s="455">
        <f>JM111-JM84-JM57</f>
        <v>0.90297626232398198</v>
      </c>
      <c r="JN113" s="285"/>
      <c r="JO113" s="455">
        <f>JO111-JO66</f>
        <v>-4201.5101446905173</v>
      </c>
      <c r="JP113" s="285"/>
      <c r="JQ113" s="456">
        <f>JQ111-JQ84-JQ57</f>
        <v>1.262383473776262</v>
      </c>
      <c r="JR113" s="285"/>
      <c r="JS113" s="456">
        <f>JS111-JS84-JS57</f>
        <v>0.74915882700632652</v>
      </c>
      <c r="JT113" s="285"/>
      <c r="JU113" s="456">
        <f>JU111-JU84-JU57</f>
        <v>0.96126580049261123</v>
      </c>
      <c r="JV113" s="285"/>
      <c r="JW113" s="456">
        <f>JW111-JW84-JW57</f>
        <v>1.5596749354304291</v>
      </c>
      <c r="JX113" s="285"/>
      <c r="JY113" s="456">
        <f>JY111-JY84-JY57</f>
        <v>1.2048651099706742</v>
      </c>
      <c r="JZ113" s="285"/>
      <c r="KA113" s="456">
        <f>KA111-KA84-KA57</f>
        <v>1.5148148873598068</v>
      </c>
      <c r="KB113" s="285"/>
      <c r="KC113" s="456">
        <f>KC111-KC84-KC57</f>
        <v>1.4377039590022194</v>
      </c>
      <c r="KD113" s="285"/>
      <c r="KE113" s="456">
        <f>KE111-KE84-KE57</f>
        <v>1.4778970633495772</v>
      </c>
      <c r="KF113" s="285"/>
      <c r="KG113" s="456">
        <f>KG111-KG84-KG57</f>
        <v>1.0019318014883793</v>
      </c>
      <c r="KH113" s="285"/>
      <c r="KI113" s="456">
        <f>KI111-KI84-KI57</f>
        <v>1.0451820566502461</v>
      </c>
      <c r="KJ113" s="285"/>
      <c r="KK113" s="478">
        <f>KK111-KK84-KK57</f>
        <v>1.3828443943125837</v>
      </c>
      <c r="KL113" s="285"/>
      <c r="KM113" s="478">
        <f>KM111-KM84-KM57</f>
        <v>1.4510566295887746</v>
      </c>
      <c r="KN113" s="285"/>
      <c r="KO113" s="478">
        <f>KO111-KO84-KO57</f>
        <v>1.6938824953038771</v>
      </c>
      <c r="KP113" s="285"/>
      <c r="KQ113" s="478">
        <f>KQ111-KQ84-KQ57</f>
        <v>1.5116150564384325</v>
      </c>
      <c r="KR113" s="285"/>
      <c r="KS113" s="478">
        <f>KS111-KS84-KS57</f>
        <v>1.7499415873631974</v>
      </c>
      <c r="KT113" s="285"/>
      <c r="KU113" s="478">
        <f>KU111-KU84-KU57</f>
        <v>1.775411644355622</v>
      </c>
      <c r="KV113" s="285"/>
      <c r="KW113" s="478">
        <f>KW111-KW84-KW57</f>
        <v>1.9370708500120162</v>
      </c>
      <c r="KX113" s="285"/>
      <c r="KY113" s="478">
        <f>KY111-KY84-KY57</f>
        <v>2.0756269226903115</v>
      </c>
      <c r="KZ113" s="285"/>
      <c r="LA113" s="478">
        <f>LA111-LA84-LA57</f>
        <v>2.2001074585910989</v>
      </c>
      <c r="LB113" s="285"/>
      <c r="LC113" s="478">
        <f>LC111-LC84-LC57</f>
        <v>1.7684283227647988</v>
      </c>
      <c r="LD113" s="285"/>
      <c r="LE113" s="478">
        <f>LE111-LE84-LE57</f>
        <v>1.7231040010970904</v>
      </c>
      <c r="LF113" s="285"/>
      <c r="LG113" s="478">
        <f>LG111-LG84-LG57</f>
        <v>1.2608797108584739</v>
      </c>
      <c r="LH113" s="285"/>
      <c r="LI113" s="478">
        <f>LI111-LI84-LI57</f>
        <v>1.873001441702401</v>
      </c>
      <c r="LJ113" s="285"/>
      <c r="LK113" s="478">
        <f>LK111-LK84-LK57</f>
        <v>1.5734496614350058</v>
      </c>
      <c r="LL113" s="285"/>
      <c r="LM113" s="478">
        <f>LM111-LM84-LM57</f>
        <v>1.8916325340125444</v>
      </c>
      <c r="LN113" s="285"/>
      <c r="LO113" s="478">
        <f>LO111-LO84-LO57</f>
        <v>1.9821946769632697</v>
      </c>
      <c r="LP113" s="285"/>
      <c r="LQ113" s="478">
        <f>LQ111-LQ84-LQ57</f>
        <v>1.8495503380150036</v>
      </c>
      <c r="LR113" s="285"/>
      <c r="LS113" s="478">
        <f>LS111-LS84-LS57</f>
        <v>1.6345074743685322</v>
      </c>
      <c r="LT113" s="285"/>
      <c r="LU113" s="478">
        <f>LU111-LU84-LU57</f>
        <v>1.4922783686197456</v>
      </c>
      <c r="LV113" s="285"/>
      <c r="LW113" s="478">
        <f>LW111-LW84-LW57</f>
        <v>1.569530092995252</v>
      </c>
      <c r="LX113" s="285"/>
      <c r="LY113" s="478">
        <f>LY111-LY84-LY57</f>
        <v>1.6460222526930979</v>
      </c>
      <c r="LZ113" s="285"/>
      <c r="MA113" s="478">
        <f>MA111-MA84-MA57</f>
        <v>1.7114470119168417</v>
      </c>
      <c r="MB113" s="285"/>
      <c r="MC113" s="478">
        <f>MC111-MC84-MC57</f>
        <v>1.6861723550817165</v>
      </c>
      <c r="MD113" s="285"/>
      <c r="ME113" s="478">
        <f>ME111-ME84-ME57</f>
        <v>2.2173215894689946</v>
      </c>
      <c r="MF113" s="285"/>
      <c r="MG113" s="478">
        <f>MG111-MG84-MG57</f>
        <v>1.7877609656084654</v>
      </c>
      <c r="MH113" s="177"/>
      <c r="MI113" s="285"/>
      <c r="MJ113" s="455">
        <f>MJ111-MJ84-MJ57</f>
        <v>0.37660053057676968</v>
      </c>
      <c r="MK113" s="285"/>
      <c r="ML113" s="455">
        <f>ML111-ML84-ML57</f>
        <v>0.40840270444207061</v>
      </c>
      <c r="MM113" s="285"/>
      <c r="MN113" s="456">
        <f>MN111-MN84-MN57</f>
        <v>0.39601321928423783</v>
      </c>
      <c r="MO113" s="285"/>
      <c r="MP113" s="455">
        <f>MP111-MP84-MP57</f>
        <v>0.18574893979652707</v>
      </c>
      <c r="MQ113" s="285"/>
      <c r="MR113" s="455">
        <f>MR88-MR92+MR134</f>
        <v>1.0204088364783539</v>
      </c>
      <c r="MS113" s="285"/>
      <c r="MT113" s="456">
        <f>MT111-MT84-MT57</f>
        <v>0.33513270988684996</v>
      </c>
      <c r="MU113" s="285"/>
      <c r="MV113" s="456">
        <f>MV111-MV84-MV57</f>
        <v>0.15874118295535267</v>
      </c>
      <c r="MW113" s="285"/>
      <c r="MX113" s="456">
        <f>MX111-MX84-MX57</f>
        <v>1.0525613857643368</v>
      </c>
      <c r="MY113" s="285"/>
      <c r="MZ113" s="456">
        <f>MZ111-MZ84-MZ57</f>
        <v>1.7321959045382331</v>
      </c>
      <c r="NA113" s="285"/>
      <c r="NB113" s="456">
        <f>NB111-NB84-NB57</f>
        <v>1.4891747134881679</v>
      </c>
      <c r="NC113" s="285"/>
      <c r="ND113" s="456">
        <f>ND111-ND84-ND57</f>
        <v>1.7044832175835825</v>
      </c>
      <c r="NE113" s="285"/>
      <c r="NF113" s="456">
        <f>NF111-NF84-NF57</f>
        <v>1.7322822820022616</v>
      </c>
      <c r="NG113" s="285"/>
      <c r="NH113" s="456">
        <f>NH111-NH84-NH57</f>
        <v>1.7282721847524591</v>
      </c>
      <c r="NI113" s="285"/>
      <c r="NJ113" s="456">
        <f>NJ111-NJ84-NJ57</f>
        <v>1.3682939365652129</v>
      </c>
      <c r="NK113" s="285"/>
      <c r="NL113" s="456">
        <f>NL111-NL84-NL57</f>
        <v>1.5947624485776069</v>
      </c>
      <c r="NM113" s="285"/>
      <c r="NN113" s="478">
        <f>NN111-NN84-NN57</f>
        <v>1.5947624485776069</v>
      </c>
      <c r="NO113" s="285"/>
      <c r="NP113" s="478">
        <f>NP111-NP84-NP57</f>
        <v>1.7632698424758995</v>
      </c>
      <c r="NQ113" s="285"/>
      <c r="NR113" s="478">
        <f>NR111-NR84-NR57</f>
        <v>2.0090368343515879</v>
      </c>
      <c r="NS113" s="285"/>
      <c r="NT113" s="478">
        <f>NT111-NT84-NT57</f>
        <v>2.0759237196400937</v>
      </c>
      <c r="NU113" s="285"/>
      <c r="NV113" s="478">
        <f>NV111-NV84-NV57</f>
        <v>1.5139763403783535</v>
      </c>
      <c r="NW113" s="285"/>
      <c r="NX113" s="478">
        <f>NX111-NX84-NX57</f>
        <v>2.0524422773629287</v>
      </c>
      <c r="NY113" s="285"/>
      <c r="NZ113" s="478">
        <f>NZ111-NZ84-NZ57</f>
        <v>1.8550592631524419</v>
      </c>
      <c r="OA113" s="285"/>
      <c r="OB113" s="478">
        <f>OB111-OB84-OB57</f>
        <v>2.2687504095273794</v>
      </c>
      <c r="OC113" s="285"/>
      <c r="OD113" s="478">
        <f>OD111-OD84-OD57</f>
        <v>2.3109627299914517</v>
      </c>
      <c r="OE113" s="285"/>
      <c r="OF113" s="478">
        <f>OF111-OF84-OF57</f>
        <v>1.9707467578478624</v>
      </c>
      <c r="OG113" s="285"/>
      <c r="OH113" s="478">
        <f>OH111-OH84-OH57</f>
        <v>1.8819388642179367</v>
      </c>
      <c r="OI113" s="285"/>
      <c r="OJ113" s="478">
        <f>OJ111-OJ84-OJ57</f>
        <v>1.6986096383669747</v>
      </c>
      <c r="OK113" s="285"/>
      <c r="OL113" s="478">
        <f>OL111-OL84-OL57</f>
        <v>1.9082681611446475</v>
      </c>
      <c r="OM113" s="285"/>
      <c r="ON113" s="478">
        <f>ON111-ON84-ON57</f>
        <v>1.6842881028267587</v>
      </c>
      <c r="OO113" s="285"/>
      <c r="OP113" s="478">
        <f>OP111-OP84-OP57</f>
        <v>1.829953242537778</v>
      </c>
      <c r="OQ113" s="285"/>
      <c r="OR113" s="478">
        <f>OR111-OR84-OR57</f>
        <v>1.8535134387419605</v>
      </c>
      <c r="OS113" s="285"/>
      <c r="OT113" s="478">
        <f>OT111-OT84-OT57</f>
        <v>1.777452653133301</v>
      </c>
      <c r="OU113" s="285"/>
      <c r="OV113" s="478">
        <f>OV111-OV84-OV57</f>
        <v>1.2020322073151695</v>
      </c>
      <c r="OW113" s="285"/>
      <c r="OX113" s="478">
        <f>OX111-OX84-OX57</f>
        <v>1.0612717796267992</v>
      </c>
      <c r="OY113" s="285"/>
      <c r="OZ113" s="478">
        <f>OZ111-OZ84-OZ57</f>
        <v>1.1377257916626093</v>
      </c>
      <c r="PA113" s="285"/>
      <c r="PB113" s="478">
        <f>PB111-PB84-PB57</f>
        <v>1.2134280823941093</v>
      </c>
      <c r="PC113" s="285"/>
      <c r="PD113" s="478">
        <f>PD111-PD84-PD57</f>
        <v>1.2781772562095495</v>
      </c>
      <c r="PE113" s="285"/>
      <c r="PF113" s="478">
        <f>PF111-PF84-PF57</f>
        <v>1.5466080100226831</v>
      </c>
      <c r="PG113" s="285"/>
      <c r="PH113" s="478">
        <f>PH111-PH84-PH57</f>
        <v>2.1375031306045087</v>
      </c>
      <c r="PI113" s="285"/>
      <c r="PJ113" s="478">
        <f>PJ111-PJ84-PJ57</f>
        <v>2.0757680957170663</v>
      </c>
      <c r="PK113" s="285"/>
      <c r="PL113" s="478">
        <f>PL111-PL84-PL57</f>
        <v>2.0106926971445378</v>
      </c>
      <c r="PM113" s="285"/>
      <c r="PN113" s="478">
        <f>PN111-PN84-PN57</f>
        <v>2.1737877239717429</v>
      </c>
      <c r="PO113" s="285"/>
      <c r="PP113" s="478">
        <f>PP111-PP84-PP57</f>
        <v>2.1737877239717429</v>
      </c>
      <c r="PR113" s="285"/>
      <c r="PS113" s="478">
        <f>PS111-PS84-PS57</f>
        <v>3.7590884272885274</v>
      </c>
      <c r="PT113" s="285"/>
      <c r="PU113" s="478">
        <f>PU111-PU84-PU57</f>
        <v>4.0526127692635159</v>
      </c>
      <c r="PV113" s="285"/>
      <c r="PW113" s="478">
        <f>PW111-PW84-PW57</f>
        <v>3.759428427288527</v>
      </c>
      <c r="PX113" s="285"/>
      <c r="PY113" s="478">
        <f>PY111-PY84-PY57</f>
        <v>4.0529527692635154</v>
      </c>
      <c r="PZ113" s="285"/>
      <c r="QA113" s="478">
        <f>QA111-QA84-QA57</f>
        <v>3.7171261727158411</v>
      </c>
      <c r="QB113" s="285"/>
      <c r="QC113" s="478">
        <f>QC111-QC84-QC57</f>
        <v>4.0143195689655178</v>
      </c>
      <c r="QF113" s="285"/>
      <c r="QG113" s="478">
        <f>QG111-QG84-QG57</f>
        <v>3.1563164729672204</v>
      </c>
      <c r="QH113" s="285"/>
      <c r="QI113" s="478">
        <f>QI111-QI84-QI57</f>
        <v>3.4279214112388252</v>
      </c>
      <c r="QJ113" s="285"/>
      <c r="QK113" s="478">
        <f>QK111-QK84-QK57</f>
        <v>3.1566564729672204</v>
      </c>
      <c r="QL113" s="285"/>
      <c r="QM113" s="478">
        <f>QM111-QM84-QM57</f>
        <v>3.4282614112388248</v>
      </c>
      <c r="QN113" s="285"/>
      <c r="QO113" s="478">
        <f>QO111-QO84-QO57</f>
        <v>2.3566564729672197</v>
      </c>
      <c r="QP113" s="285"/>
      <c r="QQ113" s="478">
        <f>QQ111-QQ84-QQ57</f>
        <v>2.6282614112388245</v>
      </c>
    </row>
    <row r="114" spans="1:459" x14ac:dyDescent="0.45">
      <c r="A114" s="871"/>
      <c r="B114" s="457" t="s">
        <v>413</v>
      </c>
      <c r="C114" s="458"/>
      <c r="D114" s="459"/>
      <c r="E114" s="460"/>
      <c r="F114" s="461"/>
      <c r="G114" s="462">
        <f>G113/G69</f>
        <v>-4.4223528910667741E-2</v>
      </c>
      <c r="H114" s="461"/>
      <c r="I114" s="462">
        <f>I113/I69</f>
        <v>-3.417272688551598E-2</v>
      </c>
      <c r="J114" s="461"/>
      <c r="K114" s="462">
        <f>K113/K69</f>
        <v>0.17493923736840802</v>
      </c>
      <c r="L114" s="461"/>
      <c r="M114" s="462">
        <f>M113/M69</f>
        <v>0.17493923736840802</v>
      </c>
      <c r="N114" s="461"/>
      <c r="O114" s="462">
        <f>O113/O69</f>
        <v>0.21070967295029763</v>
      </c>
      <c r="P114" s="461"/>
      <c r="Q114" s="463">
        <f>Q113/Q60</f>
        <v>0.22227324326635867</v>
      </c>
      <c r="R114" s="461"/>
      <c r="S114" s="462">
        <f>S113/S69</f>
        <v>0.1979187767934851</v>
      </c>
      <c r="T114" s="461"/>
      <c r="U114" s="462" t="e">
        <f>U113/U87</f>
        <v>#DIV/0!</v>
      </c>
      <c r="V114" s="461"/>
      <c r="W114" s="462" t="e">
        <f>W113/W87</f>
        <v>#DIV/0!</v>
      </c>
      <c r="X114" s="461"/>
      <c r="Y114" s="462" t="e">
        <f>Y113/Y87</f>
        <v>#DIV/0!</v>
      </c>
      <c r="Z114" s="461"/>
      <c r="AA114" s="463">
        <f>AA113/AA69</f>
        <v>0.21823941304759137</v>
      </c>
      <c r="AB114" s="461"/>
      <c r="AC114" s="463">
        <f>AC113/AC60</f>
        <v>0.15540828631138978</v>
      </c>
      <c r="AD114" s="461"/>
      <c r="AE114" s="463">
        <f>AE113/AE60</f>
        <v>0.16664686365698722</v>
      </c>
      <c r="AF114" s="461"/>
      <c r="AG114" s="463">
        <f>AG113/AG60</f>
        <v>0.29427617155313301</v>
      </c>
      <c r="AH114" s="461"/>
      <c r="AI114" s="463">
        <f>AI113/AI60</f>
        <v>0.27438715867289187</v>
      </c>
      <c r="AJ114" s="461"/>
      <c r="AK114" s="463">
        <f>AK113/AK60</f>
        <v>0.3027109077081569</v>
      </c>
      <c r="AL114" s="461"/>
      <c r="AM114" s="463">
        <f>AM113/AM60</f>
        <v>0.28581472149304826</v>
      </c>
      <c r="AN114" s="461"/>
      <c r="AO114" s="463">
        <f>AO113/AO60</f>
        <v>0.27107292825447793</v>
      </c>
      <c r="AP114" s="461"/>
      <c r="AQ114" s="463">
        <f>AQ113/AQ60</f>
        <v>0.24981376219734325</v>
      </c>
      <c r="AR114" s="461"/>
      <c r="AS114" s="463">
        <f>AS113/AS60</f>
        <v>0.26890506843617656</v>
      </c>
      <c r="AT114" s="461"/>
      <c r="AU114" s="463">
        <f>AU113/AU60</f>
        <v>0.26890506843617656</v>
      </c>
      <c r="AV114" s="461"/>
      <c r="AW114" s="463">
        <f>AW113/AW60</f>
        <v>0.30150089534557428</v>
      </c>
      <c r="AX114" s="461"/>
      <c r="AY114" s="463">
        <f>AY113/AY60</f>
        <v>0.33465509345912364</v>
      </c>
      <c r="AZ114" s="461"/>
      <c r="BA114" s="463">
        <f>BA113/BA60</f>
        <v>0.34480001125656001</v>
      </c>
      <c r="BB114" s="461"/>
      <c r="BC114" s="463">
        <f>BC113/BC60</f>
        <v>0.34510508786529276</v>
      </c>
      <c r="BD114" s="461"/>
      <c r="BE114" s="463">
        <f>BE113/BE60</f>
        <v>0.34693013331001316</v>
      </c>
      <c r="BF114" s="461"/>
      <c r="BG114" s="463">
        <f>BG113/BG60</f>
        <v>0.37651883683196452</v>
      </c>
      <c r="BH114" s="461"/>
      <c r="BI114" s="463">
        <f>BI113/BI60</f>
        <v>0.40271959546847513</v>
      </c>
      <c r="BJ114" s="461"/>
      <c r="BK114" s="463">
        <f>BK113/BK60</f>
        <v>0.40671174662681875</v>
      </c>
      <c r="BL114" s="461"/>
      <c r="BM114" s="463">
        <f>BM113/BM60</f>
        <v>0.34604093983664264</v>
      </c>
      <c r="BN114" s="461"/>
      <c r="BO114" s="463">
        <f>BO113/BO60</f>
        <v>0.33300779247195805</v>
      </c>
      <c r="BP114" s="461"/>
      <c r="BQ114" s="463">
        <f>BQ113/BQ60</f>
        <v>0.31498947984124182</v>
      </c>
      <c r="BR114" s="461"/>
      <c r="BS114" s="463">
        <f>BS113/BS60</f>
        <v>0.36164615091349434</v>
      </c>
      <c r="BT114" s="461"/>
      <c r="BU114" s="463">
        <f>BU113/BU60</f>
        <v>0.33627034571982639</v>
      </c>
      <c r="BV114" s="461"/>
      <c r="BW114" s="463">
        <f>BW113/BW60</f>
        <v>0.33320427391934399</v>
      </c>
      <c r="BX114" s="461"/>
      <c r="BY114" s="463">
        <f>BY113/BY60</f>
        <v>0.36656203776241936</v>
      </c>
      <c r="BZ114" s="461"/>
      <c r="CA114" s="463">
        <f>CA113/CA60</f>
        <v>0.34911260887168655</v>
      </c>
      <c r="CB114" s="461"/>
      <c r="CC114" s="463">
        <f>CC113/CC60</f>
        <v>0.38016844796911564</v>
      </c>
      <c r="CD114" s="461"/>
      <c r="CE114" s="463">
        <f>CE113/CE60</f>
        <v>0.36323749001994426</v>
      </c>
      <c r="CF114" s="461"/>
      <c r="CG114" s="463">
        <f>CG113/CG60</f>
        <v>0.31026789657030118</v>
      </c>
      <c r="CH114" s="461"/>
      <c r="CI114" s="463">
        <f>CI113/CI60</f>
        <v>0.32035429962932555</v>
      </c>
      <c r="CJ114" s="461"/>
      <c r="CK114" s="463">
        <f>CK113/CK60</f>
        <v>0.32898133401006457</v>
      </c>
      <c r="CL114" s="461"/>
      <c r="CM114" s="463">
        <f>CM113/CM60</f>
        <v>0.34153482454107242</v>
      </c>
      <c r="CN114" s="461"/>
      <c r="CO114" s="463">
        <f>CO113/CO60</f>
        <v>0.34282135001106867</v>
      </c>
      <c r="CP114" s="461"/>
      <c r="CQ114" s="463">
        <f>CQ113/CQ60</f>
        <v>0.34033470056313619</v>
      </c>
      <c r="CR114" s="461"/>
      <c r="CS114" s="463">
        <f>CS113/CS60</f>
        <v>0.34033470056313619</v>
      </c>
      <c r="CT114" s="464"/>
      <c r="CU114" s="461"/>
      <c r="CV114" s="463">
        <f>CV113/CV60</f>
        <v>0.20896350966702729</v>
      </c>
      <c r="CW114" s="461"/>
      <c r="CX114" s="463">
        <f>CX113/CX60</f>
        <v>0.16717777351767915</v>
      </c>
      <c r="CY114" s="461"/>
      <c r="CZ114" s="463">
        <f>CZ113/CZ60</f>
        <v>0.16779700411359524</v>
      </c>
      <c r="DA114" s="461"/>
      <c r="DB114" s="463">
        <f>DB113/DB60</f>
        <v>8.3582346037462729E-2</v>
      </c>
      <c r="DC114" s="461"/>
      <c r="DD114" s="463">
        <f>DD113/DD60</f>
        <v>0.14446087818014694</v>
      </c>
      <c r="DE114" s="461"/>
      <c r="DF114" s="463">
        <f>DF113/DF60</f>
        <v>0.27099003205342642</v>
      </c>
      <c r="DG114" s="461"/>
      <c r="DH114" s="463">
        <f>DH113/DH60</f>
        <v>0.22893303258394979</v>
      </c>
      <c r="DI114" s="461"/>
      <c r="DJ114" s="463">
        <f>DJ113/DJ60</f>
        <v>0.28845656945070919</v>
      </c>
      <c r="DK114" s="461"/>
      <c r="DL114" s="463">
        <f>DL113/DL60</f>
        <v>0.25599643002679168</v>
      </c>
      <c r="DM114" s="461"/>
      <c r="DN114" s="463">
        <f>DN113/DN60</f>
        <v>0.26024948511829854</v>
      </c>
      <c r="DO114" s="461"/>
      <c r="DP114" s="463">
        <f>DP113/DP60</f>
        <v>0.26561129194585503</v>
      </c>
      <c r="DQ114" s="461"/>
      <c r="DR114" s="463">
        <f>DR113/DR60</f>
        <v>0.2064386998420033</v>
      </c>
      <c r="DS114" s="461"/>
      <c r="DT114" s="463">
        <f>DT113/DT60</f>
        <v>0.25442254774058759</v>
      </c>
      <c r="DU114" s="461"/>
      <c r="DV114" s="463">
        <f>DV113/DV60</f>
        <v>0.28937638072050015</v>
      </c>
      <c r="DW114" s="461"/>
      <c r="DX114" s="463">
        <f>DX113/DX60</f>
        <v>0.29416051785453273</v>
      </c>
      <c r="DY114" s="461"/>
      <c r="DZ114" s="463">
        <f>DZ113/DZ60</f>
        <v>0.318736140296279</v>
      </c>
      <c r="EA114" s="461"/>
      <c r="EB114" s="463">
        <f>EB113/EB60</f>
        <v>0.302117949226127</v>
      </c>
      <c r="EC114" s="461"/>
      <c r="ED114" s="463">
        <f>ED113/ED60</f>
        <v>0.32731505503069558</v>
      </c>
      <c r="EE114" s="461"/>
      <c r="EF114" s="463">
        <f>EF113/EF60</f>
        <v>0.34165789972093102</v>
      </c>
      <c r="EG114" s="461"/>
      <c r="EH114" s="463">
        <f>EH113/EH60</f>
        <v>0.33609216701096334</v>
      </c>
      <c r="EI114" s="461"/>
      <c r="EJ114" s="463">
        <f>EJ113/EJ60</f>
        <v>0.33204248048545015</v>
      </c>
      <c r="EK114" s="461"/>
      <c r="EL114" s="463">
        <f>EL113/EL60</f>
        <v>0.31722061334396345</v>
      </c>
      <c r="EM114" s="461"/>
      <c r="EN114" s="463">
        <f>EN113/EN60</f>
        <v>0.35043785545682354</v>
      </c>
      <c r="EO114" s="461"/>
      <c r="EP114" s="463">
        <f>EP113/EP60</f>
        <v>0.28925261719050405</v>
      </c>
      <c r="EQ114" s="461"/>
      <c r="ER114" s="463">
        <f>ER113/ER60</f>
        <v>0.34938308846249438</v>
      </c>
      <c r="ES114" s="461"/>
      <c r="ET114" s="463">
        <f>ET113/ET60</f>
        <v>0.32756281313628394</v>
      </c>
      <c r="EU114" s="461"/>
      <c r="EV114" s="463">
        <f>EV113/EV60</f>
        <v>0.33589666528366097</v>
      </c>
      <c r="EW114" s="461"/>
      <c r="EX114" s="463">
        <f>EX113/EX60</f>
        <v>0.34370097889735624</v>
      </c>
      <c r="EY114" s="461"/>
      <c r="EZ114" s="463">
        <f>EZ113/EZ60</f>
        <v>0.327855559490347</v>
      </c>
      <c r="FA114" s="461"/>
      <c r="FB114" s="463">
        <f>FB113/FB60</f>
        <v>0.28938968341444271</v>
      </c>
      <c r="FC114" s="461"/>
      <c r="FD114" s="463">
        <f>FD113/FD60</f>
        <v>0.3085541137540837</v>
      </c>
      <c r="FE114" s="461"/>
      <c r="FF114" s="463">
        <f>FF113/FF60</f>
        <v>0.37040706219569336</v>
      </c>
      <c r="FG114" s="461"/>
      <c r="FH114" s="463">
        <f>FH113/FH60</f>
        <v>0.345014938571437</v>
      </c>
      <c r="FI114" s="461"/>
      <c r="FJ114" s="463">
        <f>FJ113/FJ60</f>
        <v>0.33280770516051106</v>
      </c>
      <c r="FK114" s="461"/>
      <c r="FL114" s="463">
        <f>FL113/FL60</f>
        <v>0.33090512123804072</v>
      </c>
      <c r="FM114" s="461"/>
      <c r="FN114" s="463">
        <f>FN113/FN60</f>
        <v>0.32672737546525621</v>
      </c>
      <c r="FO114" s="461"/>
      <c r="FP114" s="463">
        <f>FP113/FP60</f>
        <v>0.32672737546525621</v>
      </c>
      <c r="FQ114" s="465"/>
      <c r="FR114" s="461"/>
      <c r="FS114" s="462">
        <f>FS113/FS69</f>
        <v>8.6373512570869823E-2</v>
      </c>
      <c r="FT114" s="461"/>
      <c r="FU114" s="462">
        <f>FU113/FU69</f>
        <v>9.5397312147180544E-2</v>
      </c>
      <c r="FV114" s="461"/>
      <c r="FW114" s="463">
        <f>FW113/FW60</f>
        <v>9.0416376138010679E-2</v>
      </c>
      <c r="FX114" s="461"/>
      <c r="FY114" s="462">
        <f>FY113/FY69</f>
        <v>5.1797394039434015E-2</v>
      </c>
      <c r="FZ114" s="461"/>
      <c r="GA114" s="462" t="e">
        <f>GA113/GA87</f>
        <v>#DIV/0!</v>
      </c>
      <c r="GB114" s="461"/>
      <c r="GC114" s="462" t="e">
        <f>GC113/GC87</f>
        <v>#DIV/0!</v>
      </c>
      <c r="GD114" s="461"/>
      <c r="GE114" s="462" t="e">
        <f>GE113/GE87</f>
        <v>#DIV/0!</v>
      </c>
      <c r="GF114" s="461"/>
      <c r="GG114" s="463">
        <f>GG113/GG69</f>
        <v>7.636429269835876E-2</v>
      </c>
      <c r="GH114" s="461"/>
      <c r="GI114" s="463">
        <f>GI113/GI60</f>
        <v>0.11566871553733617</v>
      </c>
      <c r="GJ114" s="461"/>
      <c r="GK114" s="463">
        <f>GK113/GK60</f>
        <v>0.12714134381338738</v>
      </c>
      <c r="GL114" s="461"/>
      <c r="GM114" s="463">
        <f>GM113/GM60</f>
        <v>0.24885307384408542</v>
      </c>
      <c r="GN114" s="461"/>
      <c r="GO114" s="463">
        <f>GO113/GO60</f>
        <v>0.23262387887413036</v>
      </c>
      <c r="GP114" s="461"/>
      <c r="GQ114" s="463">
        <f>GQ113/GQ60</f>
        <v>0.25892510239108024</v>
      </c>
      <c r="GR114" s="461"/>
      <c r="GS114" s="463">
        <f>GS113/GS60</f>
        <v>0.24163690711984273</v>
      </c>
      <c r="GT114" s="461"/>
      <c r="GU114" s="463">
        <f>GU113/GU60</f>
        <v>0.24854204766902774</v>
      </c>
      <c r="GV114" s="461"/>
      <c r="GW114" s="463">
        <f>GW113/GW60</f>
        <v>0.14932589556806691</v>
      </c>
      <c r="GX114" s="461"/>
      <c r="GY114" s="463">
        <f>GY113/GY60</f>
        <v>0.16933201318458421</v>
      </c>
      <c r="GZ114" s="461"/>
      <c r="HA114" s="463">
        <f>HA113/HA60</f>
        <v>0.20916044455713326</v>
      </c>
      <c r="HB114" s="461"/>
      <c r="HC114" s="463">
        <f>HC113/HC60</f>
        <v>0.21077377285327867</v>
      </c>
      <c r="HD114" s="461"/>
      <c r="HE114" s="463">
        <f>HE113/HE60</f>
        <v>0.29380589438880134</v>
      </c>
      <c r="HF114" s="461"/>
      <c r="HG114" s="463">
        <f>HG113/HG60</f>
        <v>0.28699423602661145</v>
      </c>
      <c r="HH114" s="461"/>
      <c r="HI114" s="463">
        <f>HI113/HI60</f>
        <v>0.29550872200688982</v>
      </c>
      <c r="HJ114" s="461"/>
      <c r="HK114" s="463">
        <f>HK113/HK60</f>
        <v>0.30001528516489745</v>
      </c>
      <c r="HL114" s="461"/>
      <c r="HM114" s="463">
        <f>HM113/HM60</f>
        <v>0.32341704078989186</v>
      </c>
      <c r="HN114" s="461"/>
      <c r="HO114" s="463">
        <f>HO113/HO60</f>
        <v>0.32022389594952072</v>
      </c>
      <c r="HP114" s="461"/>
      <c r="HQ114" s="463">
        <f>HQ113/HQ60</f>
        <v>0.31598728733525755</v>
      </c>
      <c r="HR114" s="461"/>
      <c r="HS114" s="463">
        <f>HS113/HS60</f>
        <v>0.28427829092440055</v>
      </c>
      <c r="HT114" s="461"/>
      <c r="HU114" s="463">
        <f>HU113/HU60</f>
        <v>0.29398165604164073</v>
      </c>
      <c r="HV114" s="461"/>
      <c r="HW114" s="463">
        <f>HW113/HW60</f>
        <v>0.2725940868721522</v>
      </c>
      <c r="HX114" s="461"/>
      <c r="HY114" s="463">
        <f>HY113/HY60</f>
        <v>0.19505134268352733</v>
      </c>
      <c r="HZ114" s="461"/>
      <c r="IA114" s="463">
        <f>IA113/IA60</f>
        <v>0.17975006287717366</v>
      </c>
      <c r="IB114" s="461"/>
      <c r="IC114" s="463">
        <f>IC113/IC60</f>
        <v>0.2966750661154916</v>
      </c>
      <c r="ID114" s="461"/>
      <c r="IE114" s="463">
        <f>IE113/IE60</f>
        <v>0.3076093645512597</v>
      </c>
      <c r="IF114" s="461"/>
      <c r="IG114" s="463">
        <f>IG113/IG60</f>
        <v>0.30383849552872377</v>
      </c>
      <c r="IH114" s="461"/>
      <c r="II114" s="463">
        <f>II113/II60</f>
        <v>0.28543509771359654</v>
      </c>
      <c r="IJ114" s="461"/>
      <c r="IK114" s="463">
        <f>IK113/IK60</f>
        <v>0.26622930808992723</v>
      </c>
      <c r="IL114" s="461"/>
      <c r="IM114" s="463">
        <f>IM113/IM60</f>
        <v>0.2769630144580556</v>
      </c>
      <c r="IN114" s="461"/>
      <c r="IO114" s="463">
        <f>IO113/IO60</f>
        <v>0.28728730405083186</v>
      </c>
      <c r="IP114" s="461"/>
      <c r="IQ114" s="463">
        <f>IQ113/IQ60</f>
        <v>0.29611780594059106</v>
      </c>
      <c r="IR114" s="461"/>
      <c r="IS114" s="463">
        <f>IS113/IS60</f>
        <v>0.28856245624012583</v>
      </c>
      <c r="IT114" s="461"/>
      <c r="IU114" s="463">
        <f>IU113/IU60</f>
        <v>0.27320821535498652</v>
      </c>
      <c r="IV114" s="461"/>
      <c r="IW114" s="463">
        <f>IW113/IW60</f>
        <v>0.30205027454993433</v>
      </c>
      <c r="IX114" s="461"/>
      <c r="IY114" s="463">
        <f>IY113/IY60</f>
        <v>0.29947123335754061</v>
      </c>
      <c r="IZ114" s="460"/>
      <c r="JA114" s="461"/>
      <c r="JB114" s="463">
        <f>JB113/JB60</f>
        <v>0.24745496629901964</v>
      </c>
      <c r="JC114" s="461"/>
      <c r="JD114" s="463">
        <f>JD113/JD60</f>
        <v>0.23879793000744604</v>
      </c>
      <c r="JE114" s="465"/>
      <c r="JF114" s="461"/>
      <c r="JG114" s="462">
        <f>JG113/JG69</f>
        <v>0.17892713176060618</v>
      </c>
      <c r="JH114" s="461"/>
      <c r="JI114" s="462">
        <f>JI113/JI69</f>
        <v>0.19058812858643451</v>
      </c>
      <c r="JJ114" s="461"/>
      <c r="JK114" s="463">
        <f>JK113/JK60</f>
        <v>0.18401532234487666</v>
      </c>
      <c r="JL114" s="461"/>
      <c r="JM114" s="462">
        <f>JM113/JM69</f>
        <v>0.15049604372066366</v>
      </c>
      <c r="JN114" s="461"/>
      <c r="JO114" s="462" t="e">
        <f>JO113/JO87</f>
        <v>#DIV/0!</v>
      </c>
      <c r="JP114" s="461"/>
      <c r="JQ114" s="463">
        <f>JQ113/JQ69</f>
        <v>0.20037832917083526</v>
      </c>
      <c r="JR114" s="461"/>
      <c r="JS114" s="463">
        <f>JS113/JS60</f>
        <v>0.11017041573622449</v>
      </c>
      <c r="JT114" s="285"/>
      <c r="JU114" s="463">
        <f>JU113/JU60</f>
        <v>0.14136261771950165</v>
      </c>
      <c r="JV114" s="461"/>
      <c r="JW114" s="463">
        <f>JW113/JW60</f>
        <v>0.22936396109271018</v>
      </c>
      <c r="JX114" s="461"/>
      <c r="JY114" s="463">
        <f>JY113/JY60</f>
        <v>0.17718604558392267</v>
      </c>
      <c r="JZ114" s="461"/>
      <c r="KA114" s="463">
        <f>KA113/KA60</f>
        <v>0.22276689519997162</v>
      </c>
      <c r="KB114" s="461"/>
      <c r="KC114" s="463">
        <f>KC113/KC60</f>
        <v>0.21142705279444404</v>
      </c>
      <c r="KD114" s="461"/>
      <c r="KE114" s="463">
        <f>KE113/KE60</f>
        <v>0.21733780343376136</v>
      </c>
      <c r="KF114" s="461"/>
      <c r="KG114" s="463">
        <f>KG113/KG60</f>
        <v>0.14734291198358521</v>
      </c>
      <c r="KH114" s="461"/>
      <c r="KI114" s="463">
        <f>KI113/KI60</f>
        <v>0.15370324362503621</v>
      </c>
      <c r="KJ114" s="461"/>
      <c r="KK114" s="463">
        <f>KK113/KK60</f>
        <v>0.20335946975185054</v>
      </c>
      <c r="KL114" s="461"/>
      <c r="KM114" s="463">
        <f>KM113/KM60</f>
        <v>0.21339068082187862</v>
      </c>
      <c r="KN114" s="461"/>
      <c r="KO114" s="463">
        <f>KO113/KO60</f>
        <v>0.24910036695645252</v>
      </c>
      <c r="KP114" s="461"/>
      <c r="KQ114" s="463">
        <f>KQ113/KQ60</f>
        <v>0.22229633182918127</v>
      </c>
      <c r="KR114" s="461"/>
      <c r="KS114" s="463">
        <f>KS113/KS60</f>
        <v>0.25734435108282316</v>
      </c>
      <c r="KT114" s="461"/>
      <c r="KU114" s="463">
        <f>KU113/KU60</f>
        <v>0.26108994769935617</v>
      </c>
      <c r="KV114" s="461"/>
      <c r="KW114" s="463">
        <f>KW113/KW60</f>
        <v>0.28486336029588472</v>
      </c>
      <c r="KX114" s="461"/>
      <c r="KY114" s="463">
        <f>KY113/KY60</f>
        <v>0.30523925333681051</v>
      </c>
      <c r="KZ114" s="461"/>
      <c r="LA114" s="463">
        <f>LA113/LA60</f>
        <v>0.323545214498691</v>
      </c>
      <c r="LB114" s="461"/>
      <c r="LC114" s="463">
        <f>LC113/LC60</f>
        <v>0.26006298864188215</v>
      </c>
      <c r="LD114" s="461"/>
      <c r="LE114" s="463">
        <f>LE113/LE60</f>
        <v>0.25339764722016034</v>
      </c>
      <c r="LF114" s="461"/>
      <c r="LG114" s="463">
        <f>LG113/LG60</f>
        <v>0.18542348689095206</v>
      </c>
      <c r="LH114" s="461"/>
      <c r="LI114" s="463">
        <f>LI113/LI60</f>
        <v>0.2754413884856472</v>
      </c>
      <c r="LJ114" s="461"/>
      <c r="LK114" s="463">
        <f>LK113/LK60</f>
        <v>0.23138965609338322</v>
      </c>
      <c r="LL114" s="461"/>
      <c r="LM114" s="463">
        <f>LM113/LM60</f>
        <v>0.27818125500184476</v>
      </c>
      <c r="LN114" s="461"/>
      <c r="LO114" s="463">
        <f>LO113/LO60</f>
        <v>0.29149921720048083</v>
      </c>
      <c r="LP114" s="461"/>
      <c r="LQ114" s="463">
        <f>LQ113/LQ60</f>
        <v>0.27199269676691229</v>
      </c>
      <c r="LR114" s="461"/>
      <c r="LS114" s="463">
        <f>LS113/LS60</f>
        <v>0.24036874623066651</v>
      </c>
      <c r="LT114" s="461"/>
      <c r="LU114" s="463">
        <f>LU113/LU60</f>
        <v>0.21945270126760966</v>
      </c>
      <c r="LV114" s="461"/>
      <c r="LW114" s="463">
        <f>LW113/LW60</f>
        <v>0.23081324896989</v>
      </c>
      <c r="LX114" s="461"/>
      <c r="LY114" s="463">
        <f>LY113/LY60</f>
        <v>0.24206209598427911</v>
      </c>
      <c r="LZ114" s="461"/>
      <c r="MA114" s="463">
        <f>MA113/MA60</f>
        <v>0.25168338410541791</v>
      </c>
      <c r="MB114" s="461"/>
      <c r="MC114" s="463">
        <f>MC113/MC60</f>
        <v>0.24796652280613479</v>
      </c>
      <c r="MD114" s="461"/>
      <c r="ME114" s="463">
        <f>ME113/ME60</f>
        <v>0.32607670433367569</v>
      </c>
      <c r="MF114" s="461"/>
      <c r="MG114" s="463">
        <f>MG113/MG60</f>
        <v>0.26290602435418609</v>
      </c>
      <c r="MH114" s="465"/>
      <c r="MI114" s="461"/>
      <c r="MJ114" s="462">
        <f>MJ113/MJ69</f>
        <v>6.9740838995698079E-2</v>
      </c>
      <c r="MK114" s="461"/>
      <c r="ML114" s="462">
        <f>ML113/ML69</f>
        <v>7.5630130452235295E-2</v>
      </c>
      <c r="MM114" s="461"/>
      <c r="MN114" s="463">
        <f>MN113/MN60</f>
        <v>6.9476003383199619E-2</v>
      </c>
      <c r="MO114" s="461"/>
      <c r="MP114" s="462">
        <f>MP113/MP69</f>
        <v>3.4397951814171678E-2</v>
      </c>
      <c r="MQ114" s="461"/>
      <c r="MR114" s="462" t="e">
        <f>MR113/MR87</f>
        <v>#DIV/0!</v>
      </c>
      <c r="MS114" s="461"/>
      <c r="MT114" s="463">
        <f>MT113/MT69</f>
        <v>6.0933219979427265E-2</v>
      </c>
      <c r="MU114" s="461"/>
      <c r="MV114" s="463">
        <f>MV113/MV60</f>
        <v>2.6023144746779126E-2</v>
      </c>
      <c r="MW114" s="285"/>
      <c r="MX114" s="463">
        <f>MX113/MX60</f>
        <v>0.1547884390829907</v>
      </c>
      <c r="MY114" s="461"/>
      <c r="MZ114" s="463">
        <f>MZ113/MZ60</f>
        <v>0.25473469184385783</v>
      </c>
      <c r="NA114" s="461"/>
      <c r="NB114" s="463">
        <f>NB113/NB60</f>
        <v>0.21899628139531882</v>
      </c>
      <c r="NC114" s="461"/>
      <c r="ND114" s="463">
        <f>ND113/ND60</f>
        <v>0.25065929670346804</v>
      </c>
      <c r="NE114" s="461"/>
      <c r="NF114" s="463">
        <f>NF113/NF60</f>
        <v>0.25474739441209732</v>
      </c>
      <c r="NG114" s="461"/>
      <c r="NH114" s="463">
        <f>NH113/NH60</f>
        <v>0.25415767422830282</v>
      </c>
      <c r="NI114" s="461"/>
      <c r="NJ114" s="463">
        <f>NJ113/NJ60</f>
        <v>0.20121969655370778</v>
      </c>
      <c r="NK114" s="461"/>
      <c r="NL114" s="463">
        <f>NL113/NL60</f>
        <v>0.23452388949670688</v>
      </c>
      <c r="NM114" s="461"/>
      <c r="NN114" s="463">
        <f>NN113/NN60</f>
        <v>0.23452388949670688</v>
      </c>
      <c r="NO114" s="461"/>
      <c r="NP114" s="463">
        <f>NP113/NP60</f>
        <v>0.25930438859939697</v>
      </c>
      <c r="NQ114" s="461"/>
      <c r="NR114" s="463">
        <f>NR113/NR60</f>
        <v>0.29544659328699824</v>
      </c>
      <c r="NS114" s="461"/>
      <c r="NT114" s="463">
        <f>NT113/NT60</f>
        <v>0.30528289994707258</v>
      </c>
      <c r="NU114" s="461"/>
      <c r="NV114" s="463">
        <f>NV113/NV60</f>
        <v>0.22264357946740493</v>
      </c>
      <c r="NW114" s="461"/>
      <c r="NX114" s="463">
        <f>NX113/NX60</f>
        <v>0.30182974667101892</v>
      </c>
      <c r="NY114" s="461"/>
      <c r="NZ114" s="463">
        <f>NZ113/NZ60</f>
        <v>0.27280283281653556</v>
      </c>
      <c r="OA114" s="461"/>
      <c r="OB114" s="463">
        <f>OB113/OB60</f>
        <v>0.33363976610696755</v>
      </c>
      <c r="OC114" s="461"/>
      <c r="OD114" s="463">
        <f>OD113/OD60</f>
        <v>0.33984746029286056</v>
      </c>
      <c r="OE114" s="461"/>
      <c r="OF114" s="463">
        <f>OF113/OF60</f>
        <v>0.28981569968350918</v>
      </c>
      <c r="OG114" s="461"/>
      <c r="OH114" s="463">
        <f>OH113/OH60</f>
        <v>0.27675571532616716</v>
      </c>
      <c r="OI114" s="461"/>
      <c r="OJ114" s="463">
        <f>OJ113/OJ60</f>
        <v>0.24979553505396687</v>
      </c>
      <c r="OK114" s="461"/>
      <c r="OL114" s="463">
        <f>OL113/OL60</f>
        <v>0.28062767075656581</v>
      </c>
      <c r="OM114" s="461"/>
      <c r="ON114" s="463">
        <f>ON113/ON60</f>
        <v>0.24768942688628803</v>
      </c>
      <c r="OO114" s="461"/>
      <c r="OP114" s="463">
        <f>OP113/OP60</f>
        <v>0.26911077096143793</v>
      </c>
      <c r="OQ114" s="461"/>
      <c r="OR114" s="463">
        <f>OR113/OR60</f>
        <v>0.27257550569734712</v>
      </c>
      <c r="OS114" s="461"/>
      <c r="OT114" s="463">
        <f>OT113/OT60</f>
        <v>0.26139009604901486</v>
      </c>
      <c r="OU114" s="461"/>
      <c r="OV114" s="463">
        <f>OV113/OV60</f>
        <v>0.17676944225223082</v>
      </c>
      <c r="OW114" s="461"/>
      <c r="OX114" s="463">
        <f>OX113/OX60</f>
        <v>0.15606937935688223</v>
      </c>
      <c r="OY114" s="461"/>
      <c r="OZ114" s="463">
        <f>OZ113/OZ60</f>
        <v>0.16731261642097198</v>
      </c>
      <c r="PA114" s="461"/>
      <c r="PB114" s="463">
        <f>PB113/PB60</f>
        <v>0.17844530623442784</v>
      </c>
      <c r="PC114" s="461"/>
      <c r="PD114" s="463">
        <f>PD113/PD60</f>
        <v>0.18796724356022787</v>
      </c>
      <c r="PE114" s="461"/>
      <c r="PF114" s="463">
        <f>PF113/PF60</f>
        <v>0.22744235441510047</v>
      </c>
      <c r="PG114" s="461"/>
      <c r="PH114" s="463">
        <f>PH113/PH60</f>
        <v>0.31433869567713363</v>
      </c>
      <c r="PI114" s="461"/>
      <c r="PJ114" s="463">
        <f>PJ113/PJ60</f>
        <v>0.3052600140760392</v>
      </c>
      <c r="PK114" s="461"/>
      <c r="PL114" s="463">
        <f>PL113/PL60</f>
        <v>0.29569010252125555</v>
      </c>
      <c r="PM114" s="461"/>
      <c r="PN114" s="463">
        <f>PN113/PN60</f>
        <v>0.31967466528996219</v>
      </c>
      <c r="PO114" s="461"/>
      <c r="PP114" s="463">
        <f>PP113/PP60</f>
        <v>0.31967466528996219</v>
      </c>
      <c r="PQ114" s="466"/>
      <c r="PR114" s="461"/>
      <c r="PS114" s="463">
        <f>PS113/PS60</f>
        <v>0.47583397813778827</v>
      </c>
      <c r="PT114" s="461"/>
      <c r="PU114" s="463">
        <f>PU113/PU60</f>
        <v>0.5129889581346222</v>
      </c>
      <c r="PV114" s="461"/>
      <c r="PW114" s="463">
        <f>PW113/PW60</f>
        <v>0.47587701611247174</v>
      </c>
      <c r="PX114" s="461"/>
      <c r="PY114" s="463">
        <f>PY113/PY60</f>
        <v>0.51303199610930572</v>
      </c>
      <c r="PZ114" s="461"/>
      <c r="QA114" s="463">
        <f>QA113/QA60</f>
        <v>0.47052230034377734</v>
      </c>
      <c r="QB114" s="461"/>
      <c r="QC114" s="463">
        <f>QC113/QC60</f>
        <v>0.50814171759057181</v>
      </c>
      <c r="QD114" s="466"/>
      <c r="QE114" s="466"/>
      <c r="QF114" s="461"/>
      <c r="QG114" s="463">
        <f>QG113/QG60</f>
        <v>0.39953373075534432</v>
      </c>
      <c r="QH114" s="461"/>
      <c r="QI114" s="463">
        <f>QI113/QI60</f>
        <v>0.43391410268845887</v>
      </c>
      <c r="QJ114" s="461"/>
      <c r="QK114" s="463">
        <f>QK113/QK60</f>
        <v>0.3995767687300279</v>
      </c>
      <c r="QL114" s="461"/>
      <c r="QM114" s="463">
        <f>QM113/QM60</f>
        <v>0.43395714066314234</v>
      </c>
      <c r="QN114" s="461"/>
      <c r="QO114" s="463">
        <f>QO113/QO60</f>
        <v>0.33192344689679154</v>
      </c>
      <c r="QP114" s="461"/>
      <c r="QQ114" s="463">
        <f>QQ113/QQ60</f>
        <v>0.37017766355476406</v>
      </c>
    </row>
    <row r="115" spans="1:459" x14ac:dyDescent="0.45">
      <c r="A115" s="871"/>
      <c r="B115" s="480" t="s">
        <v>414</v>
      </c>
      <c r="C115" s="481"/>
      <c r="D115" s="482"/>
      <c r="E115" s="460"/>
      <c r="F115" s="471"/>
      <c r="G115" s="472"/>
      <c r="H115" s="471"/>
      <c r="I115" s="472"/>
      <c r="J115" s="471"/>
      <c r="K115" s="472"/>
      <c r="L115" s="471"/>
      <c r="M115" s="472"/>
      <c r="N115" s="471"/>
      <c r="O115" s="472"/>
      <c r="P115" s="471"/>
      <c r="Q115" s="470">
        <f>Q113-Q78</f>
        <v>0.95911454378831751</v>
      </c>
      <c r="R115" s="471"/>
      <c r="S115" s="472"/>
      <c r="T115" s="471"/>
      <c r="U115" s="472"/>
      <c r="V115" s="471"/>
      <c r="W115" s="472"/>
      <c r="X115" s="471"/>
      <c r="Y115" s="472"/>
      <c r="Z115" s="471"/>
      <c r="AA115" s="472"/>
      <c r="AB115" s="471"/>
      <c r="AC115" s="470">
        <f>AC113-AC78</f>
        <v>0.40605336331821695</v>
      </c>
      <c r="AD115" s="471"/>
      <c r="AE115" s="470">
        <f>AE113-AE78</f>
        <v>0.56151616379310276</v>
      </c>
      <c r="AF115" s="471"/>
      <c r="AG115" s="470">
        <f>AG113-AG78</f>
        <v>1.5314989038038109</v>
      </c>
      <c r="AH115" s="471"/>
      <c r="AI115" s="470">
        <f>AI113-AI78</f>
        <v>1.3803424059139782</v>
      </c>
      <c r="AJ115" s="471"/>
      <c r="AK115" s="470">
        <f>AK113-AK78</f>
        <v>1.6175963626342795</v>
      </c>
      <c r="AL115" s="471"/>
      <c r="AM115" s="470">
        <f>AM113-AM78</f>
        <v>1.4891853473994539</v>
      </c>
      <c r="AN115" s="471"/>
      <c r="AO115" s="470">
        <f>AO113-AO78</f>
        <v>1.3771477187863195</v>
      </c>
      <c r="AP115" s="471"/>
      <c r="AQ115" s="470">
        <f>AQ113-AQ78</f>
        <v>1.2155780567520957</v>
      </c>
      <c r="AR115" s="471"/>
      <c r="AS115" s="470">
        <f>AS113-AS78</f>
        <v>1.3606719841672288</v>
      </c>
      <c r="AT115" s="471"/>
      <c r="AU115" s="470">
        <f>AU113-AU78</f>
        <v>1.3606719841672288</v>
      </c>
      <c r="AV115" s="471"/>
      <c r="AW115" s="470">
        <f>AW113-AW78</f>
        <v>1.6084002686786516</v>
      </c>
      <c r="AX115" s="471"/>
      <c r="AY115" s="470">
        <f>AY113-AY78</f>
        <v>1.8603721743416266</v>
      </c>
      <c r="AZ115" s="471"/>
      <c r="BA115" s="470">
        <f>BA113-BA78</f>
        <v>1.9374735496021429</v>
      </c>
      <c r="BB115" s="471"/>
      <c r="BC115" s="470">
        <f>BC113-BC78</f>
        <v>1.9397921318285121</v>
      </c>
      <c r="BD115" s="471"/>
      <c r="BE115" s="470">
        <f>BE113-BE78</f>
        <v>1.9536624772083868</v>
      </c>
      <c r="BF115" s="471"/>
      <c r="BG115" s="470">
        <f>BG113-BG78</f>
        <v>2.1785366239752175</v>
      </c>
      <c r="BH115" s="471"/>
      <c r="BI115" s="470">
        <f>BI113-BI78</f>
        <v>2.3776623896126976</v>
      </c>
      <c r="BJ115" s="471"/>
      <c r="BK115" s="470">
        <f>BK113-BK78</f>
        <v>2.4080027384161093</v>
      </c>
      <c r="BL115" s="471"/>
      <c r="BM115" s="470">
        <f>BM113-BM78</f>
        <v>1.9469046068107712</v>
      </c>
      <c r="BN115" s="471"/>
      <c r="BO115" s="470">
        <f>BO113-BO78</f>
        <v>1.847852686839168</v>
      </c>
      <c r="BP115" s="471"/>
      <c r="BQ115" s="470">
        <f>BQ113-BQ78</f>
        <v>1.7109135108457247</v>
      </c>
      <c r="BR115" s="471"/>
      <c r="BS115" s="470">
        <f>BS113-BS78</f>
        <v>2.0655042109948436</v>
      </c>
      <c r="BT115" s="471"/>
      <c r="BU115" s="470">
        <f>BU113-BU78</f>
        <v>1.8726480915229675</v>
      </c>
      <c r="BV115" s="471"/>
      <c r="BW115" s="470">
        <f>BW113-BW78</f>
        <v>1.8493459458393013</v>
      </c>
      <c r="BX115" s="471"/>
      <c r="BY115" s="470">
        <f>BY113-BY78</f>
        <v>2.1028649510466737</v>
      </c>
      <c r="BZ115" s="471"/>
      <c r="CA115" s="470">
        <f>CA113-CA78</f>
        <v>1.9702492914771048</v>
      </c>
      <c r="CB115" s="471"/>
      <c r="CC115" s="470">
        <f>CC113-CC78</f>
        <v>2.2062736686175661</v>
      </c>
      <c r="CD115" s="471"/>
      <c r="CE115" s="470">
        <f>CE113-CE78</f>
        <v>2.0775983882038638</v>
      </c>
      <c r="CF115" s="471"/>
      <c r="CG115" s="470">
        <f>CG113-CG78</f>
        <v>1.6750294779865762</v>
      </c>
      <c r="CH115" s="471"/>
      <c r="CI115" s="470">
        <f>CI113-CI78</f>
        <v>1.751686141235161</v>
      </c>
      <c r="CJ115" s="471"/>
      <c r="CK115" s="470">
        <f>CK113-CK78</f>
        <v>1.8172516025287779</v>
      </c>
      <c r="CL115" s="471"/>
      <c r="CM115" s="470">
        <f>CM113-CM78</f>
        <v>1.9126581305644372</v>
      </c>
      <c r="CN115" s="471"/>
      <c r="CO115" s="470">
        <f>CO113-CO78</f>
        <v>0.9854422600841215</v>
      </c>
      <c r="CP115" s="471"/>
      <c r="CQ115" s="470">
        <f>CQ113-CQ78</f>
        <v>1.526543724279835</v>
      </c>
      <c r="CR115" s="471"/>
      <c r="CS115" s="470">
        <f>CS113-CS78</f>
        <v>1.7948770576131685</v>
      </c>
      <c r="CT115" s="464"/>
      <c r="CU115" s="471"/>
      <c r="CV115" s="470">
        <f>CV113-CV78</f>
        <v>1.303526325508535</v>
      </c>
      <c r="CW115" s="471"/>
      <c r="CX115" s="470">
        <f>CX113-CX78</f>
        <v>1.7219310672320953</v>
      </c>
      <c r="CY115" s="471"/>
      <c r="CZ115" s="470">
        <f>CZ113-CZ78</f>
        <v>1.7786482436041096</v>
      </c>
      <c r="DA115" s="471"/>
      <c r="DB115" s="470">
        <f>DB113-DB78</f>
        <v>-0.16031391450744614</v>
      </c>
      <c r="DC115" s="471"/>
      <c r="DD115" s="470">
        <f>DD113-DD78</f>
        <v>0.59963096734466759</v>
      </c>
      <c r="DE115" s="471"/>
      <c r="DF115" s="470">
        <f>DF113-DF78</f>
        <v>2.0357368638063895</v>
      </c>
      <c r="DG115" s="471"/>
      <c r="DH115" s="470">
        <f>DH113-DH78</f>
        <v>1.5583899198278299</v>
      </c>
      <c r="DI115" s="471"/>
      <c r="DJ115" s="470">
        <f>DJ113-DJ78</f>
        <v>2.2339820632655489</v>
      </c>
      <c r="DK115" s="471"/>
      <c r="DL115" s="470">
        <f>DL113-DL78</f>
        <v>1.8655594808040852</v>
      </c>
      <c r="DM115" s="471"/>
      <c r="DN115" s="470">
        <f>DN113-DN78</f>
        <v>1.9138316560926882</v>
      </c>
      <c r="DO115" s="471"/>
      <c r="DP115" s="470">
        <f>DP113-DP78</f>
        <v>1.9746881635854545</v>
      </c>
      <c r="DQ115" s="471"/>
      <c r="DR115" s="470">
        <f>DR113-DR78</f>
        <v>1.3030792432067373</v>
      </c>
      <c r="DS115" s="471"/>
      <c r="DT115" s="470">
        <f>DT113-DT78</f>
        <v>1.847695916855669</v>
      </c>
      <c r="DU115" s="471"/>
      <c r="DV115" s="470">
        <f>DV113-DV78</f>
        <v>2.2444219211776768</v>
      </c>
      <c r="DW115" s="471"/>
      <c r="DX115" s="470">
        <f>DX113-DX78</f>
        <v>2.2987218776489464</v>
      </c>
      <c r="DY115" s="471"/>
      <c r="DZ115" s="470">
        <f>DZ113-DZ78</f>
        <v>2.5776551923627666</v>
      </c>
      <c r="EA115" s="471"/>
      <c r="EB115" s="470">
        <f>EB113-EB78</f>
        <v>2.3890387237165411</v>
      </c>
      <c r="EC115" s="471"/>
      <c r="ED115" s="470">
        <f>ED113-ED78</f>
        <v>2.6750258745983944</v>
      </c>
      <c r="EE115" s="471"/>
      <c r="EF115" s="470">
        <f>EF113-EF78</f>
        <v>2.8378171618325672</v>
      </c>
      <c r="EG115" s="471"/>
      <c r="EH115" s="470">
        <f>EH113-EH78</f>
        <v>2.7746460955744334</v>
      </c>
      <c r="EI115" s="471"/>
      <c r="EJ115" s="470">
        <f>EJ113-EJ78</f>
        <v>2.7286821535098591</v>
      </c>
      <c r="EK115" s="471"/>
      <c r="EL115" s="470">
        <f>EL113-EL78</f>
        <v>3.1004539614539848</v>
      </c>
      <c r="EM115" s="471"/>
      <c r="EN115" s="470">
        <f>EN113-EN78</f>
        <v>3.4774696594349468</v>
      </c>
      <c r="EO115" s="471"/>
      <c r="EP115" s="470">
        <f>EP113-EP78</f>
        <v>2.7830172051122211</v>
      </c>
      <c r="EQ115" s="471"/>
      <c r="ER115" s="470">
        <f>ER113-ER78</f>
        <v>3.465498054049311</v>
      </c>
      <c r="ES115" s="471"/>
      <c r="ET115" s="470">
        <f>ET113-ET78</f>
        <v>3.2178379290968229</v>
      </c>
      <c r="EU115" s="471"/>
      <c r="EV115" s="470">
        <f>EV113-EV78</f>
        <v>3.312427150969552</v>
      </c>
      <c r="EW115" s="471"/>
      <c r="EX115" s="470">
        <f>EX113-EX78</f>
        <v>3.4010061104849933</v>
      </c>
      <c r="EY115" s="471"/>
      <c r="EZ115" s="470">
        <f>EZ113-EZ78</f>
        <v>3.2211606002154385</v>
      </c>
      <c r="FA115" s="471"/>
      <c r="FB115" s="470">
        <f>FB113-FB78</f>
        <v>2.7845729067539247</v>
      </c>
      <c r="FC115" s="471"/>
      <c r="FD115" s="470">
        <f>FD113-FD78</f>
        <v>3.0020891911088499</v>
      </c>
      <c r="FE115" s="471"/>
      <c r="FF115" s="470">
        <f>FF113-FF78</f>
        <v>3.7041201559211192</v>
      </c>
      <c r="FG115" s="471"/>
      <c r="FH115" s="470">
        <f>FH113-FH78</f>
        <v>3.4159195527858097</v>
      </c>
      <c r="FI115" s="471"/>
      <c r="FJ115" s="470">
        <f>FJ113-FJ78</f>
        <v>3.2773674535718005</v>
      </c>
      <c r="FK115" s="471"/>
      <c r="FL115" s="470">
        <f>FL113-FL78</f>
        <v>3.2557731260517624</v>
      </c>
      <c r="FM115" s="471"/>
      <c r="FN115" s="470">
        <f>FN113-FN78</f>
        <v>3.2083557115306576</v>
      </c>
      <c r="FO115" s="471"/>
      <c r="FP115" s="470">
        <f>FP113-FP78</f>
        <v>2.8140278172027635</v>
      </c>
      <c r="FQ115" s="465"/>
      <c r="FR115" s="471"/>
      <c r="FS115" s="472"/>
      <c r="FT115" s="471"/>
      <c r="FU115" s="472"/>
      <c r="FV115" s="471"/>
      <c r="FW115" s="470">
        <f>FW113-FW78</f>
        <v>4.9302160602716416E-2</v>
      </c>
      <c r="FX115" s="471"/>
      <c r="FY115" s="472"/>
      <c r="FZ115" s="471"/>
      <c r="GA115" s="472"/>
      <c r="GB115" s="471"/>
      <c r="GC115" s="472"/>
      <c r="GD115" s="471"/>
      <c r="GE115" s="472"/>
      <c r="GF115" s="471"/>
      <c r="GG115" s="472"/>
      <c r="GH115" s="471"/>
      <c r="GI115" s="470">
        <f>GI113-GI78</f>
        <v>0.11794147520632825</v>
      </c>
      <c r="GJ115" s="471"/>
      <c r="GK115" s="470">
        <f>GK113-GK78</f>
        <v>0.29070142241379271</v>
      </c>
      <c r="GL115" s="471"/>
      <c r="GM115" s="470">
        <f>GM113-GM78</f>
        <v>1.3252511276747261</v>
      </c>
      <c r="GN115" s="471"/>
      <c r="GO115" s="470">
        <f>GO113-GO78</f>
        <v>1.1873029704301079</v>
      </c>
      <c r="GP115" s="471"/>
      <c r="GQ115" s="470">
        <f>GQ113-GQ78</f>
        <v>1.410863370324182</v>
      </c>
      <c r="GR115" s="471"/>
      <c r="GS115" s="470">
        <f>GS113-GS78</f>
        <v>1.2639137105186631</v>
      </c>
      <c r="GT115" s="471"/>
      <c r="GU115" s="470">
        <f>GU113-GU78</f>
        <v>1.3226074051867358</v>
      </c>
      <c r="GV115" s="471"/>
      <c r="GW115" s="470">
        <f>GW113-GW78</f>
        <v>0.47927011232856875</v>
      </c>
      <c r="GX115" s="471"/>
      <c r="GY115" s="470">
        <f>GY113-GY78</f>
        <v>0.64932211206896584</v>
      </c>
      <c r="GZ115" s="471"/>
      <c r="HA115" s="470">
        <f>HA113-HA78</f>
        <v>0.98786377873563258</v>
      </c>
      <c r="HB115" s="471"/>
      <c r="HC115" s="470">
        <f>HC113-HC78</f>
        <v>0.96657706925286868</v>
      </c>
      <c r="HD115" s="471"/>
      <c r="HE115" s="470">
        <f>HE113-HE78</f>
        <v>1.6723501023048111</v>
      </c>
      <c r="HF115" s="471"/>
      <c r="HG115" s="470">
        <f>HG113-HG78</f>
        <v>1.6144510062261972</v>
      </c>
      <c r="HH115" s="471"/>
      <c r="HI115" s="470">
        <f>HI113-HI78</f>
        <v>1.6868241370585633</v>
      </c>
      <c r="HJ115" s="471"/>
      <c r="HK115" s="470">
        <f>HK113-HK78</f>
        <v>1.725129923901628</v>
      </c>
      <c r="HL115" s="471"/>
      <c r="HM115" s="470">
        <f>HM113-HM78</f>
        <v>1.9240448467140805</v>
      </c>
      <c r="HN115" s="471"/>
      <c r="HO115" s="470">
        <f>HO113-HO78</f>
        <v>1.8969031155709257</v>
      </c>
      <c r="HP115" s="471"/>
      <c r="HQ115" s="470">
        <f>HQ113-HQ78</f>
        <v>1.860891942349689</v>
      </c>
      <c r="HR115" s="471"/>
      <c r="HS115" s="470">
        <f>HS113-HS78</f>
        <v>1.9163654728574047</v>
      </c>
      <c r="HT115" s="471"/>
      <c r="HU115" s="470">
        <f>HU113-HU78</f>
        <v>1.9988440763539463</v>
      </c>
      <c r="HV115" s="471"/>
      <c r="HW115" s="470">
        <f>HW113-HW78</f>
        <v>1.8170497384132935</v>
      </c>
      <c r="HX115" s="471"/>
      <c r="HY115" s="470">
        <f>HY113-HY78</f>
        <v>1.1579364128099823</v>
      </c>
      <c r="HZ115" s="471"/>
      <c r="IA115" s="470">
        <f>IA113-IA78</f>
        <v>1.027875534455976</v>
      </c>
      <c r="IB115" s="471"/>
      <c r="IC115" s="470">
        <f>IC113-IC78</f>
        <v>2.0217380619816785</v>
      </c>
      <c r="ID115" s="471"/>
      <c r="IE115" s="470">
        <f>IE113-IE78</f>
        <v>2.1146795986857074</v>
      </c>
      <c r="IF115" s="471"/>
      <c r="IG115" s="470">
        <f>IG113-IG78</f>
        <v>2.082627211994152</v>
      </c>
      <c r="IH115" s="471"/>
      <c r="II115" s="470">
        <f>II113-II78</f>
        <v>1.9261983305655708</v>
      </c>
      <c r="IJ115" s="471"/>
      <c r="IK115" s="470">
        <f>IK113-IK78</f>
        <v>1.7629491187643813</v>
      </c>
      <c r="IL115" s="471"/>
      <c r="IM115" s="470">
        <f>IM113-IM78</f>
        <v>1.8541856228934726</v>
      </c>
      <c r="IN115" s="471"/>
      <c r="IO115" s="470">
        <f>IO113-IO78</f>
        <v>1.9419420844320707</v>
      </c>
      <c r="IP115" s="471"/>
      <c r="IQ115" s="470">
        <f>IQ113-IQ78</f>
        <v>2.0170013504950242</v>
      </c>
      <c r="IR115" s="471"/>
      <c r="IS115" s="470">
        <f>IS113-IS78</f>
        <v>1.9527808780410694</v>
      </c>
      <c r="IT115" s="471"/>
      <c r="IU115" s="470">
        <f>IU113-IU78</f>
        <v>1.8222698305173854</v>
      </c>
      <c r="IV115" s="471"/>
      <c r="IW115" s="470">
        <f>IW113-IW78</f>
        <v>1.1445623199003367</v>
      </c>
      <c r="IX115" s="471"/>
      <c r="IY115" s="470">
        <f>IY113-IY78</f>
        <v>1.1226404697649903</v>
      </c>
      <c r="IZ115" s="454"/>
      <c r="JA115" s="471"/>
      <c r="JB115" s="470">
        <f>JB113-JB78</f>
        <v>1.7033672135416671</v>
      </c>
      <c r="JC115" s="471"/>
      <c r="JD115" s="470">
        <f>JD113-JD78</f>
        <v>1.2047824050632912</v>
      </c>
      <c r="JE115" s="465"/>
      <c r="JF115" s="471"/>
      <c r="JG115" s="472"/>
      <c r="JH115" s="471"/>
      <c r="JI115" s="472"/>
      <c r="JJ115" s="471"/>
      <c r="JK115" s="470">
        <f>JK113-JK78</f>
        <v>0.63695940827312536</v>
      </c>
      <c r="JL115" s="471"/>
      <c r="JM115" s="472"/>
      <c r="JN115" s="471"/>
      <c r="JO115" s="472"/>
      <c r="JP115" s="471"/>
      <c r="JQ115" s="472"/>
      <c r="JR115" s="471"/>
      <c r="JS115" s="470">
        <f>JS113-JS78</f>
        <v>7.6545895396258223E-2</v>
      </c>
      <c r="JT115" s="285"/>
      <c r="JU115" s="470">
        <f>JU113-JU78</f>
        <v>0.33126580049261123</v>
      </c>
      <c r="JV115" s="465"/>
      <c r="JW115" s="470">
        <f>JW113-JW78</f>
        <v>0.92967493543042912</v>
      </c>
      <c r="JX115" s="465"/>
      <c r="JY115" s="470">
        <f>JY113-JY78</f>
        <v>0.57486510997067419</v>
      </c>
      <c r="JZ115" s="465"/>
      <c r="KA115" s="470">
        <f>KA113-KA78</f>
        <v>0.88481488735980685</v>
      </c>
      <c r="KB115" s="465"/>
      <c r="KC115" s="470">
        <f>KC113-KC78</f>
        <v>0.80770395900221936</v>
      </c>
      <c r="KD115" s="465"/>
      <c r="KE115" s="470">
        <f>KE113-KE78</f>
        <v>0.84789706334957715</v>
      </c>
      <c r="KF115" s="465"/>
      <c r="KG115" s="470">
        <f>KG113-KG78</f>
        <v>0.37193180148837934</v>
      </c>
      <c r="KH115" s="465"/>
      <c r="KI115" s="470">
        <f>KI113-KI78</f>
        <v>0.4151820566502461</v>
      </c>
      <c r="KJ115" s="465"/>
      <c r="KK115" s="470">
        <f>KK113-KK78</f>
        <v>0.75284439431258365</v>
      </c>
      <c r="KL115" s="465"/>
      <c r="KM115" s="470">
        <f>KM113-KM78</f>
        <v>0.82105662958877457</v>
      </c>
      <c r="KN115" s="465"/>
      <c r="KO115" s="470">
        <f>KO113-KO78</f>
        <v>1.063882495303877</v>
      </c>
      <c r="KP115" s="465"/>
      <c r="KQ115" s="470">
        <f>KQ113-KQ78</f>
        <v>0.88161505643843252</v>
      </c>
      <c r="KR115" s="465"/>
      <c r="KS115" s="470">
        <f>KS113-KS78</f>
        <v>1.1199415873631975</v>
      </c>
      <c r="KT115" s="465"/>
      <c r="KU115" s="470">
        <f>KU113-KU78</f>
        <v>1.1454116443556219</v>
      </c>
      <c r="KV115" s="465"/>
      <c r="KW115" s="470">
        <f>KW113-KW78</f>
        <v>1.3070708500120163</v>
      </c>
      <c r="KX115" s="465"/>
      <c r="KY115" s="470">
        <f>KY113-KY78</f>
        <v>1.4456269226903116</v>
      </c>
      <c r="KZ115" s="465"/>
      <c r="LA115" s="470">
        <f>LA113-LA78</f>
        <v>1.570107458591099</v>
      </c>
      <c r="LB115" s="465"/>
      <c r="LC115" s="470">
        <f>LC113-LC78</f>
        <v>0.95082925516573025</v>
      </c>
      <c r="LD115" s="465"/>
      <c r="LE115" s="470">
        <f>LE113-LE78</f>
        <v>0.90550493349802186</v>
      </c>
      <c r="LF115" s="465"/>
      <c r="LG115" s="470">
        <f>LG113-LG78</f>
        <v>0.44328064325940542</v>
      </c>
      <c r="LH115" s="465"/>
      <c r="LI115" s="470">
        <f>LI113-LI78</f>
        <v>1.0554023741033325</v>
      </c>
      <c r="LJ115" s="465"/>
      <c r="LK115" s="470">
        <f>LK113-LK78</f>
        <v>0.75585059383593722</v>
      </c>
      <c r="LL115" s="465"/>
      <c r="LM115" s="470">
        <f>LM113-LM78</f>
        <v>1.0740334664134759</v>
      </c>
      <c r="LN115" s="465"/>
      <c r="LO115" s="470">
        <f>LO113-LO78</f>
        <v>1.1645956093642011</v>
      </c>
      <c r="LP115" s="465"/>
      <c r="LQ115" s="470">
        <f>LQ113-LQ78</f>
        <v>1.031951270415935</v>
      </c>
      <c r="LR115" s="465"/>
      <c r="LS115" s="470">
        <f>LS113-LS78</f>
        <v>0.81690840676946364</v>
      </c>
      <c r="LT115" s="465"/>
      <c r="LU115" s="470">
        <f>LU113-LU78</f>
        <v>0.67467930102067708</v>
      </c>
      <c r="LV115" s="465"/>
      <c r="LW115" s="470">
        <f>LW113-LW78</f>
        <v>0.75193102539618351</v>
      </c>
      <c r="LX115" s="465"/>
      <c r="LY115" s="470">
        <f>LY113-LY78</f>
        <v>0.82842318509402935</v>
      </c>
      <c r="LZ115" s="465"/>
      <c r="MA115" s="470">
        <f>MA113-MA78</f>
        <v>0.89384794431777315</v>
      </c>
      <c r="MB115" s="465"/>
      <c r="MC115" s="470">
        <f>MC113-MC78</f>
        <v>0.86857328748264795</v>
      </c>
      <c r="MD115" s="465"/>
      <c r="ME115" s="470">
        <f>ME113-ME78</f>
        <v>1.3997225218699261</v>
      </c>
      <c r="MF115" s="465"/>
      <c r="MG115" s="470">
        <f>MG113-MG78</f>
        <v>0.28776096560846542</v>
      </c>
      <c r="MH115" s="465"/>
      <c r="MI115" s="471"/>
      <c r="MJ115" s="472"/>
      <c r="MK115" s="471"/>
      <c r="ML115" s="472"/>
      <c r="MM115" s="471"/>
      <c r="MN115" s="470">
        <f>MN113-MN78</f>
        <v>-7.4090190965400038E-2</v>
      </c>
      <c r="MO115" s="471"/>
      <c r="MP115" s="472"/>
      <c r="MQ115" s="471"/>
      <c r="MR115" s="472"/>
      <c r="MS115" s="471"/>
      <c r="MT115" s="472"/>
      <c r="MU115" s="471"/>
      <c r="MV115" s="470">
        <f>MV113-MV78</f>
        <v>-0.43913697847581923</v>
      </c>
      <c r="MW115" s="285"/>
      <c r="MX115" s="470">
        <f>MX113-MX78</f>
        <v>0.42256138576433677</v>
      </c>
      <c r="MY115" s="465"/>
      <c r="MZ115" s="470">
        <f>MZ113-MZ78</f>
        <v>1.1021959045382332</v>
      </c>
      <c r="NA115" s="465"/>
      <c r="NB115" s="470">
        <f>NB113-NB78</f>
        <v>0.85917471348816787</v>
      </c>
      <c r="NC115" s="465"/>
      <c r="ND115" s="470">
        <f>ND113-ND78</f>
        <v>1.0744832175835826</v>
      </c>
      <c r="NE115" s="465"/>
      <c r="NF115" s="470">
        <f>NF113-NF78</f>
        <v>1.1022822820022617</v>
      </c>
      <c r="NG115" s="465"/>
      <c r="NH115" s="470">
        <f>NH113-NH78</f>
        <v>1.0982721847524592</v>
      </c>
      <c r="NI115" s="465"/>
      <c r="NJ115" s="470">
        <f>NJ113-NJ78</f>
        <v>0.73829393656521292</v>
      </c>
      <c r="NK115" s="465"/>
      <c r="NL115" s="470">
        <f>NL113-NL78</f>
        <v>0.96476244857760685</v>
      </c>
      <c r="NM115" s="465"/>
      <c r="NN115" s="470">
        <f>NN113-NN78</f>
        <v>0.96476244857760685</v>
      </c>
      <c r="NO115" s="465"/>
      <c r="NP115" s="470">
        <f>NP113-NP78</f>
        <v>1.1332698424758996</v>
      </c>
      <c r="NQ115" s="465"/>
      <c r="NR115" s="470">
        <f>NR113-NR78</f>
        <v>1.379036834351588</v>
      </c>
      <c r="NS115" s="465"/>
      <c r="NT115" s="470">
        <f>NT113-NT78</f>
        <v>1.4459237196400938</v>
      </c>
      <c r="NU115" s="465"/>
      <c r="NV115" s="470">
        <f>NV113-NV78</f>
        <v>0.88397634037835349</v>
      </c>
      <c r="NW115" s="465"/>
      <c r="NX115" s="470">
        <f>NX113-NX78</f>
        <v>1.4224422773629288</v>
      </c>
      <c r="NY115" s="465"/>
      <c r="NZ115" s="470">
        <f>NZ113-NZ78</f>
        <v>1.225059263152442</v>
      </c>
      <c r="OA115" s="465"/>
      <c r="OB115" s="470">
        <f>OB113-OB78</f>
        <v>1.6387504095273795</v>
      </c>
      <c r="OC115" s="465"/>
      <c r="OD115" s="470">
        <f>OD113-OD78</f>
        <v>1.6809627299914518</v>
      </c>
      <c r="OE115" s="465"/>
      <c r="OF115" s="470">
        <f>OF113-OF78</f>
        <v>1.3424476376132579</v>
      </c>
      <c r="OG115" s="465"/>
      <c r="OH115" s="470">
        <f>OH113-OH78</f>
        <v>1.2536397439833322</v>
      </c>
      <c r="OI115" s="465"/>
      <c r="OJ115" s="470">
        <f>OJ113-OJ78</f>
        <v>1.0703105181323702</v>
      </c>
      <c r="OK115" s="465"/>
      <c r="OL115" s="470">
        <f>OL113-OL78</f>
        <v>1.279969040910043</v>
      </c>
      <c r="OM115" s="465"/>
      <c r="ON115" s="470">
        <f>ON113-ON78</f>
        <v>1.0559889825921542</v>
      </c>
      <c r="OO115" s="465"/>
      <c r="OP115" s="470">
        <f>OP113-OP78</f>
        <v>1.2016541223031736</v>
      </c>
      <c r="OQ115" s="465"/>
      <c r="OR115" s="470">
        <f>OR113-OR78</f>
        <v>1.2252143185073561</v>
      </c>
      <c r="OS115" s="465"/>
      <c r="OT115" s="470">
        <f>OT113-OT78</f>
        <v>1.1491535328986966</v>
      </c>
      <c r="OU115" s="465"/>
      <c r="OV115" s="470">
        <f>OV113-OV78</f>
        <v>0.57373308708056503</v>
      </c>
      <c r="OW115" s="465"/>
      <c r="OX115" s="470">
        <f>OX113-OX78</f>
        <v>0.43297265939219476</v>
      </c>
      <c r="OY115" s="465"/>
      <c r="OZ115" s="470">
        <f>OZ113-OZ78</f>
        <v>0.50942667142800491</v>
      </c>
      <c r="PA115" s="465"/>
      <c r="PB115" s="470">
        <f>PB113-PB78</f>
        <v>0.58512896215950483</v>
      </c>
      <c r="PC115" s="465"/>
      <c r="PD115" s="470">
        <f>PD113-PD78</f>
        <v>0.64987813597494504</v>
      </c>
      <c r="PE115" s="465"/>
      <c r="PF115" s="470">
        <f>PF113-PF78</f>
        <v>0.91830888978807867</v>
      </c>
      <c r="PG115" s="465"/>
      <c r="PH115" s="470">
        <f>PH113-PH78</f>
        <v>1.5092040103699043</v>
      </c>
      <c r="PI115" s="465"/>
      <c r="PJ115" s="470">
        <f>PJ113-PJ78</f>
        <v>1.5757680957170663</v>
      </c>
      <c r="PK115" s="465"/>
      <c r="PL115" s="470">
        <f>PL113-PL78</f>
        <v>1.5106926971445378</v>
      </c>
      <c r="PM115" s="465"/>
      <c r="PN115" s="470">
        <f>PN113-PN78</f>
        <v>0.97378772397174296</v>
      </c>
      <c r="PO115" s="465"/>
      <c r="PP115" s="470">
        <f>PP113-PP78</f>
        <v>-7.6212276028257087E-2</v>
      </c>
      <c r="PQ115" s="466"/>
      <c r="PR115" s="465"/>
      <c r="PS115" s="470">
        <f>PS113-PS78</f>
        <v>2.4590884272885276</v>
      </c>
      <c r="PT115" s="465"/>
      <c r="PU115" s="470">
        <f>PU113-PU78</f>
        <v>2.7526127692635161</v>
      </c>
      <c r="PV115" s="465"/>
      <c r="PW115" s="470">
        <f>PW113-PW78</f>
        <v>1.6594284272885269</v>
      </c>
      <c r="PX115" s="465"/>
      <c r="PY115" s="470">
        <f>PY113-PY78</f>
        <v>1.9529527692635154</v>
      </c>
      <c r="PZ115" s="465"/>
      <c r="QA115" s="470">
        <f>QA113-QA78</f>
        <v>0.11712617271584147</v>
      </c>
      <c r="QB115" s="465"/>
      <c r="QC115" s="470">
        <f>QC113-QC78</f>
        <v>0.41431956896551814</v>
      </c>
      <c r="QD115" s="466"/>
      <c r="QE115" s="466"/>
      <c r="QF115" s="465"/>
      <c r="QG115" s="470">
        <f>QG113-QG78</f>
        <v>2.6563164729672204</v>
      </c>
      <c r="QH115" s="465"/>
      <c r="QI115" s="470">
        <f>QI113-QI78</f>
        <v>2.9279214112388252</v>
      </c>
      <c r="QJ115" s="465"/>
      <c r="QK115" s="470">
        <f>QK113-QK78</f>
        <v>1.8566564729672204</v>
      </c>
      <c r="QL115" s="465"/>
      <c r="QM115" s="470">
        <f>QM113-QM78</f>
        <v>2.1282614112388245</v>
      </c>
      <c r="QN115" s="465"/>
      <c r="QO115" s="470">
        <f>QO113-QO78</f>
        <v>1.8566564729672197</v>
      </c>
      <c r="QP115" s="465"/>
      <c r="QQ115" s="470">
        <f>QQ113-QQ78</f>
        <v>2.1282614112388245</v>
      </c>
    </row>
    <row r="116" spans="1:459" x14ac:dyDescent="0.45">
      <c r="A116" s="871"/>
      <c r="B116" s="483" t="s">
        <v>415</v>
      </c>
      <c r="C116" s="481"/>
      <c r="D116" s="482"/>
      <c r="E116" s="460"/>
      <c r="F116" s="471"/>
      <c r="G116" s="472"/>
      <c r="H116" s="471"/>
      <c r="I116" s="472"/>
      <c r="J116" s="471"/>
      <c r="K116" s="472"/>
      <c r="L116" s="471"/>
      <c r="M116" s="472"/>
      <c r="N116" s="471"/>
      <c r="O116" s="472"/>
      <c r="P116" s="471"/>
      <c r="Q116" s="472">
        <f>Q115/Q60</f>
        <v>0.13900210779540834</v>
      </c>
      <c r="R116" s="471"/>
      <c r="S116" s="472"/>
      <c r="T116" s="471"/>
      <c r="U116" s="472"/>
      <c r="V116" s="471"/>
      <c r="W116" s="472"/>
      <c r="X116" s="471"/>
      <c r="Y116" s="472"/>
      <c r="Z116" s="471"/>
      <c r="AA116" s="472"/>
      <c r="AB116" s="471"/>
      <c r="AC116" s="472">
        <f>AC115/AC60</f>
        <v>5.6007360457685097E-2</v>
      </c>
      <c r="AD116" s="471"/>
      <c r="AE116" s="472">
        <f>AE115/AE60</f>
        <v>7.3883705762250368E-2</v>
      </c>
      <c r="AF116" s="471"/>
      <c r="AG116" s="472">
        <f>AG115/AG60</f>
        <v>0.20151301365839619</v>
      </c>
      <c r="AH116" s="471"/>
      <c r="AI116" s="472">
        <f>AI115/AI60</f>
        <v>0.18162400077815502</v>
      </c>
      <c r="AJ116" s="471"/>
      <c r="AK116" s="472">
        <f>AK115/AK60</f>
        <v>0.21284162666240522</v>
      </c>
      <c r="AL116" s="471"/>
      <c r="AM116" s="472">
        <f>AM115/AM60</f>
        <v>0.19594544044729656</v>
      </c>
      <c r="AN116" s="471"/>
      <c r="AO116" s="472">
        <f>AO115/AO60</f>
        <v>0.18120364720872625</v>
      </c>
      <c r="AP116" s="471"/>
      <c r="AQ116" s="472">
        <f>AQ115/AQ60</f>
        <v>0.15994448115159154</v>
      </c>
      <c r="AR116" s="471"/>
      <c r="AS116" s="472">
        <f>AS115/AS60</f>
        <v>0.17903578739042486</v>
      </c>
      <c r="AT116" s="471"/>
      <c r="AU116" s="472">
        <f>AU115/AU60</f>
        <v>0.17903578739042486</v>
      </c>
      <c r="AV116" s="471"/>
      <c r="AW116" s="472">
        <f>AW115/AW60</f>
        <v>0.21163161429982258</v>
      </c>
      <c r="AX116" s="471"/>
      <c r="AY116" s="472">
        <f>AY115/AY60</f>
        <v>0.24478581241337194</v>
      </c>
      <c r="AZ116" s="471"/>
      <c r="BA116" s="472">
        <f>BA115/BA60</f>
        <v>0.25493073021080831</v>
      </c>
      <c r="BB116" s="471"/>
      <c r="BC116" s="472">
        <f>BC115/BC60</f>
        <v>0.25523580681954106</v>
      </c>
      <c r="BD116" s="471"/>
      <c r="BE116" s="472">
        <f>BE115/BE60</f>
        <v>0.25706085226426145</v>
      </c>
      <c r="BF116" s="471"/>
      <c r="BG116" s="472">
        <f>BG115/BG60</f>
        <v>0.28664955578621287</v>
      </c>
      <c r="BH116" s="471"/>
      <c r="BI116" s="472">
        <f>BI115/BI60</f>
        <v>0.31285031442272337</v>
      </c>
      <c r="BJ116" s="471"/>
      <c r="BK116" s="472">
        <f>BK115/BK60</f>
        <v>0.31684246558106705</v>
      </c>
      <c r="BL116" s="471"/>
      <c r="BM116" s="472">
        <f>BM115/BM60</f>
        <v>0.25617165879089093</v>
      </c>
      <c r="BN116" s="471"/>
      <c r="BO116" s="472">
        <f>BO115/BO60</f>
        <v>0.24313851142620632</v>
      </c>
      <c r="BP116" s="471"/>
      <c r="BQ116" s="472">
        <f>BQ115/BQ60</f>
        <v>0.22512019879549011</v>
      </c>
      <c r="BR116" s="471"/>
      <c r="BS116" s="472">
        <f>BS115/BS60</f>
        <v>0.27177686986774258</v>
      </c>
      <c r="BT116" s="471"/>
      <c r="BU116" s="472">
        <f>BU115/BU60</f>
        <v>0.24640106467407469</v>
      </c>
      <c r="BV116" s="471"/>
      <c r="BW116" s="472">
        <f>BW115/BW60</f>
        <v>0.24333499287359228</v>
      </c>
      <c r="BX116" s="471"/>
      <c r="BY116" s="472">
        <f>BY115/BY60</f>
        <v>0.2766927567166676</v>
      </c>
      <c r="BZ116" s="471"/>
      <c r="CA116" s="472">
        <f>CA115/CA60</f>
        <v>0.25924332782593484</v>
      </c>
      <c r="CB116" s="471"/>
      <c r="CC116" s="472">
        <f>CC115/CC60</f>
        <v>0.29029916692336399</v>
      </c>
      <c r="CD116" s="471"/>
      <c r="CE116" s="472">
        <f>CE115/CE60</f>
        <v>0.27336820897419262</v>
      </c>
      <c r="CF116" s="471"/>
      <c r="CG116" s="472">
        <f>CG115/CG60</f>
        <v>0.22039861552454951</v>
      </c>
      <c r="CH116" s="471"/>
      <c r="CI116" s="472">
        <f>CI115/CI60</f>
        <v>0.23048501858357381</v>
      </c>
      <c r="CJ116" s="471"/>
      <c r="CK116" s="472">
        <f>CK115/CK60</f>
        <v>0.2391120529643129</v>
      </c>
      <c r="CL116" s="471"/>
      <c r="CM116" s="472">
        <f>CM115/CM60</f>
        <v>0.25166554349532072</v>
      </c>
      <c r="CN116" s="471"/>
      <c r="CO116" s="472">
        <f>CO115/CO60</f>
        <v>0.12966345527422651</v>
      </c>
      <c r="CP116" s="471"/>
      <c r="CQ116" s="472">
        <f>CQ115/CQ60</f>
        <v>0.20086101635260986</v>
      </c>
      <c r="CR116" s="471"/>
      <c r="CS116" s="472">
        <f>CS115/CS60</f>
        <v>0.23616803389646956</v>
      </c>
      <c r="CT116" s="464"/>
      <c r="CU116" s="471"/>
      <c r="CV116" s="472">
        <f>CV115/CV60</f>
        <v>0.12655595393286748</v>
      </c>
      <c r="CW116" s="471"/>
      <c r="CX116" s="472">
        <f>CX115/CX60</f>
        <v>0.16717777351767915</v>
      </c>
      <c r="CY116" s="471"/>
      <c r="CZ116" s="472">
        <f>CZ115/CZ60</f>
        <v>0.16779700411359524</v>
      </c>
      <c r="DA116" s="471"/>
      <c r="DB116" s="472">
        <f>DB115/DB60</f>
        <v>-1.5123954198815674E-2</v>
      </c>
      <c r="DC116" s="471"/>
      <c r="DD116" s="472">
        <f>DD115/DD60</f>
        <v>5.2830922233010363E-2</v>
      </c>
      <c r="DE116" s="471"/>
      <c r="DF116" s="472">
        <f>DF115/DF60</f>
        <v>0.17936007610628982</v>
      </c>
      <c r="DG116" s="471"/>
      <c r="DH116" s="472">
        <f>DH115/DH60</f>
        <v>0.13730307663681321</v>
      </c>
      <c r="DI116" s="471"/>
      <c r="DJ116" s="472">
        <f>DJ115/DJ60</f>
        <v>0.19682661350357261</v>
      </c>
      <c r="DK116" s="471"/>
      <c r="DL116" s="472">
        <f>DL115/DL60</f>
        <v>0.1643664740796551</v>
      </c>
      <c r="DM116" s="471"/>
      <c r="DN116" s="472">
        <f>DN115/DN60</f>
        <v>0.16861952917116196</v>
      </c>
      <c r="DO116" s="471"/>
      <c r="DP116" s="472">
        <f>DP115/DP60</f>
        <v>0.17398133599871846</v>
      </c>
      <c r="DQ116" s="471"/>
      <c r="DR116" s="472">
        <f>DR115/DR60</f>
        <v>0.11480874389486673</v>
      </c>
      <c r="DS116" s="471"/>
      <c r="DT116" s="472">
        <f>DT115/DT60</f>
        <v>0.16279259179345101</v>
      </c>
      <c r="DU116" s="471"/>
      <c r="DV116" s="472">
        <f>DV115/DV60</f>
        <v>0.1977464247733636</v>
      </c>
      <c r="DW116" s="471"/>
      <c r="DX116" s="472">
        <f>DX115/DX60</f>
        <v>0.20253056190739616</v>
      </c>
      <c r="DY116" s="471"/>
      <c r="DZ116" s="472">
        <f>DZ115/DZ60</f>
        <v>0.22710618434914245</v>
      </c>
      <c r="EA116" s="471"/>
      <c r="EB116" s="472">
        <f>EB115/EB60</f>
        <v>0.21048799327899043</v>
      </c>
      <c r="EC116" s="471"/>
      <c r="ED116" s="472">
        <f>ED115/ED60</f>
        <v>0.23568509908355897</v>
      </c>
      <c r="EE116" s="471"/>
      <c r="EF116" s="472">
        <f>EF115/EF60</f>
        <v>0.25002794377379445</v>
      </c>
      <c r="EG116" s="471"/>
      <c r="EH116" s="472">
        <f>EH115/EH60</f>
        <v>0.24446221106382673</v>
      </c>
      <c r="EI116" s="471"/>
      <c r="EJ116" s="472">
        <f>EJ115/EJ60</f>
        <v>0.24041252453831358</v>
      </c>
      <c r="EK116" s="471"/>
      <c r="EL116" s="472">
        <f>EL115/EL60</f>
        <v>0.2731677499078401</v>
      </c>
      <c r="EM116" s="471"/>
      <c r="EN116" s="472">
        <f>EN115/EN60</f>
        <v>0.30638499202070019</v>
      </c>
      <c r="EO116" s="471"/>
      <c r="EP116" s="472">
        <f>EP115/EP60</f>
        <v>0.24519975375438072</v>
      </c>
      <c r="EQ116" s="471"/>
      <c r="ER116" s="472">
        <f>ER115/ER60</f>
        <v>0.30533022502637103</v>
      </c>
      <c r="ES116" s="471"/>
      <c r="ET116" s="472">
        <f>ET115/ET60</f>
        <v>0.28350994970016064</v>
      </c>
      <c r="EU116" s="471"/>
      <c r="EV116" s="472">
        <f>EV115/EV60</f>
        <v>0.29184380184753761</v>
      </c>
      <c r="EW116" s="471"/>
      <c r="EX116" s="472">
        <f>EX115/EX60</f>
        <v>0.29964811546123288</v>
      </c>
      <c r="EY116" s="471"/>
      <c r="EZ116" s="472">
        <f>EZ115/EZ60</f>
        <v>0.28380269605422365</v>
      </c>
      <c r="FA116" s="471"/>
      <c r="FB116" s="472">
        <f>FB115/FB60</f>
        <v>0.24533681997831935</v>
      </c>
      <c r="FC116" s="471"/>
      <c r="FD116" s="472">
        <f>FD115/FD60</f>
        <v>0.26450125031796035</v>
      </c>
      <c r="FE116" s="471"/>
      <c r="FF116" s="472">
        <f>FF115/FF60</f>
        <v>0.32635419875957</v>
      </c>
      <c r="FG116" s="471"/>
      <c r="FH116" s="472">
        <f>FH115/FH60</f>
        <v>0.30096207513531364</v>
      </c>
      <c r="FI116" s="471"/>
      <c r="FJ116" s="472">
        <f>FJ115/FJ60</f>
        <v>0.2887548417243877</v>
      </c>
      <c r="FK116" s="471"/>
      <c r="FL116" s="472">
        <f>FL115/FL60</f>
        <v>0.28685225780191742</v>
      </c>
      <c r="FM116" s="471"/>
      <c r="FN116" s="472">
        <f>FN115/FN60</f>
        <v>0.28267451202913285</v>
      </c>
      <c r="FO116" s="471"/>
      <c r="FP116" s="472">
        <f>FP115/FP60</f>
        <v>0.24793196627337125</v>
      </c>
      <c r="FQ116" s="465"/>
      <c r="FR116" s="471"/>
      <c r="FS116" s="472"/>
      <c r="FT116" s="471"/>
      <c r="FU116" s="472"/>
      <c r="FV116" s="471"/>
      <c r="FW116" s="472">
        <f>FW115/FW60</f>
        <v>7.1452406670603494E-3</v>
      </c>
      <c r="FX116" s="471"/>
      <c r="FY116" s="472"/>
      <c r="FZ116" s="471"/>
      <c r="GA116" s="472"/>
      <c r="GB116" s="471"/>
      <c r="GC116" s="472"/>
      <c r="GD116" s="471"/>
      <c r="GE116" s="472"/>
      <c r="GF116" s="471"/>
      <c r="GG116" s="472"/>
      <c r="GH116" s="471"/>
      <c r="GI116" s="472">
        <f>GI115/GI60</f>
        <v>1.6267789683631483E-2</v>
      </c>
      <c r="GJ116" s="471"/>
      <c r="GK116" s="472">
        <f>GK115/GK60</f>
        <v>3.420016734279914E-2</v>
      </c>
      <c r="GL116" s="471"/>
      <c r="GM116" s="472">
        <f>GM115/GM60</f>
        <v>0.1559118973734972</v>
      </c>
      <c r="GN116" s="471"/>
      <c r="GO116" s="472">
        <f>GO115/GO60</f>
        <v>0.13968270240354211</v>
      </c>
      <c r="GP116" s="471"/>
      <c r="GQ116" s="472">
        <f>GQ115/GQ60</f>
        <v>0.16598392592049199</v>
      </c>
      <c r="GR116" s="471"/>
      <c r="GS116" s="472">
        <f>GS115/GS60</f>
        <v>0.14869573064925448</v>
      </c>
      <c r="GT116" s="471"/>
      <c r="GU116" s="472">
        <f>GU115/GU60</f>
        <v>0.15560087119843952</v>
      </c>
      <c r="GV116" s="471"/>
      <c r="GW116" s="472">
        <f>GW115/GW60</f>
        <v>5.6384719097478678E-2</v>
      </c>
      <c r="GX116" s="471"/>
      <c r="GY116" s="472">
        <f>GY115/GY60</f>
        <v>7.6390836713995977E-2</v>
      </c>
      <c r="GZ116" s="471"/>
      <c r="HA116" s="472">
        <f>HA115/HA60</f>
        <v>0.11621926808654501</v>
      </c>
      <c r="HB116" s="471"/>
      <c r="HC116" s="472">
        <f>HC115/HC60</f>
        <v>0.1137149493238669</v>
      </c>
      <c r="HD116" s="471"/>
      <c r="HE116" s="472">
        <f>HE115/HE60</f>
        <v>0.19674707085938953</v>
      </c>
      <c r="HF116" s="471"/>
      <c r="HG116" s="472">
        <f>HG115/HG60</f>
        <v>0.18993541249719967</v>
      </c>
      <c r="HH116" s="471"/>
      <c r="HI116" s="472">
        <f>HI115/HI60</f>
        <v>0.19844989847747804</v>
      </c>
      <c r="HJ116" s="471"/>
      <c r="HK116" s="472">
        <f>HK115/HK60</f>
        <v>0.20295646163548564</v>
      </c>
      <c r="HL116" s="471"/>
      <c r="HM116" s="472">
        <f>HM115/HM60</f>
        <v>0.22635821726048005</v>
      </c>
      <c r="HN116" s="471"/>
      <c r="HO116" s="472">
        <f>HO115/HO60</f>
        <v>0.22316507242010891</v>
      </c>
      <c r="HP116" s="471"/>
      <c r="HQ116" s="472">
        <f>HQ115/HQ60</f>
        <v>0.21892846380584577</v>
      </c>
      <c r="HR116" s="471"/>
      <c r="HS116" s="472">
        <f>HS115/HS60</f>
        <v>0.22545476151263585</v>
      </c>
      <c r="HT116" s="471"/>
      <c r="HU116" s="472">
        <f>HU115/HU60</f>
        <v>0.23515812662987604</v>
      </c>
      <c r="HV116" s="471"/>
      <c r="HW116" s="472">
        <f>HW115/HW60</f>
        <v>0.21377055746038748</v>
      </c>
      <c r="HX116" s="471"/>
      <c r="HY116" s="472">
        <f>HY115/HY60</f>
        <v>0.13622781327176262</v>
      </c>
      <c r="HZ116" s="471"/>
      <c r="IA116" s="472">
        <f>IA115/IA60</f>
        <v>0.12092653346540894</v>
      </c>
      <c r="IB116" s="471"/>
      <c r="IC116" s="472">
        <f>IC115/IC60</f>
        <v>0.23785153670372688</v>
      </c>
      <c r="ID116" s="471"/>
      <c r="IE116" s="472">
        <f>IE115/IE60</f>
        <v>0.24878583513949498</v>
      </c>
      <c r="IF116" s="471"/>
      <c r="IG116" s="472">
        <f>IG115/IG60</f>
        <v>0.24501496611695905</v>
      </c>
      <c r="IH116" s="471"/>
      <c r="II116" s="472">
        <f>II115/II60</f>
        <v>0.22661156830183185</v>
      </c>
      <c r="IJ116" s="471"/>
      <c r="IK116" s="472">
        <f>IK115/IK60</f>
        <v>0.20740577867816251</v>
      </c>
      <c r="IL116" s="471"/>
      <c r="IM116" s="472">
        <f>IM115/IM60</f>
        <v>0.21813948504629088</v>
      </c>
      <c r="IN116" s="471"/>
      <c r="IO116" s="472">
        <f>IO115/IO60</f>
        <v>0.22846377463906714</v>
      </c>
      <c r="IP116" s="471"/>
      <c r="IQ116" s="472">
        <f>IQ115/IQ60</f>
        <v>0.23729427652882637</v>
      </c>
      <c r="IR116" s="471"/>
      <c r="IS116" s="472">
        <f>IS115/IS60</f>
        <v>0.22973892682836111</v>
      </c>
      <c r="IT116" s="471"/>
      <c r="IU116" s="472">
        <f>IU115/IU60</f>
        <v>0.21438468594322183</v>
      </c>
      <c r="IV116" s="471"/>
      <c r="IW116" s="472">
        <f>IW115/IW60</f>
        <v>0.13465439057651021</v>
      </c>
      <c r="IX116" s="471"/>
      <c r="IY116" s="472">
        <f>IY115/IY60</f>
        <v>0.1320753493841165</v>
      </c>
      <c r="IZ116" s="460"/>
      <c r="JA116" s="471"/>
      <c r="JB116" s="472">
        <f>JB115/JB60</f>
        <v>0.2003961427696079</v>
      </c>
      <c r="JC116" s="471"/>
      <c r="JD116" s="472">
        <f>JD115/JD60</f>
        <v>0.14173910647803425</v>
      </c>
      <c r="JE116" s="465"/>
      <c r="JF116" s="471"/>
      <c r="JG116" s="472"/>
      <c r="JH116" s="471"/>
      <c r="JI116" s="472"/>
      <c r="JJ116" s="471"/>
      <c r="JK116" s="472">
        <f>JK115/JK60</f>
        <v>0.10110466797986117</v>
      </c>
      <c r="JL116" s="471"/>
      <c r="JM116" s="472"/>
      <c r="JN116" s="471"/>
      <c r="JO116" s="472"/>
      <c r="JP116" s="471"/>
      <c r="JQ116" s="472"/>
      <c r="JR116" s="471"/>
      <c r="JS116" s="472">
        <f>JS115/JS60</f>
        <v>1.125674932297915E-2</v>
      </c>
      <c r="JT116" s="285"/>
      <c r="JU116" s="472">
        <f>JU115/JU60</f>
        <v>4.871555889597224E-2</v>
      </c>
      <c r="JV116" s="465"/>
      <c r="JW116" s="472">
        <f>JW115/JW60</f>
        <v>0.13671690226918076</v>
      </c>
      <c r="JX116" s="465"/>
      <c r="JY116" s="472">
        <f>JY115/JY60</f>
        <v>8.4538986760393273E-2</v>
      </c>
      <c r="JZ116" s="465"/>
      <c r="KA116" s="472">
        <f>KA115/KA60</f>
        <v>0.1301198363764422</v>
      </c>
      <c r="KB116" s="465"/>
      <c r="KC116" s="472">
        <f>KC115/KC60</f>
        <v>0.11877999397091461</v>
      </c>
      <c r="KD116" s="465"/>
      <c r="KE116" s="472">
        <f>KE115/KE60</f>
        <v>0.12469074461023194</v>
      </c>
      <c r="KF116" s="465"/>
      <c r="KG116" s="472">
        <f>KG115/KG60</f>
        <v>5.4695853160055791E-2</v>
      </c>
      <c r="KH116" s="465"/>
      <c r="KI116" s="472">
        <f>KI115/KI60</f>
        <v>6.1056184801506784E-2</v>
      </c>
      <c r="KJ116" s="465"/>
      <c r="KK116" s="472">
        <f>KK115/KK60</f>
        <v>0.11071241092832113</v>
      </c>
      <c r="KL116" s="465"/>
      <c r="KM116" s="472">
        <f>KM115/KM60</f>
        <v>0.1207436219983492</v>
      </c>
      <c r="KN116" s="465"/>
      <c r="KO116" s="472">
        <f>KO115/KO60</f>
        <v>0.1564533081329231</v>
      </c>
      <c r="KP116" s="465"/>
      <c r="KQ116" s="472">
        <f>KQ115/KQ60</f>
        <v>0.12964927300565185</v>
      </c>
      <c r="KR116" s="465"/>
      <c r="KS116" s="472">
        <f>KS115/KS60</f>
        <v>0.16469729225929375</v>
      </c>
      <c r="KT116" s="465"/>
      <c r="KU116" s="472">
        <f>KU115/KU60</f>
        <v>0.16844288887582676</v>
      </c>
      <c r="KV116" s="465"/>
      <c r="KW116" s="472">
        <f>KW115/KW60</f>
        <v>0.19221630147235533</v>
      </c>
      <c r="KX116" s="465"/>
      <c r="KY116" s="472">
        <f>KY115/KY60</f>
        <v>0.21259219451328112</v>
      </c>
      <c r="KZ116" s="465"/>
      <c r="LA116" s="472">
        <f>LA115/LA60</f>
        <v>0.23089815567516161</v>
      </c>
      <c r="LB116" s="465"/>
      <c r="LC116" s="472">
        <f>LC115/LC60</f>
        <v>0.13982783164201915</v>
      </c>
      <c r="LD116" s="465"/>
      <c r="LE116" s="472">
        <f>LE115/LE60</f>
        <v>0.13316249022029733</v>
      </c>
      <c r="LF116" s="465"/>
      <c r="LG116" s="472">
        <f>LG115/LG60</f>
        <v>6.5188329891089039E-2</v>
      </c>
      <c r="LH116" s="465"/>
      <c r="LI116" s="472">
        <f>LI115/LI60</f>
        <v>0.15520623148578419</v>
      </c>
      <c r="LJ116" s="465"/>
      <c r="LK116" s="472">
        <f>LK115/LK60</f>
        <v>0.11115449909352018</v>
      </c>
      <c r="LL116" s="465"/>
      <c r="LM116" s="472">
        <f>LM115/LM60</f>
        <v>0.15794609800198176</v>
      </c>
      <c r="LN116" s="465"/>
      <c r="LO116" s="472">
        <f>LO115/LO60</f>
        <v>0.17126406020061782</v>
      </c>
      <c r="LP116" s="465"/>
      <c r="LQ116" s="472">
        <f>LQ115/LQ60</f>
        <v>0.15175753976704928</v>
      </c>
      <c r="LR116" s="465"/>
      <c r="LS116" s="472">
        <f>LS115/LS60</f>
        <v>0.12013358923080347</v>
      </c>
      <c r="LT116" s="465"/>
      <c r="LU116" s="472">
        <f>LU115/LU60</f>
        <v>9.9217544267746635E-2</v>
      </c>
      <c r="LV116" s="465"/>
      <c r="LW116" s="472">
        <f>LW115/LW60</f>
        <v>0.11057809197002699</v>
      </c>
      <c r="LX116" s="465"/>
      <c r="LY116" s="472">
        <f>LY115/LY60</f>
        <v>0.12182693898441609</v>
      </c>
      <c r="LZ116" s="465"/>
      <c r="MA116" s="472">
        <f>MA115/MA60</f>
        <v>0.13144822710555487</v>
      </c>
      <c r="MB116" s="465"/>
      <c r="MC116" s="472">
        <f>MC115/MC60</f>
        <v>0.12773136580627176</v>
      </c>
      <c r="MD116" s="465"/>
      <c r="ME116" s="472">
        <f>ME115/ME60</f>
        <v>0.20584154733381266</v>
      </c>
      <c r="MF116" s="465"/>
      <c r="MG116" s="472">
        <f>MG115/MG60</f>
        <v>4.2317789060068445E-2</v>
      </c>
      <c r="MH116" s="465"/>
      <c r="MI116" s="471"/>
      <c r="MJ116" s="472"/>
      <c r="MK116" s="471"/>
      <c r="ML116" s="472"/>
      <c r="MM116" s="471"/>
      <c r="MN116" s="472">
        <f>MN115/MN60</f>
        <v>-1.2998279116736849E-2</v>
      </c>
      <c r="MO116" s="471"/>
      <c r="MP116" s="472"/>
      <c r="MQ116" s="471"/>
      <c r="MR116" s="472"/>
      <c r="MS116" s="471"/>
      <c r="MT116" s="472"/>
      <c r="MU116" s="471"/>
      <c r="MV116" s="472">
        <f>MV115/MV60</f>
        <v>-7.1989668602593315E-2</v>
      </c>
      <c r="MW116" s="285"/>
      <c r="MX116" s="472">
        <f>MX115/MX60</f>
        <v>6.2141380259461289E-2</v>
      </c>
      <c r="MY116" s="465"/>
      <c r="MZ116" s="472">
        <f>MZ115/MZ60</f>
        <v>0.16208763302032841</v>
      </c>
      <c r="NA116" s="465"/>
      <c r="NB116" s="472">
        <f>NB115/NB60</f>
        <v>0.1263492225717894</v>
      </c>
      <c r="NC116" s="465"/>
      <c r="ND116" s="472">
        <f>ND115/ND60</f>
        <v>0.15801223787993862</v>
      </c>
      <c r="NE116" s="465"/>
      <c r="NF116" s="472">
        <f>NF115/NF60</f>
        <v>0.1621003355885679</v>
      </c>
      <c r="NG116" s="465"/>
      <c r="NH116" s="472">
        <f>NH115/NH60</f>
        <v>0.16151061540477343</v>
      </c>
      <c r="NI116" s="465"/>
      <c r="NJ116" s="472">
        <f>NJ115/NJ60</f>
        <v>0.10857263773017838</v>
      </c>
      <c r="NK116" s="465"/>
      <c r="NL116" s="472">
        <f>NL115/NL60</f>
        <v>0.14187683067317747</v>
      </c>
      <c r="NM116" s="465"/>
      <c r="NN116" s="472">
        <f>NN115/NN60</f>
        <v>0.14187683067317747</v>
      </c>
      <c r="NO116" s="465"/>
      <c r="NP116" s="472">
        <f>NP115/NP60</f>
        <v>0.16665732977586759</v>
      </c>
      <c r="NQ116" s="465"/>
      <c r="NR116" s="472">
        <f>NR115/NR60</f>
        <v>0.20279953446346882</v>
      </c>
      <c r="NS116" s="465"/>
      <c r="NT116" s="472">
        <f>NT115/NT60</f>
        <v>0.21263584112354322</v>
      </c>
      <c r="NU116" s="465"/>
      <c r="NV116" s="472">
        <f>NV115/NV60</f>
        <v>0.12999652064387551</v>
      </c>
      <c r="NW116" s="465"/>
      <c r="NX116" s="472">
        <f>NX115/NX60</f>
        <v>0.20918268784748953</v>
      </c>
      <c r="NY116" s="465"/>
      <c r="NZ116" s="472">
        <f>NZ115/NZ60</f>
        <v>0.18015577399300617</v>
      </c>
      <c r="OA116" s="465"/>
      <c r="OB116" s="472">
        <f>OB115/OB60</f>
        <v>0.24099270728343816</v>
      </c>
      <c r="OC116" s="465"/>
      <c r="OD116" s="472">
        <f>OD115/OD60</f>
        <v>0.24720040146933114</v>
      </c>
      <c r="OE116" s="465"/>
      <c r="OF116" s="472">
        <f>OF115/OF60</f>
        <v>0.19741877023724383</v>
      </c>
      <c r="OG116" s="465"/>
      <c r="OH116" s="472">
        <f>OH115/OH60</f>
        <v>0.18435878587990182</v>
      </c>
      <c r="OI116" s="465"/>
      <c r="OJ116" s="472">
        <f>OJ115/OJ60</f>
        <v>0.1573986056077015</v>
      </c>
      <c r="OK116" s="465"/>
      <c r="OL116" s="472">
        <f>OL115/OL60</f>
        <v>0.18823074131030046</v>
      </c>
      <c r="OM116" s="465"/>
      <c r="ON116" s="472">
        <f>ON115/ON60</f>
        <v>0.15529249744002269</v>
      </c>
      <c r="OO116" s="465"/>
      <c r="OP116" s="472">
        <f>OP115/OP60</f>
        <v>0.17671384151517258</v>
      </c>
      <c r="OQ116" s="465"/>
      <c r="OR116" s="472">
        <f>OR115/OR60</f>
        <v>0.18017857625108177</v>
      </c>
      <c r="OS116" s="465"/>
      <c r="OT116" s="472">
        <f>OT115/OT60</f>
        <v>0.16899316660274952</v>
      </c>
      <c r="OU116" s="465"/>
      <c r="OV116" s="472">
        <f>OV115/OV60</f>
        <v>8.4372512805965444E-2</v>
      </c>
      <c r="OW116" s="465"/>
      <c r="OX116" s="472">
        <f>OX115/OX60</f>
        <v>6.367244991061688E-2</v>
      </c>
      <c r="OY116" s="465"/>
      <c r="OZ116" s="472">
        <f>OZ115/OZ60</f>
        <v>7.4915686974706602E-2</v>
      </c>
      <c r="PA116" s="465"/>
      <c r="PB116" s="472">
        <f>PB115/PB60</f>
        <v>8.6048376788162476E-2</v>
      </c>
      <c r="PC116" s="465"/>
      <c r="PD116" s="472">
        <f>PD115/PD60</f>
        <v>9.557031411396251E-2</v>
      </c>
      <c r="PE116" s="465"/>
      <c r="PF116" s="472">
        <f>PF115/PF60</f>
        <v>0.13504542496883509</v>
      </c>
      <c r="PG116" s="465"/>
      <c r="PH116" s="472">
        <f>PH115/PH60</f>
        <v>0.22194176623086828</v>
      </c>
      <c r="PI116" s="465"/>
      <c r="PJ116" s="472">
        <f>PJ115/PJ60</f>
        <v>0.2317306023113333</v>
      </c>
      <c r="PK116" s="465"/>
      <c r="PL116" s="472">
        <f>PL115/PL60</f>
        <v>0.22216069075654968</v>
      </c>
      <c r="PM116" s="465"/>
      <c r="PN116" s="472">
        <f>PN115/PN60</f>
        <v>0.14320407705466809</v>
      </c>
      <c r="PO116" s="465"/>
      <c r="PP116" s="472">
        <f>PP115/PP60</f>
        <v>-1.1207687651214278E-2</v>
      </c>
      <c r="PQ116" s="466"/>
      <c r="PR116" s="465"/>
      <c r="PS116" s="472">
        <f>PS115/PS60</f>
        <v>0.31127701611247183</v>
      </c>
      <c r="PT116" s="465"/>
      <c r="PU116" s="472">
        <f>PU115/PU60</f>
        <v>0.34843199610930581</v>
      </c>
      <c r="PV116" s="465"/>
      <c r="PW116" s="472">
        <f>PW115/PW60</f>
        <v>0.21005423130234516</v>
      </c>
      <c r="PX116" s="465"/>
      <c r="PY116" s="472">
        <f>PY115/PY60</f>
        <v>0.24720921129917914</v>
      </c>
      <c r="PZ116" s="465"/>
      <c r="QA116" s="472">
        <f>QA115/QA60</f>
        <v>1.482609781213183E-2</v>
      </c>
      <c r="QB116" s="465"/>
      <c r="QC116" s="472">
        <f>QC115/QC60</f>
        <v>5.2445515058926341E-2</v>
      </c>
      <c r="QD116" s="466"/>
      <c r="QE116" s="466"/>
      <c r="QF116" s="465"/>
      <c r="QG116" s="472">
        <f>QG115/QG60</f>
        <v>0.33624259151483799</v>
      </c>
      <c r="QH116" s="465"/>
      <c r="QI116" s="472">
        <f>QI115/QI60</f>
        <v>0.37062296344795254</v>
      </c>
      <c r="QJ116" s="465"/>
      <c r="QK116" s="472">
        <f>QK115/QK60</f>
        <v>0.23501980670471143</v>
      </c>
      <c r="QL116" s="465"/>
      <c r="QM116" s="472">
        <f>QM115/QM60</f>
        <v>0.26940017863782589</v>
      </c>
      <c r="QN116" s="465"/>
      <c r="QO116" s="472">
        <f>QO115/QO60</f>
        <v>0.26150091168552392</v>
      </c>
      <c r="QP116" s="465"/>
      <c r="QQ116" s="472">
        <f>QQ115/QQ60</f>
        <v>0.29975512834349644</v>
      </c>
    </row>
    <row r="117" spans="1:459" x14ac:dyDescent="0.45">
      <c r="A117" s="871"/>
      <c r="B117" s="180"/>
      <c r="C117" s="181"/>
      <c r="D117" s="199"/>
      <c r="E117" s="177"/>
      <c r="F117" s="285"/>
      <c r="G117" s="357"/>
      <c r="H117" s="285"/>
      <c r="I117" s="357"/>
      <c r="J117" s="285"/>
      <c r="K117" s="357"/>
      <c r="L117" s="285"/>
      <c r="M117" s="357"/>
      <c r="N117" s="285"/>
      <c r="O117" s="357"/>
      <c r="P117" s="285"/>
      <c r="Q117" s="357"/>
      <c r="R117" s="285"/>
      <c r="S117" s="357"/>
      <c r="T117" s="285"/>
      <c r="U117" s="357"/>
      <c r="V117" s="285"/>
      <c r="W117" s="357"/>
      <c r="X117" s="285"/>
      <c r="Y117" s="357"/>
      <c r="Z117" s="285"/>
      <c r="AA117" s="357"/>
      <c r="AB117" s="285"/>
      <c r="AC117" s="357"/>
      <c r="AD117" s="285"/>
      <c r="AE117" s="357"/>
      <c r="AF117" s="285"/>
      <c r="AG117" s="357"/>
      <c r="AH117" s="285"/>
      <c r="AI117" s="357"/>
      <c r="AJ117" s="285"/>
      <c r="AK117" s="357"/>
      <c r="AL117" s="285"/>
      <c r="AM117" s="357"/>
      <c r="AN117" s="285"/>
      <c r="AO117" s="357"/>
      <c r="AP117" s="285"/>
      <c r="AQ117" s="357"/>
      <c r="AR117" s="285"/>
      <c r="AS117" s="357"/>
      <c r="AT117" s="285"/>
      <c r="AU117" s="357"/>
      <c r="AV117" s="285"/>
      <c r="AW117" s="357"/>
      <c r="AX117" s="285"/>
      <c r="AY117" s="357"/>
      <c r="AZ117" s="285"/>
      <c r="BA117" s="357"/>
      <c r="BB117" s="285"/>
      <c r="BC117" s="357"/>
      <c r="BD117" s="285"/>
      <c r="BE117" s="357"/>
      <c r="BF117" s="285"/>
      <c r="BG117" s="357"/>
      <c r="BH117" s="285"/>
      <c r="BI117" s="357"/>
      <c r="BJ117" s="285"/>
      <c r="BK117" s="357"/>
      <c r="BL117" s="285"/>
      <c r="BM117" s="357"/>
      <c r="BN117" s="285"/>
      <c r="BO117" s="357"/>
      <c r="BP117" s="285"/>
      <c r="BQ117" s="357"/>
      <c r="BR117" s="285"/>
      <c r="BS117" s="357"/>
      <c r="BT117" s="285"/>
      <c r="BU117" s="357"/>
      <c r="BV117" s="285"/>
      <c r="BW117" s="357"/>
      <c r="BX117" s="285"/>
      <c r="BY117" s="357"/>
      <c r="BZ117" s="285"/>
      <c r="CA117" s="357"/>
      <c r="CB117" s="285"/>
      <c r="CC117" s="357"/>
      <c r="CD117" s="285"/>
      <c r="CE117" s="357"/>
      <c r="CF117" s="285"/>
      <c r="CG117" s="357"/>
      <c r="CH117" s="285"/>
      <c r="CI117" s="357"/>
      <c r="CJ117" s="285"/>
      <c r="CK117" s="357"/>
      <c r="CL117" s="285"/>
      <c r="CM117" s="357"/>
      <c r="CN117" s="285"/>
      <c r="CO117" s="357"/>
      <c r="CP117" s="285"/>
      <c r="CQ117" s="357"/>
      <c r="CR117" s="285"/>
      <c r="CS117" s="357"/>
      <c r="CT117" s="201"/>
      <c r="CU117" s="285"/>
      <c r="CV117" s="357"/>
      <c r="CW117" s="285"/>
      <c r="CX117" s="357"/>
      <c r="CY117" s="285"/>
      <c r="CZ117" s="357"/>
      <c r="DA117" s="285"/>
      <c r="DB117" s="357"/>
      <c r="DC117" s="285"/>
      <c r="DD117" s="357"/>
      <c r="DE117" s="285"/>
      <c r="DF117" s="357"/>
      <c r="DG117" s="285"/>
      <c r="DH117" s="357"/>
      <c r="DI117" s="285"/>
      <c r="DJ117" s="357"/>
      <c r="DK117" s="285"/>
      <c r="DL117" s="357"/>
      <c r="DM117" s="285"/>
      <c r="DN117" s="357"/>
      <c r="DO117" s="285"/>
      <c r="DP117" s="357"/>
      <c r="DQ117" s="285"/>
      <c r="DR117" s="357"/>
      <c r="DS117" s="285"/>
      <c r="DT117" s="357"/>
      <c r="DU117" s="285"/>
      <c r="DV117" s="357"/>
      <c r="DW117" s="285"/>
      <c r="DX117" s="357"/>
      <c r="DY117" s="285"/>
      <c r="DZ117" s="357"/>
      <c r="EA117" s="285"/>
      <c r="EB117" s="357"/>
      <c r="EC117" s="285"/>
      <c r="ED117" s="357"/>
      <c r="EE117" s="285"/>
      <c r="EF117" s="357"/>
      <c r="EG117" s="285"/>
      <c r="EH117" s="357"/>
      <c r="EI117" s="285"/>
      <c r="EJ117" s="357"/>
      <c r="EK117" s="285"/>
      <c r="EL117" s="357"/>
      <c r="EM117" s="285"/>
      <c r="EN117" s="357"/>
      <c r="EO117" s="285"/>
      <c r="EP117" s="357"/>
      <c r="EQ117" s="285"/>
      <c r="ER117" s="357"/>
      <c r="ES117" s="285"/>
      <c r="ET117" s="357"/>
      <c r="EU117" s="285"/>
      <c r="EV117" s="357"/>
      <c r="EW117" s="285"/>
      <c r="EX117" s="357"/>
      <c r="EY117" s="285"/>
      <c r="EZ117" s="357"/>
      <c r="FA117" s="285"/>
      <c r="FB117" s="357"/>
      <c r="FC117" s="285"/>
      <c r="FD117" s="357"/>
      <c r="FE117" s="285"/>
      <c r="FF117" s="357"/>
      <c r="FG117" s="285"/>
      <c r="FH117" s="357"/>
      <c r="FI117" s="285"/>
      <c r="FJ117" s="357"/>
      <c r="FK117" s="285"/>
      <c r="FL117" s="357"/>
      <c r="FM117" s="285"/>
      <c r="FN117" s="357"/>
      <c r="FO117" s="285"/>
      <c r="FP117" s="357"/>
      <c r="FQ117" s="177"/>
      <c r="FR117" s="285"/>
      <c r="FS117" s="357"/>
      <c r="FT117" s="285"/>
      <c r="FU117" s="357"/>
      <c r="FV117" s="285"/>
      <c r="FW117" s="357"/>
      <c r="FX117" s="285"/>
      <c r="FY117" s="357"/>
      <c r="FZ117" s="285"/>
      <c r="GA117" s="357"/>
      <c r="GB117" s="285"/>
      <c r="GC117" s="357"/>
      <c r="GD117" s="285"/>
      <c r="GE117" s="357"/>
      <c r="GF117" s="285"/>
      <c r="GG117" s="357"/>
      <c r="GH117" s="285"/>
      <c r="GI117" s="357"/>
      <c r="GJ117" s="285"/>
      <c r="GK117" s="357"/>
      <c r="GL117" s="285"/>
      <c r="GM117" s="357"/>
      <c r="GN117" s="285"/>
      <c r="GO117" s="357"/>
      <c r="GP117" s="285"/>
      <c r="GQ117" s="357"/>
      <c r="GR117" s="285"/>
      <c r="GS117" s="357"/>
      <c r="GT117" s="285"/>
      <c r="GU117" s="357"/>
      <c r="GV117" s="285"/>
      <c r="GW117" s="357"/>
      <c r="GX117" s="285"/>
      <c r="GY117" s="357"/>
      <c r="GZ117" s="285"/>
      <c r="HA117" s="357"/>
      <c r="HB117" s="285"/>
      <c r="HC117" s="357"/>
      <c r="HD117" s="285"/>
      <c r="HE117" s="357"/>
      <c r="HF117" s="285"/>
      <c r="HG117" s="357"/>
      <c r="HH117" s="285"/>
      <c r="HI117" s="357"/>
      <c r="HJ117" s="285"/>
      <c r="HK117" s="357"/>
      <c r="HL117" s="285"/>
      <c r="HM117" s="357"/>
      <c r="HN117" s="285"/>
      <c r="HO117" s="357"/>
      <c r="HP117" s="285"/>
      <c r="HQ117" s="357"/>
      <c r="HR117" s="285"/>
      <c r="HS117" s="357"/>
      <c r="HT117" s="285"/>
      <c r="HU117" s="357"/>
      <c r="HV117" s="285"/>
      <c r="HW117" s="357"/>
      <c r="HX117" s="285"/>
      <c r="HY117" s="357"/>
      <c r="HZ117" s="285"/>
      <c r="IA117" s="357"/>
      <c r="IB117" s="285"/>
      <c r="IC117" s="357"/>
      <c r="ID117" s="285"/>
      <c r="IE117" s="357"/>
      <c r="IF117" s="285"/>
      <c r="IG117" s="357"/>
      <c r="IH117" s="285"/>
      <c r="II117" s="357"/>
      <c r="IJ117" s="285"/>
      <c r="IK117" s="357"/>
      <c r="IL117" s="285"/>
      <c r="IM117" s="357"/>
      <c r="IN117" s="285"/>
      <c r="IO117" s="357"/>
      <c r="IP117" s="285"/>
      <c r="IQ117" s="357"/>
      <c r="IR117" s="285"/>
      <c r="IS117" s="357"/>
      <c r="IT117" s="285"/>
      <c r="IU117" s="357"/>
      <c r="IV117" s="285"/>
      <c r="IW117" s="357"/>
      <c r="IX117" s="285"/>
      <c r="IY117" s="357"/>
      <c r="IZ117" s="177"/>
      <c r="JA117" s="285"/>
      <c r="JB117" s="357"/>
      <c r="JC117" s="285"/>
      <c r="JD117" s="357"/>
      <c r="JE117" s="177"/>
      <c r="JF117" s="285"/>
      <c r="JG117" s="357"/>
      <c r="JH117" s="285"/>
      <c r="JI117" s="357"/>
      <c r="JJ117" s="285"/>
      <c r="JK117" s="357"/>
      <c r="JL117" s="285"/>
      <c r="JM117" s="357"/>
      <c r="JN117" s="285"/>
      <c r="JO117" s="357"/>
      <c r="JP117" s="285"/>
      <c r="JQ117" s="357"/>
      <c r="JR117" s="285"/>
      <c r="JS117" s="357"/>
      <c r="JT117" s="285"/>
      <c r="JU117" s="357"/>
      <c r="JV117" s="285"/>
      <c r="JW117" s="357"/>
      <c r="JX117" s="285"/>
      <c r="JY117" s="357"/>
      <c r="JZ117" s="285"/>
      <c r="KA117" s="357"/>
      <c r="KB117" s="285"/>
      <c r="KC117" s="357"/>
      <c r="KD117" s="285"/>
      <c r="KE117" s="357"/>
      <c r="KF117" s="285"/>
      <c r="KG117" s="357"/>
      <c r="KH117" s="285"/>
      <c r="KI117" s="357"/>
      <c r="KJ117" s="285"/>
      <c r="KK117" s="357"/>
      <c r="KL117" s="285"/>
      <c r="KM117" s="357"/>
      <c r="KN117" s="285"/>
      <c r="KO117" s="357"/>
      <c r="KP117" s="285"/>
      <c r="KQ117" s="357"/>
      <c r="KR117" s="285"/>
      <c r="KS117" s="357"/>
      <c r="KT117" s="285"/>
      <c r="KU117" s="357"/>
      <c r="KV117" s="285"/>
      <c r="KW117" s="357"/>
      <c r="KX117" s="285"/>
      <c r="KY117" s="357"/>
      <c r="KZ117" s="285"/>
      <c r="LA117" s="357"/>
      <c r="LB117" s="285"/>
      <c r="LC117" s="357"/>
      <c r="LD117" s="285"/>
      <c r="LE117" s="357"/>
      <c r="LF117" s="285"/>
      <c r="LG117" s="357"/>
      <c r="LH117" s="285"/>
      <c r="LI117" s="357"/>
      <c r="LJ117" s="285"/>
      <c r="LK117" s="357"/>
      <c r="LL117" s="285"/>
      <c r="LM117" s="357"/>
      <c r="LN117" s="285"/>
      <c r="LO117" s="357"/>
      <c r="LP117" s="285"/>
      <c r="LQ117" s="357"/>
      <c r="LR117" s="285"/>
      <c r="LS117" s="357"/>
      <c r="LT117" s="285"/>
      <c r="LU117" s="357"/>
      <c r="LV117" s="285"/>
      <c r="LW117" s="357"/>
      <c r="LX117" s="285"/>
      <c r="LY117" s="357"/>
      <c r="LZ117" s="285"/>
      <c r="MA117" s="357"/>
      <c r="MB117" s="285"/>
      <c r="MC117" s="357"/>
      <c r="MD117" s="285"/>
      <c r="ME117" s="357"/>
      <c r="MF117" s="285"/>
      <c r="MG117" s="357"/>
      <c r="MH117" s="177"/>
      <c r="MI117" s="285"/>
      <c r="MJ117" s="357"/>
      <c r="MK117" s="285"/>
      <c r="ML117" s="357"/>
      <c r="MM117" s="285"/>
      <c r="MN117" s="357"/>
      <c r="MO117" s="285"/>
      <c r="MP117" s="357"/>
      <c r="MQ117" s="285"/>
      <c r="MR117" s="357"/>
      <c r="MS117" s="285"/>
      <c r="MT117" s="357"/>
      <c r="MU117" s="285"/>
      <c r="MV117" s="357"/>
      <c r="MW117" s="285"/>
      <c r="MX117" s="357"/>
      <c r="MY117" s="285"/>
      <c r="MZ117" s="357"/>
      <c r="NA117" s="285"/>
      <c r="NB117" s="357"/>
      <c r="NC117" s="285"/>
      <c r="ND117" s="357"/>
      <c r="NE117" s="285"/>
      <c r="NF117" s="357"/>
      <c r="NG117" s="285"/>
      <c r="NH117" s="357"/>
      <c r="NI117" s="285"/>
      <c r="NJ117" s="357"/>
      <c r="NK117" s="285"/>
      <c r="NL117" s="357"/>
      <c r="NM117" s="285"/>
      <c r="NN117" s="357"/>
      <c r="NO117" s="285"/>
      <c r="NP117" s="357"/>
      <c r="NQ117" s="285"/>
      <c r="NR117" s="357"/>
      <c r="NS117" s="285"/>
      <c r="NT117" s="357"/>
      <c r="NU117" s="285"/>
      <c r="NV117" s="357"/>
      <c r="NW117" s="285"/>
      <c r="NX117" s="357"/>
      <c r="NY117" s="285"/>
      <c r="NZ117" s="357"/>
      <c r="OA117" s="285"/>
      <c r="OB117" s="357"/>
      <c r="OC117" s="285"/>
      <c r="OD117" s="357"/>
      <c r="OE117" s="285"/>
      <c r="OF117" s="357"/>
      <c r="OG117" s="285"/>
      <c r="OH117" s="357"/>
      <c r="OI117" s="285"/>
      <c r="OJ117" s="357"/>
      <c r="OK117" s="285"/>
      <c r="OL117" s="357"/>
      <c r="OM117" s="285"/>
      <c r="ON117" s="357"/>
      <c r="OO117" s="285"/>
      <c r="OP117" s="357"/>
      <c r="OQ117" s="285"/>
      <c r="OR117" s="357"/>
      <c r="OS117" s="285"/>
      <c r="OT117" s="357"/>
      <c r="OU117" s="285"/>
      <c r="OV117" s="357"/>
      <c r="OW117" s="285"/>
      <c r="OX117" s="357"/>
      <c r="OY117" s="285"/>
      <c r="OZ117" s="357"/>
      <c r="PA117" s="285"/>
      <c r="PB117" s="357"/>
      <c r="PC117" s="285"/>
      <c r="PD117" s="357"/>
      <c r="PE117" s="285"/>
      <c r="PF117" s="357"/>
      <c r="PG117" s="285"/>
      <c r="PH117" s="357"/>
      <c r="PI117" s="285"/>
      <c r="PJ117" s="357"/>
      <c r="PK117" s="285"/>
      <c r="PL117" s="357"/>
      <c r="PM117" s="285"/>
      <c r="PN117" s="357"/>
      <c r="PO117" s="285"/>
      <c r="PP117" s="357"/>
      <c r="PR117" s="285"/>
      <c r="PS117" s="357"/>
      <c r="PT117" s="285"/>
      <c r="PU117" s="357"/>
      <c r="PV117" s="285"/>
      <c r="PW117" s="357"/>
      <c r="PX117" s="285"/>
      <c r="PY117" s="357"/>
      <c r="PZ117" s="285"/>
      <c r="QA117" s="357"/>
      <c r="QB117" s="285"/>
      <c r="QC117" s="357"/>
      <c r="QF117" s="285"/>
      <c r="QG117" s="357"/>
      <c r="QH117" s="285"/>
      <c r="QI117" s="357"/>
      <c r="QJ117" s="285"/>
      <c r="QK117" s="357"/>
      <c r="QL117" s="285"/>
      <c r="QM117" s="357"/>
      <c r="QN117" s="285"/>
      <c r="QO117" s="357"/>
      <c r="QP117" s="285"/>
      <c r="QQ117" s="357"/>
    </row>
    <row r="118" spans="1:459" x14ac:dyDescent="0.45">
      <c r="A118" s="871"/>
      <c r="B118" s="367" t="s">
        <v>416</v>
      </c>
      <c r="C118" s="365"/>
      <c r="D118" s="361" t="s">
        <v>353</v>
      </c>
      <c r="E118" s="370"/>
      <c r="F118" s="371"/>
      <c r="G118" s="372">
        <v>175</v>
      </c>
      <c r="H118" s="371"/>
      <c r="I118" s="372">
        <v>175</v>
      </c>
      <c r="J118" s="371"/>
      <c r="K118" s="372">
        <v>175</v>
      </c>
      <c r="L118" s="371"/>
      <c r="M118" s="372">
        <v>175</v>
      </c>
      <c r="N118" s="371"/>
      <c r="O118" s="372">
        <v>175</v>
      </c>
      <c r="P118" s="371"/>
      <c r="Q118" s="372">
        <v>175</v>
      </c>
      <c r="R118" s="371"/>
      <c r="S118" s="372">
        <v>175</v>
      </c>
      <c r="T118" s="371"/>
      <c r="U118" s="372">
        <v>175</v>
      </c>
      <c r="V118" s="371"/>
      <c r="W118" s="372">
        <v>175</v>
      </c>
      <c r="X118" s="371"/>
      <c r="Y118" s="372">
        <v>175</v>
      </c>
      <c r="Z118" s="371"/>
      <c r="AA118" s="372">
        <v>175</v>
      </c>
      <c r="AB118" s="371"/>
      <c r="AC118" s="372">
        <v>175</v>
      </c>
      <c r="AD118" s="371"/>
      <c r="AE118" s="372">
        <v>175</v>
      </c>
      <c r="AF118" s="371"/>
      <c r="AG118" s="372">
        <v>175</v>
      </c>
      <c r="AH118" s="371"/>
      <c r="AI118" s="372">
        <v>175</v>
      </c>
      <c r="AJ118" s="371"/>
      <c r="AK118" s="372">
        <v>175</v>
      </c>
      <c r="AL118" s="371"/>
      <c r="AM118" s="372">
        <v>175</v>
      </c>
      <c r="AN118" s="371"/>
      <c r="AO118" s="372">
        <v>175</v>
      </c>
      <c r="AP118" s="371"/>
      <c r="AQ118" s="372">
        <v>175</v>
      </c>
      <c r="AR118" s="371"/>
      <c r="AS118" s="372">
        <v>175</v>
      </c>
      <c r="AT118" s="371"/>
      <c r="AU118" s="372">
        <v>175</v>
      </c>
      <c r="AV118" s="371"/>
      <c r="AW118" s="372">
        <v>175</v>
      </c>
      <c r="AX118" s="371"/>
      <c r="AY118" s="372">
        <v>175</v>
      </c>
      <c r="AZ118" s="371"/>
      <c r="BA118" s="372">
        <v>175</v>
      </c>
      <c r="BB118" s="371"/>
      <c r="BC118" s="372">
        <v>175</v>
      </c>
      <c r="BD118" s="371"/>
      <c r="BE118" s="372">
        <v>175</v>
      </c>
      <c r="BF118" s="371"/>
      <c r="BG118" s="372">
        <v>175</v>
      </c>
      <c r="BH118" s="371"/>
      <c r="BI118" s="372">
        <v>175</v>
      </c>
      <c r="BJ118" s="371"/>
      <c r="BK118" s="372">
        <v>175</v>
      </c>
      <c r="BL118" s="371"/>
      <c r="BM118" s="372">
        <v>175</v>
      </c>
      <c r="BN118" s="371"/>
      <c r="BO118" s="372">
        <v>175</v>
      </c>
      <c r="BP118" s="371"/>
      <c r="BQ118" s="372">
        <v>175</v>
      </c>
      <c r="BR118" s="371"/>
      <c r="BS118" s="372">
        <v>175</v>
      </c>
      <c r="BT118" s="371"/>
      <c r="BU118" s="372">
        <v>175</v>
      </c>
      <c r="BV118" s="371"/>
      <c r="BW118" s="372">
        <v>175</v>
      </c>
      <c r="BX118" s="371"/>
      <c r="BY118" s="372">
        <v>175</v>
      </c>
      <c r="BZ118" s="371"/>
      <c r="CA118" s="372">
        <v>175</v>
      </c>
      <c r="CB118" s="371"/>
      <c r="CC118" s="372">
        <v>175</v>
      </c>
      <c r="CD118" s="371"/>
      <c r="CE118" s="372">
        <v>175</v>
      </c>
      <c r="CF118" s="371"/>
      <c r="CG118" s="372">
        <v>175</v>
      </c>
      <c r="CH118" s="371"/>
      <c r="CI118" s="372">
        <v>175</v>
      </c>
      <c r="CJ118" s="371"/>
      <c r="CK118" s="372">
        <v>175</v>
      </c>
      <c r="CL118" s="371"/>
      <c r="CM118" s="372">
        <v>175</v>
      </c>
      <c r="CN118" s="371"/>
      <c r="CO118" s="372">
        <v>175</v>
      </c>
      <c r="CP118" s="371"/>
      <c r="CQ118" s="372">
        <v>175</v>
      </c>
      <c r="CR118" s="371"/>
      <c r="CS118" s="372">
        <v>175</v>
      </c>
      <c r="CT118" s="365"/>
      <c r="CU118" s="371"/>
      <c r="CV118" s="372">
        <v>175</v>
      </c>
      <c r="CW118" s="371"/>
      <c r="CX118" s="372">
        <v>175</v>
      </c>
      <c r="CY118" s="371"/>
      <c r="CZ118" s="372">
        <v>175</v>
      </c>
      <c r="DA118" s="371"/>
      <c r="DB118" s="372">
        <v>175</v>
      </c>
      <c r="DC118" s="371"/>
      <c r="DD118" s="372">
        <v>175</v>
      </c>
      <c r="DE118" s="371"/>
      <c r="DF118" s="372">
        <v>175</v>
      </c>
      <c r="DG118" s="371"/>
      <c r="DH118" s="372">
        <v>175</v>
      </c>
      <c r="DI118" s="371"/>
      <c r="DJ118" s="372">
        <v>175</v>
      </c>
      <c r="DK118" s="371"/>
      <c r="DL118" s="372">
        <v>175</v>
      </c>
      <c r="DM118" s="371"/>
      <c r="DN118" s="372">
        <v>175</v>
      </c>
      <c r="DO118" s="371"/>
      <c r="DP118" s="372">
        <v>175</v>
      </c>
      <c r="DQ118" s="371"/>
      <c r="DR118" s="372">
        <v>175</v>
      </c>
      <c r="DS118" s="371"/>
      <c r="DT118" s="372">
        <v>175</v>
      </c>
      <c r="DU118" s="371"/>
      <c r="DV118" s="372">
        <v>175</v>
      </c>
      <c r="DW118" s="371"/>
      <c r="DX118" s="372">
        <v>175</v>
      </c>
      <c r="DY118" s="371"/>
      <c r="DZ118" s="372">
        <v>175</v>
      </c>
      <c r="EA118" s="371"/>
      <c r="EB118" s="372">
        <v>175</v>
      </c>
      <c r="EC118" s="371"/>
      <c r="ED118" s="372">
        <v>175</v>
      </c>
      <c r="EE118" s="371"/>
      <c r="EF118" s="372">
        <v>175</v>
      </c>
      <c r="EG118" s="371"/>
      <c r="EH118" s="372">
        <v>175</v>
      </c>
      <c r="EI118" s="371"/>
      <c r="EJ118" s="372">
        <v>175</v>
      </c>
      <c r="EK118" s="371"/>
      <c r="EL118" s="372">
        <v>175</v>
      </c>
      <c r="EM118" s="371"/>
      <c r="EN118" s="372">
        <v>175</v>
      </c>
      <c r="EO118" s="371"/>
      <c r="EP118" s="372">
        <v>175</v>
      </c>
      <c r="EQ118" s="371"/>
      <c r="ER118" s="372">
        <v>175</v>
      </c>
      <c r="ES118" s="371"/>
      <c r="ET118" s="372">
        <v>175</v>
      </c>
      <c r="EU118" s="371"/>
      <c r="EV118" s="372">
        <v>175</v>
      </c>
      <c r="EW118" s="371"/>
      <c r="EX118" s="372">
        <v>175</v>
      </c>
      <c r="EY118" s="371"/>
      <c r="EZ118" s="372">
        <v>175</v>
      </c>
      <c r="FA118" s="371"/>
      <c r="FB118" s="372">
        <v>175</v>
      </c>
      <c r="FC118" s="371"/>
      <c r="FD118" s="372">
        <v>175</v>
      </c>
      <c r="FE118" s="371"/>
      <c r="FF118" s="372">
        <v>175</v>
      </c>
      <c r="FG118" s="371"/>
      <c r="FH118" s="372">
        <v>175</v>
      </c>
      <c r="FI118" s="371"/>
      <c r="FJ118" s="372">
        <v>175</v>
      </c>
      <c r="FK118" s="371"/>
      <c r="FL118" s="372">
        <v>175</v>
      </c>
      <c r="FM118" s="371"/>
      <c r="FN118" s="372">
        <v>175</v>
      </c>
      <c r="FO118" s="371"/>
      <c r="FP118" s="372">
        <v>175</v>
      </c>
      <c r="FQ118" s="370"/>
      <c r="FR118" s="371"/>
      <c r="FS118" s="372">
        <v>175</v>
      </c>
      <c r="FT118" s="371"/>
      <c r="FU118" s="372">
        <v>175</v>
      </c>
      <c r="FV118" s="371"/>
      <c r="FW118" s="372">
        <v>175</v>
      </c>
      <c r="FX118" s="371"/>
      <c r="FY118" s="372">
        <v>175</v>
      </c>
      <c r="FZ118" s="371"/>
      <c r="GA118" s="372">
        <v>175</v>
      </c>
      <c r="GB118" s="371"/>
      <c r="GC118" s="372">
        <v>175</v>
      </c>
      <c r="GD118" s="371"/>
      <c r="GE118" s="372">
        <v>175</v>
      </c>
      <c r="GF118" s="371"/>
      <c r="GG118" s="372">
        <v>175</v>
      </c>
      <c r="GH118" s="371"/>
      <c r="GI118" s="372">
        <v>175</v>
      </c>
      <c r="GJ118" s="371"/>
      <c r="GK118" s="372">
        <v>175</v>
      </c>
      <c r="GL118" s="371"/>
      <c r="GM118" s="372">
        <v>175</v>
      </c>
      <c r="GN118" s="371"/>
      <c r="GO118" s="372">
        <v>175</v>
      </c>
      <c r="GP118" s="371"/>
      <c r="GQ118" s="372">
        <v>175</v>
      </c>
      <c r="GR118" s="371"/>
      <c r="GS118" s="372">
        <v>175</v>
      </c>
      <c r="GT118" s="371"/>
      <c r="GU118" s="372">
        <v>175</v>
      </c>
      <c r="GV118" s="371"/>
      <c r="GW118" s="372">
        <v>175</v>
      </c>
      <c r="GX118" s="371"/>
      <c r="GY118" s="372">
        <v>175</v>
      </c>
      <c r="GZ118" s="371"/>
      <c r="HA118" s="372">
        <v>175</v>
      </c>
      <c r="HB118" s="371"/>
      <c r="HC118" s="372">
        <v>175</v>
      </c>
      <c r="HD118" s="371"/>
      <c r="HE118" s="372">
        <v>175</v>
      </c>
      <c r="HF118" s="371"/>
      <c r="HG118" s="372">
        <v>175</v>
      </c>
      <c r="HH118" s="371"/>
      <c r="HI118" s="372">
        <v>175</v>
      </c>
      <c r="HJ118" s="371"/>
      <c r="HK118" s="372">
        <v>175</v>
      </c>
      <c r="HL118" s="371"/>
      <c r="HM118" s="372">
        <v>175</v>
      </c>
      <c r="HN118" s="371"/>
      <c r="HO118" s="372">
        <v>175</v>
      </c>
      <c r="HP118" s="371"/>
      <c r="HQ118" s="372">
        <v>175</v>
      </c>
      <c r="HR118" s="371"/>
      <c r="HS118" s="372">
        <v>175</v>
      </c>
      <c r="HT118" s="371"/>
      <c r="HU118" s="372">
        <v>175</v>
      </c>
      <c r="HV118" s="371"/>
      <c r="HW118" s="372">
        <v>175</v>
      </c>
      <c r="HX118" s="371"/>
      <c r="HY118" s="372">
        <v>175</v>
      </c>
      <c r="HZ118" s="371"/>
      <c r="IA118" s="372">
        <v>175</v>
      </c>
      <c r="IB118" s="371"/>
      <c r="IC118" s="372">
        <v>175</v>
      </c>
      <c r="ID118" s="371"/>
      <c r="IE118" s="372">
        <v>175</v>
      </c>
      <c r="IF118" s="371"/>
      <c r="IG118" s="372">
        <v>175</v>
      </c>
      <c r="IH118" s="371"/>
      <c r="II118" s="372">
        <v>175</v>
      </c>
      <c r="IJ118" s="371"/>
      <c r="IK118" s="372">
        <v>175</v>
      </c>
      <c r="IL118" s="371"/>
      <c r="IM118" s="372">
        <v>175</v>
      </c>
      <c r="IN118" s="371"/>
      <c r="IO118" s="372">
        <v>175</v>
      </c>
      <c r="IP118" s="371"/>
      <c r="IQ118" s="372">
        <v>175</v>
      </c>
      <c r="IR118" s="371"/>
      <c r="IS118" s="372">
        <v>175</v>
      </c>
      <c r="IT118" s="371"/>
      <c r="IU118" s="372">
        <v>175</v>
      </c>
      <c r="IV118" s="371"/>
      <c r="IW118" s="372">
        <v>175</v>
      </c>
      <c r="IX118" s="371"/>
      <c r="IY118" s="372">
        <v>175</v>
      </c>
      <c r="IZ118" s="370"/>
      <c r="JA118" s="371"/>
      <c r="JB118" s="372">
        <v>175</v>
      </c>
      <c r="JC118" s="371"/>
      <c r="JD118" s="372">
        <v>175</v>
      </c>
      <c r="JE118" s="370"/>
      <c r="JF118" s="371"/>
      <c r="JG118" s="372">
        <v>175</v>
      </c>
      <c r="JH118" s="371"/>
      <c r="JI118" s="372">
        <v>175</v>
      </c>
      <c r="JJ118" s="371"/>
      <c r="JK118" s="372">
        <v>175</v>
      </c>
      <c r="JL118" s="371"/>
      <c r="JM118" s="372">
        <v>175</v>
      </c>
      <c r="JN118" s="371"/>
      <c r="JO118" s="372">
        <v>175</v>
      </c>
      <c r="JP118" s="371"/>
      <c r="JQ118" s="372">
        <v>175</v>
      </c>
      <c r="JR118" s="371"/>
      <c r="JS118" s="372">
        <v>175</v>
      </c>
      <c r="JT118" s="371"/>
      <c r="JU118" s="372">
        <v>175</v>
      </c>
      <c r="JV118" s="371"/>
      <c r="JW118" s="372">
        <v>175</v>
      </c>
      <c r="JX118" s="371"/>
      <c r="JY118" s="372">
        <v>175</v>
      </c>
      <c r="JZ118" s="371"/>
      <c r="KA118" s="372">
        <v>175</v>
      </c>
      <c r="KB118" s="371"/>
      <c r="KC118" s="372">
        <v>175</v>
      </c>
      <c r="KD118" s="371"/>
      <c r="KE118" s="372">
        <v>175</v>
      </c>
      <c r="KF118" s="371"/>
      <c r="KG118" s="372">
        <v>175</v>
      </c>
      <c r="KH118" s="371"/>
      <c r="KI118" s="372">
        <v>175</v>
      </c>
      <c r="KJ118" s="371"/>
      <c r="KK118" s="372">
        <v>175</v>
      </c>
      <c r="KL118" s="371"/>
      <c r="KM118" s="372">
        <v>175</v>
      </c>
      <c r="KN118" s="371"/>
      <c r="KO118" s="372">
        <v>175</v>
      </c>
      <c r="KP118" s="371"/>
      <c r="KQ118" s="372">
        <v>175</v>
      </c>
      <c r="KR118" s="371"/>
      <c r="KS118" s="372">
        <v>175</v>
      </c>
      <c r="KT118" s="371"/>
      <c r="KU118" s="372">
        <v>175</v>
      </c>
      <c r="KV118" s="371"/>
      <c r="KW118" s="372">
        <v>175</v>
      </c>
      <c r="KX118" s="371"/>
      <c r="KY118" s="372">
        <v>175</v>
      </c>
      <c r="KZ118" s="371"/>
      <c r="LA118" s="372">
        <v>175</v>
      </c>
      <c r="LB118" s="371"/>
      <c r="LC118" s="372">
        <v>175</v>
      </c>
      <c r="LD118" s="371"/>
      <c r="LE118" s="372">
        <v>175</v>
      </c>
      <c r="LF118" s="371"/>
      <c r="LG118" s="372">
        <v>175</v>
      </c>
      <c r="LH118" s="371"/>
      <c r="LI118" s="372">
        <v>175</v>
      </c>
      <c r="LJ118" s="371"/>
      <c r="LK118" s="372">
        <v>175</v>
      </c>
      <c r="LL118" s="371"/>
      <c r="LM118" s="372">
        <v>175</v>
      </c>
      <c r="LN118" s="371"/>
      <c r="LO118" s="372">
        <v>175</v>
      </c>
      <c r="LP118" s="371"/>
      <c r="LQ118" s="372">
        <v>175</v>
      </c>
      <c r="LR118" s="371"/>
      <c r="LS118" s="372">
        <v>175</v>
      </c>
      <c r="LT118" s="371"/>
      <c r="LU118" s="372">
        <v>175</v>
      </c>
      <c r="LV118" s="371"/>
      <c r="LW118" s="372">
        <v>175</v>
      </c>
      <c r="LX118" s="371"/>
      <c r="LY118" s="372">
        <v>175</v>
      </c>
      <c r="LZ118" s="371"/>
      <c r="MA118" s="372">
        <v>175</v>
      </c>
      <c r="MB118" s="371"/>
      <c r="MC118" s="372">
        <v>175</v>
      </c>
      <c r="MD118" s="371"/>
      <c r="ME118" s="372">
        <v>175</v>
      </c>
      <c r="MF118" s="371"/>
      <c r="MG118" s="372">
        <v>175</v>
      </c>
      <c r="MH118" s="370"/>
      <c r="MI118" s="371"/>
      <c r="MJ118" s="372">
        <v>175</v>
      </c>
      <c r="MK118" s="371"/>
      <c r="ML118" s="372">
        <v>175</v>
      </c>
      <c r="MM118" s="371"/>
      <c r="MN118" s="372">
        <v>175</v>
      </c>
      <c r="MO118" s="371"/>
      <c r="MP118" s="372">
        <v>175</v>
      </c>
      <c r="MQ118" s="371"/>
      <c r="MR118" s="372">
        <v>175</v>
      </c>
      <c r="MS118" s="371"/>
      <c r="MT118" s="372">
        <v>175</v>
      </c>
      <c r="MU118" s="371"/>
      <c r="MV118" s="372">
        <v>175</v>
      </c>
      <c r="MW118" s="285"/>
      <c r="MX118" s="372">
        <v>175</v>
      </c>
      <c r="MY118" s="371"/>
      <c r="MZ118" s="372">
        <v>175</v>
      </c>
      <c r="NA118" s="371"/>
      <c r="NB118" s="372">
        <v>175</v>
      </c>
      <c r="NC118" s="371"/>
      <c r="ND118" s="372">
        <v>175</v>
      </c>
      <c r="NE118" s="371"/>
      <c r="NF118" s="372">
        <v>175</v>
      </c>
      <c r="NG118" s="371"/>
      <c r="NH118" s="372">
        <v>175</v>
      </c>
      <c r="NI118" s="371"/>
      <c r="NJ118" s="372">
        <v>175</v>
      </c>
      <c r="NK118" s="371"/>
      <c r="NL118" s="372">
        <v>175</v>
      </c>
      <c r="NM118" s="371"/>
      <c r="NN118" s="372">
        <v>175</v>
      </c>
      <c r="NO118" s="371"/>
      <c r="NP118" s="372">
        <v>175</v>
      </c>
      <c r="NQ118" s="371"/>
      <c r="NR118" s="372">
        <v>175</v>
      </c>
      <c r="NS118" s="371"/>
      <c r="NT118" s="372">
        <v>175</v>
      </c>
      <c r="NU118" s="371"/>
      <c r="NV118" s="372">
        <v>175</v>
      </c>
      <c r="NW118" s="371"/>
      <c r="NX118" s="372">
        <v>175</v>
      </c>
      <c r="NY118" s="371"/>
      <c r="NZ118" s="372">
        <v>175</v>
      </c>
      <c r="OA118" s="371"/>
      <c r="OB118" s="372">
        <v>175</v>
      </c>
      <c r="OC118" s="371"/>
      <c r="OD118" s="372">
        <v>175</v>
      </c>
      <c r="OE118" s="371"/>
      <c r="OF118" s="372">
        <v>175</v>
      </c>
      <c r="OG118" s="371"/>
      <c r="OH118" s="372">
        <v>175</v>
      </c>
      <c r="OI118" s="371"/>
      <c r="OJ118" s="372">
        <v>175</v>
      </c>
      <c r="OK118" s="371"/>
      <c r="OL118" s="372">
        <v>175</v>
      </c>
      <c r="OM118" s="371"/>
      <c r="ON118" s="372">
        <v>175</v>
      </c>
      <c r="OO118" s="371"/>
      <c r="OP118" s="372">
        <v>175</v>
      </c>
      <c r="OQ118" s="371"/>
      <c r="OR118" s="372">
        <v>175</v>
      </c>
      <c r="OS118" s="371"/>
      <c r="OT118" s="372">
        <v>175</v>
      </c>
      <c r="OU118" s="371"/>
      <c r="OV118" s="372">
        <v>175</v>
      </c>
      <c r="OW118" s="371"/>
      <c r="OX118" s="372">
        <v>175</v>
      </c>
      <c r="OY118" s="371"/>
      <c r="OZ118" s="372">
        <v>175</v>
      </c>
      <c r="PA118" s="371"/>
      <c r="PB118" s="372">
        <v>175</v>
      </c>
      <c r="PC118" s="371"/>
      <c r="PD118" s="372">
        <v>175</v>
      </c>
      <c r="PE118" s="371"/>
      <c r="PF118" s="372">
        <v>175</v>
      </c>
      <c r="PG118" s="371"/>
      <c r="PH118" s="372">
        <v>175</v>
      </c>
      <c r="PI118" s="371"/>
      <c r="PJ118" s="372">
        <v>175</v>
      </c>
      <c r="PK118" s="371"/>
      <c r="PL118" s="372">
        <v>175</v>
      </c>
      <c r="PM118" s="371"/>
      <c r="PN118" s="372">
        <v>175</v>
      </c>
      <c r="PO118" s="371"/>
      <c r="PP118" s="372">
        <v>175</v>
      </c>
      <c r="PQ118" s="366"/>
      <c r="PR118" s="371"/>
      <c r="PS118" s="372">
        <v>175</v>
      </c>
      <c r="PT118" s="371"/>
      <c r="PU118" s="372">
        <v>175</v>
      </c>
      <c r="PV118" s="371"/>
      <c r="PW118" s="372">
        <v>175</v>
      </c>
      <c r="PX118" s="371"/>
      <c r="PY118" s="372">
        <v>175</v>
      </c>
      <c r="PZ118" s="371"/>
      <c r="QA118" s="372">
        <v>175</v>
      </c>
      <c r="QB118" s="371"/>
      <c r="QC118" s="372">
        <v>175</v>
      </c>
      <c r="QD118" s="366"/>
      <c r="QE118" s="366"/>
      <c r="QF118" s="371"/>
      <c r="QG118" s="372">
        <v>175</v>
      </c>
      <c r="QH118" s="371"/>
      <c r="QI118" s="372">
        <v>175</v>
      </c>
      <c r="QJ118" s="371"/>
      <c r="QK118" s="372">
        <v>175</v>
      </c>
      <c r="QL118" s="371"/>
      <c r="QM118" s="372">
        <v>175</v>
      </c>
      <c r="QN118" s="371"/>
      <c r="QO118" s="372">
        <v>175</v>
      </c>
      <c r="QP118" s="371"/>
      <c r="QQ118" s="372">
        <v>175</v>
      </c>
    </row>
    <row r="119" spans="1:459" x14ac:dyDescent="0.45">
      <c r="A119" s="871"/>
      <c r="B119" s="367" t="s">
        <v>417</v>
      </c>
      <c r="C119" s="365"/>
      <c r="D119" s="361" t="s">
        <v>390</v>
      </c>
      <c r="E119" s="370"/>
      <c r="F119" s="371"/>
      <c r="G119" s="372">
        <v>3595000</v>
      </c>
      <c r="H119" s="371"/>
      <c r="I119" s="372">
        <v>3595000</v>
      </c>
      <c r="J119" s="371"/>
      <c r="K119" s="372">
        <v>3595000</v>
      </c>
      <c r="L119" s="371"/>
      <c r="M119" s="372">
        <v>3595000</v>
      </c>
      <c r="N119" s="371"/>
      <c r="O119" s="372">
        <v>3595000</v>
      </c>
      <c r="P119" s="371"/>
      <c r="Q119" s="372">
        <v>3595000</v>
      </c>
      <c r="R119" s="371"/>
      <c r="S119" s="372">
        <v>3595000</v>
      </c>
      <c r="T119" s="371"/>
      <c r="U119" s="372">
        <v>3595000</v>
      </c>
      <c r="V119" s="371"/>
      <c r="W119" s="372">
        <v>3595000</v>
      </c>
      <c r="X119" s="371"/>
      <c r="Y119" s="372">
        <v>3595000</v>
      </c>
      <c r="Z119" s="371"/>
      <c r="AA119" s="372">
        <v>3595000</v>
      </c>
      <c r="AB119" s="371"/>
      <c r="AC119" s="372">
        <v>3595000</v>
      </c>
      <c r="AD119" s="371"/>
      <c r="AE119" s="372">
        <v>3595000</v>
      </c>
      <c r="AF119" s="371"/>
      <c r="AG119" s="372">
        <v>3595000</v>
      </c>
      <c r="AH119" s="371"/>
      <c r="AI119" s="372">
        <v>3595000</v>
      </c>
      <c r="AJ119" s="371"/>
      <c r="AK119" s="372">
        <v>3595000</v>
      </c>
      <c r="AL119" s="371"/>
      <c r="AM119" s="372">
        <v>3595000</v>
      </c>
      <c r="AN119" s="371"/>
      <c r="AO119" s="372">
        <v>3595000</v>
      </c>
      <c r="AP119" s="371"/>
      <c r="AQ119" s="372">
        <v>3595000</v>
      </c>
      <c r="AR119" s="371"/>
      <c r="AS119" s="372">
        <v>3595000</v>
      </c>
      <c r="AT119" s="371"/>
      <c r="AU119" s="372">
        <v>3595000</v>
      </c>
      <c r="AV119" s="371"/>
      <c r="AW119" s="372">
        <v>3595000</v>
      </c>
      <c r="AX119" s="371"/>
      <c r="AY119" s="372">
        <v>3595000</v>
      </c>
      <c r="AZ119" s="371"/>
      <c r="BA119" s="372">
        <v>3595000</v>
      </c>
      <c r="BB119" s="371"/>
      <c r="BC119" s="372">
        <v>3595000</v>
      </c>
      <c r="BD119" s="371"/>
      <c r="BE119" s="372">
        <v>3595000</v>
      </c>
      <c r="BF119" s="371"/>
      <c r="BG119" s="372">
        <v>3595000</v>
      </c>
      <c r="BH119" s="371"/>
      <c r="BI119" s="372">
        <v>3595000</v>
      </c>
      <c r="BJ119" s="371"/>
      <c r="BK119" s="372">
        <v>3595000</v>
      </c>
      <c r="BL119" s="371"/>
      <c r="BM119" s="372">
        <v>3595000</v>
      </c>
      <c r="BN119" s="371"/>
      <c r="BO119" s="372">
        <v>3595000</v>
      </c>
      <c r="BP119" s="371"/>
      <c r="BQ119" s="372">
        <v>3595000</v>
      </c>
      <c r="BR119" s="371"/>
      <c r="BS119" s="372">
        <v>3595000</v>
      </c>
      <c r="BT119" s="371"/>
      <c r="BU119" s="372">
        <v>3595000</v>
      </c>
      <c r="BV119" s="371"/>
      <c r="BW119" s="372">
        <v>3595000</v>
      </c>
      <c r="BX119" s="371"/>
      <c r="BY119" s="372">
        <v>3595000</v>
      </c>
      <c r="BZ119" s="371"/>
      <c r="CA119" s="372">
        <v>3595000</v>
      </c>
      <c r="CB119" s="371"/>
      <c r="CC119" s="372">
        <v>3595000</v>
      </c>
      <c r="CD119" s="371"/>
      <c r="CE119" s="372">
        <v>3595000</v>
      </c>
      <c r="CF119" s="371"/>
      <c r="CG119" s="372">
        <v>3595000</v>
      </c>
      <c r="CH119" s="371"/>
      <c r="CI119" s="372">
        <v>3595000</v>
      </c>
      <c r="CJ119" s="371"/>
      <c r="CK119" s="372">
        <v>3595000</v>
      </c>
      <c r="CL119" s="371"/>
      <c r="CM119" s="372">
        <v>3595000</v>
      </c>
      <c r="CN119" s="371"/>
      <c r="CO119" s="372">
        <v>3595000</v>
      </c>
      <c r="CP119" s="371"/>
      <c r="CQ119" s="372">
        <v>3595000</v>
      </c>
      <c r="CR119" s="371"/>
      <c r="CS119" s="372">
        <v>3595000</v>
      </c>
      <c r="CT119" s="365"/>
      <c r="CU119" s="371"/>
      <c r="CV119" s="372">
        <v>3595000</v>
      </c>
      <c r="CW119" s="371"/>
      <c r="CX119" s="372">
        <v>3595000</v>
      </c>
      <c r="CY119" s="371"/>
      <c r="CZ119" s="372">
        <v>3595000</v>
      </c>
      <c r="DA119" s="371"/>
      <c r="DB119" s="372">
        <v>3595000</v>
      </c>
      <c r="DC119" s="371"/>
      <c r="DD119" s="372">
        <v>3595000</v>
      </c>
      <c r="DE119" s="371"/>
      <c r="DF119" s="372">
        <v>3595000</v>
      </c>
      <c r="DG119" s="371"/>
      <c r="DH119" s="372">
        <v>3595000</v>
      </c>
      <c r="DI119" s="371"/>
      <c r="DJ119" s="372">
        <v>3595000</v>
      </c>
      <c r="DK119" s="371"/>
      <c r="DL119" s="372">
        <v>3595000</v>
      </c>
      <c r="DM119" s="371"/>
      <c r="DN119" s="372">
        <v>3595000</v>
      </c>
      <c r="DO119" s="371"/>
      <c r="DP119" s="372">
        <v>3595000</v>
      </c>
      <c r="DQ119" s="371"/>
      <c r="DR119" s="372">
        <v>3595000</v>
      </c>
      <c r="DS119" s="371"/>
      <c r="DT119" s="372">
        <v>3595000</v>
      </c>
      <c r="DU119" s="371"/>
      <c r="DV119" s="372">
        <v>3595000</v>
      </c>
      <c r="DW119" s="371"/>
      <c r="DX119" s="372">
        <v>3595000</v>
      </c>
      <c r="DY119" s="371"/>
      <c r="DZ119" s="372">
        <v>3595000</v>
      </c>
      <c r="EA119" s="371"/>
      <c r="EB119" s="372">
        <v>3595000</v>
      </c>
      <c r="EC119" s="371"/>
      <c r="ED119" s="372">
        <v>3595000</v>
      </c>
      <c r="EE119" s="371"/>
      <c r="EF119" s="372">
        <v>3595000</v>
      </c>
      <c r="EG119" s="371"/>
      <c r="EH119" s="372">
        <v>3595000</v>
      </c>
      <c r="EI119" s="371"/>
      <c r="EJ119" s="372">
        <v>3595000</v>
      </c>
      <c r="EK119" s="371"/>
      <c r="EL119" s="372">
        <v>3595000</v>
      </c>
      <c r="EM119" s="371"/>
      <c r="EN119" s="372">
        <v>3595000</v>
      </c>
      <c r="EO119" s="371"/>
      <c r="EP119" s="372">
        <v>3595000</v>
      </c>
      <c r="EQ119" s="371"/>
      <c r="ER119" s="372">
        <v>3595000</v>
      </c>
      <c r="ES119" s="371"/>
      <c r="ET119" s="372">
        <v>3595000</v>
      </c>
      <c r="EU119" s="371"/>
      <c r="EV119" s="372">
        <v>3595000</v>
      </c>
      <c r="EW119" s="371"/>
      <c r="EX119" s="372">
        <v>3595000</v>
      </c>
      <c r="EY119" s="371"/>
      <c r="EZ119" s="372">
        <v>3595000</v>
      </c>
      <c r="FA119" s="371"/>
      <c r="FB119" s="372">
        <v>3595000</v>
      </c>
      <c r="FC119" s="371"/>
      <c r="FD119" s="372">
        <v>3595000</v>
      </c>
      <c r="FE119" s="371"/>
      <c r="FF119" s="372">
        <v>3595000</v>
      </c>
      <c r="FG119" s="371"/>
      <c r="FH119" s="372">
        <v>3595000</v>
      </c>
      <c r="FI119" s="371"/>
      <c r="FJ119" s="372">
        <v>3595000</v>
      </c>
      <c r="FK119" s="371"/>
      <c r="FL119" s="372">
        <v>3595000</v>
      </c>
      <c r="FM119" s="371"/>
      <c r="FN119" s="372">
        <v>3595000</v>
      </c>
      <c r="FO119" s="371"/>
      <c r="FP119" s="372">
        <v>3595000</v>
      </c>
      <c r="FQ119" s="370"/>
      <c r="FR119" s="371"/>
      <c r="FS119" s="372">
        <v>3595000</v>
      </c>
      <c r="FT119" s="371"/>
      <c r="FU119" s="372">
        <v>3595000</v>
      </c>
      <c r="FV119" s="371"/>
      <c r="FW119" s="372">
        <v>3595000</v>
      </c>
      <c r="FX119" s="371"/>
      <c r="FY119" s="372">
        <v>3595000</v>
      </c>
      <c r="FZ119" s="371"/>
      <c r="GA119" s="372">
        <v>3595000</v>
      </c>
      <c r="GB119" s="371"/>
      <c r="GC119" s="372">
        <v>3595000</v>
      </c>
      <c r="GD119" s="371"/>
      <c r="GE119" s="372">
        <v>3595000</v>
      </c>
      <c r="GF119" s="371"/>
      <c r="GG119" s="372">
        <v>3595000</v>
      </c>
      <c r="GH119" s="371"/>
      <c r="GI119" s="372">
        <v>3595000</v>
      </c>
      <c r="GJ119" s="371"/>
      <c r="GK119" s="372">
        <v>3595000</v>
      </c>
      <c r="GL119" s="371"/>
      <c r="GM119" s="372">
        <v>3595000</v>
      </c>
      <c r="GN119" s="371"/>
      <c r="GO119" s="372">
        <v>3595000</v>
      </c>
      <c r="GP119" s="371"/>
      <c r="GQ119" s="372">
        <v>3595000</v>
      </c>
      <c r="GR119" s="371"/>
      <c r="GS119" s="372">
        <v>3595000</v>
      </c>
      <c r="GT119" s="371"/>
      <c r="GU119" s="372">
        <v>3595000</v>
      </c>
      <c r="GV119" s="371"/>
      <c r="GW119" s="372">
        <v>3595000</v>
      </c>
      <c r="GX119" s="371"/>
      <c r="GY119" s="372">
        <v>3595000</v>
      </c>
      <c r="GZ119" s="371"/>
      <c r="HA119" s="372">
        <v>3595000</v>
      </c>
      <c r="HB119" s="371"/>
      <c r="HC119" s="372">
        <v>3595000</v>
      </c>
      <c r="HD119" s="371"/>
      <c r="HE119" s="372">
        <v>3595000</v>
      </c>
      <c r="HF119" s="371"/>
      <c r="HG119" s="372">
        <v>3595000</v>
      </c>
      <c r="HH119" s="371"/>
      <c r="HI119" s="372">
        <v>3595000</v>
      </c>
      <c r="HJ119" s="371"/>
      <c r="HK119" s="372">
        <v>3595000</v>
      </c>
      <c r="HL119" s="371"/>
      <c r="HM119" s="372">
        <v>3595000</v>
      </c>
      <c r="HN119" s="371"/>
      <c r="HO119" s="372">
        <v>3595000</v>
      </c>
      <c r="HP119" s="371"/>
      <c r="HQ119" s="372">
        <v>3595000</v>
      </c>
      <c r="HR119" s="371"/>
      <c r="HS119" s="372">
        <v>3595000</v>
      </c>
      <c r="HT119" s="371"/>
      <c r="HU119" s="372">
        <v>3595000</v>
      </c>
      <c r="HV119" s="371"/>
      <c r="HW119" s="372">
        <v>3595000</v>
      </c>
      <c r="HX119" s="371"/>
      <c r="HY119" s="372">
        <v>3595000</v>
      </c>
      <c r="HZ119" s="371"/>
      <c r="IA119" s="372">
        <v>3595000</v>
      </c>
      <c r="IB119" s="371"/>
      <c r="IC119" s="372">
        <v>3595000</v>
      </c>
      <c r="ID119" s="371"/>
      <c r="IE119" s="372">
        <v>3595000</v>
      </c>
      <c r="IF119" s="371"/>
      <c r="IG119" s="372">
        <v>3595000</v>
      </c>
      <c r="IH119" s="371"/>
      <c r="II119" s="372">
        <v>3595000</v>
      </c>
      <c r="IJ119" s="371"/>
      <c r="IK119" s="372">
        <v>3595000</v>
      </c>
      <c r="IL119" s="371"/>
      <c r="IM119" s="372">
        <v>3595000</v>
      </c>
      <c r="IN119" s="371"/>
      <c r="IO119" s="372">
        <v>3595000</v>
      </c>
      <c r="IP119" s="371"/>
      <c r="IQ119" s="372">
        <v>3595000</v>
      </c>
      <c r="IR119" s="371"/>
      <c r="IS119" s="372">
        <v>3595000</v>
      </c>
      <c r="IT119" s="371"/>
      <c r="IU119" s="372">
        <v>3595000</v>
      </c>
      <c r="IV119" s="371"/>
      <c r="IW119" s="372">
        <v>3595000</v>
      </c>
      <c r="IX119" s="371"/>
      <c r="IY119" s="372">
        <v>3595000</v>
      </c>
      <c r="IZ119" s="370"/>
      <c r="JA119" s="371"/>
      <c r="JB119" s="372">
        <v>3595000</v>
      </c>
      <c r="JC119" s="371"/>
      <c r="JD119" s="372">
        <v>3595000</v>
      </c>
      <c r="JE119" s="370"/>
      <c r="JF119" s="371"/>
      <c r="JG119" s="372">
        <v>3595000</v>
      </c>
      <c r="JH119" s="371"/>
      <c r="JI119" s="372">
        <v>3595000</v>
      </c>
      <c r="JJ119" s="371"/>
      <c r="JK119" s="372">
        <v>3595000</v>
      </c>
      <c r="JL119" s="371"/>
      <c r="JM119" s="372">
        <v>3595000</v>
      </c>
      <c r="JN119" s="371"/>
      <c r="JO119" s="372">
        <v>3595000</v>
      </c>
      <c r="JP119" s="371"/>
      <c r="JQ119" s="372">
        <v>3595000</v>
      </c>
      <c r="JR119" s="371"/>
      <c r="JS119" s="372">
        <v>3595000</v>
      </c>
      <c r="JT119" s="371"/>
      <c r="JU119" s="372">
        <v>3595000</v>
      </c>
      <c r="JV119" s="371"/>
      <c r="JW119" s="372">
        <v>3595000</v>
      </c>
      <c r="JX119" s="371"/>
      <c r="JY119" s="372">
        <v>3595000</v>
      </c>
      <c r="JZ119" s="371"/>
      <c r="KA119" s="372">
        <v>3595000</v>
      </c>
      <c r="KB119" s="371"/>
      <c r="KC119" s="372">
        <v>3595000</v>
      </c>
      <c r="KD119" s="371"/>
      <c r="KE119" s="372">
        <v>3595000</v>
      </c>
      <c r="KF119" s="371"/>
      <c r="KG119" s="372">
        <v>3595000</v>
      </c>
      <c r="KH119" s="371"/>
      <c r="KI119" s="372">
        <v>3595000</v>
      </c>
      <c r="KJ119" s="371"/>
      <c r="KK119" s="372">
        <v>3595000</v>
      </c>
      <c r="KL119" s="371"/>
      <c r="KM119" s="372">
        <v>3595000</v>
      </c>
      <c r="KN119" s="371"/>
      <c r="KO119" s="372">
        <v>3595000</v>
      </c>
      <c r="KP119" s="371"/>
      <c r="KQ119" s="372">
        <v>3595000</v>
      </c>
      <c r="KR119" s="371"/>
      <c r="KS119" s="372">
        <v>3595000</v>
      </c>
      <c r="KT119" s="371"/>
      <c r="KU119" s="372">
        <v>3595000</v>
      </c>
      <c r="KV119" s="371"/>
      <c r="KW119" s="372">
        <v>3595000</v>
      </c>
      <c r="KX119" s="371"/>
      <c r="KY119" s="372">
        <v>3595000</v>
      </c>
      <c r="KZ119" s="371"/>
      <c r="LA119" s="372">
        <v>3595000</v>
      </c>
      <c r="LB119" s="371"/>
      <c r="LC119" s="372">
        <v>3595000</v>
      </c>
      <c r="LD119" s="371"/>
      <c r="LE119" s="372">
        <v>3595000</v>
      </c>
      <c r="LF119" s="371"/>
      <c r="LG119" s="372">
        <v>3595000</v>
      </c>
      <c r="LH119" s="371"/>
      <c r="LI119" s="372">
        <v>3595000</v>
      </c>
      <c r="LJ119" s="371"/>
      <c r="LK119" s="372">
        <v>3595000</v>
      </c>
      <c r="LL119" s="371"/>
      <c r="LM119" s="372">
        <v>3595000</v>
      </c>
      <c r="LN119" s="371"/>
      <c r="LO119" s="372">
        <v>3595000</v>
      </c>
      <c r="LP119" s="371"/>
      <c r="LQ119" s="372">
        <v>3595000</v>
      </c>
      <c r="LR119" s="371"/>
      <c r="LS119" s="372">
        <v>3595000</v>
      </c>
      <c r="LT119" s="371"/>
      <c r="LU119" s="372">
        <v>3595000</v>
      </c>
      <c r="LV119" s="371"/>
      <c r="LW119" s="372">
        <v>3595000</v>
      </c>
      <c r="LX119" s="371"/>
      <c r="LY119" s="372">
        <v>3595000</v>
      </c>
      <c r="LZ119" s="371"/>
      <c r="MA119" s="372">
        <v>3595000</v>
      </c>
      <c r="MB119" s="371"/>
      <c r="MC119" s="372">
        <v>3595000</v>
      </c>
      <c r="MD119" s="371"/>
      <c r="ME119" s="372">
        <v>3595000</v>
      </c>
      <c r="MF119" s="371"/>
      <c r="MG119" s="372">
        <v>3595000</v>
      </c>
      <c r="MH119" s="370"/>
      <c r="MI119" s="371"/>
      <c r="MJ119" s="372">
        <v>3595000</v>
      </c>
      <c r="MK119" s="371"/>
      <c r="ML119" s="372">
        <v>3595000</v>
      </c>
      <c r="MM119" s="371"/>
      <c r="MN119" s="372">
        <v>3595000</v>
      </c>
      <c r="MO119" s="371"/>
      <c r="MP119" s="372">
        <v>3595000</v>
      </c>
      <c r="MQ119" s="371"/>
      <c r="MR119" s="372">
        <v>3595000</v>
      </c>
      <c r="MS119" s="371"/>
      <c r="MT119" s="372">
        <v>3595000</v>
      </c>
      <c r="MU119" s="371"/>
      <c r="MV119" s="372">
        <v>3595000</v>
      </c>
      <c r="MW119" s="285"/>
      <c r="MX119" s="372">
        <v>3595000</v>
      </c>
      <c r="MY119" s="371"/>
      <c r="MZ119" s="372">
        <v>3595000</v>
      </c>
      <c r="NA119" s="371"/>
      <c r="NB119" s="372">
        <v>3595000</v>
      </c>
      <c r="NC119" s="371"/>
      <c r="ND119" s="372">
        <v>3595000</v>
      </c>
      <c r="NE119" s="371"/>
      <c r="NF119" s="372">
        <v>3595000</v>
      </c>
      <c r="NG119" s="371"/>
      <c r="NH119" s="372">
        <v>3595000</v>
      </c>
      <c r="NI119" s="371"/>
      <c r="NJ119" s="372">
        <v>3595000</v>
      </c>
      <c r="NK119" s="371"/>
      <c r="NL119" s="372">
        <v>3595000</v>
      </c>
      <c r="NM119" s="371"/>
      <c r="NN119" s="372">
        <v>3595000</v>
      </c>
      <c r="NO119" s="371"/>
      <c r="NP119" s="372">
        <v>3595000</v>
      </c>
      <c r="NQ119" s="371"/>
      <c r="NR119" s="372">
        <v>3595000</v>
      </c>
      <c r="NS119" s="371"/>
      <c r="NT119" s="372">
        <v>3595000</v>
      </c>
      <c r="NU119" s="371"/>
      <c r="NV119" s="372">
        <v>3595000</v>
      </c>
      <c r="NW119" s="371"/>
      <c r="NX119" s="372">
        <v>3595000</v>
      </c>
      <c r="NY119" s="371"/>
      <c r="NZ119" s="372">
        <v>3595000</v>
      </c>
      <c r="OA119" s="371"/>
      <c r="OB119" s="372">
        <v>3595000</v>
      </c>
      <c r="OC119" s="371"/>
      <c r="OD119" s="372">
        <v>3595000</v>
      </c>
      <c r="OE119" s="371"/>
      <c r="OF119" s="372">
        <v>3595000</v>
      </c>
      <c r="OG119" s="371"/>
      <c r="OH119" s="372">
        <v>3595000</v>
      </c>
      <c r="OI119" s="371"/>
      <c r="OJ119" s="372">
        <v>3595000</v>
      </c>
      <c r="OK119" s="371"/>
      <c r="OL119" s="372">
        <v>3595000</v>
      </c>
      <c r="OM119" s="371"/>
      <c r="ON119" s="372">
        <v>3595000</v>
      </c>
      <c r="OO119" s="371"/>
      <c r="OP119" s="372">
        <v>3595000</v>
      </c>
      <c r="OQ119" s="371"/>
      <c r="OR119" s="372">
        <v>3595000</v>
      </c>
      <c r="OS119" s="371"/>
      <c r="OT119" s="372">
        <v>3595000</v>
      </c>
      <c r="OU119" s="371"/>
      <c r="OV119" s="372">
        <v>3595000</v>
      </c>
      <c r="OW119" s="371"/>
      <c r="OX119" s="372">
        <v>3595000</v>
      </c>
      <c r="OY119" s="371"/>
      <c r="OZ119" s="372">
        <v>3595000</v>
      </c>
      <c r="PA119" s="371"/>
      <c r="PB119" s="372">
        <v>3595000</v>
      </c>
      <c r="PC119" s="371"/>
      <c r="PD119" s="372">
        <v>3595000</v>
      </c>
      <c r="PE119" s="371"/>
      <c r="PF119" s="372">
        <v>3595000</v>
      </c>
      <c r="PG119" s="371"/>
      <c r="PH119" s="372">
        <v>3595000</v>
      </c>
      <c r="PI119" s="371"/>
      <c r="PJ119" s="372">
        <v>3595000</v>
      </c>
      <c r="PK119" s="371"/>
      <c r="PL119" s="372">
        <v>3595000</v>
      </c>
      <c r="PM119" s="371"/>
      <c r="PN119" s="372">
        <v>3595000</v>
      </c>
      <c r="PO119" s="371"/>
      <c r="PP119" s="372">
        <v>3595000</v>
      </c>
      <c r="PQ119" s="366"/>
      <c r="PR119" s="371"/>
      <c r="PS119" s="372">
        <v>3595000</v>
      </c>
      <c r="PT119" s="371"/>
      <c r="PU119" s="372">
        <v>3595000</v>
      </c>
      <c r="PV119" s="371"/>
      <c r="PW119" s="372">
        <v>3595000</v>
      </c>
      <c r="PX119" s="371"/>
      <c r="PY119" s="372">
        <v>3595000</v>
      </c>
      <c r="PZ119" s="371"/>
      <c r="QA119" s="372">
        <v>3595000</v>
      </c>
      <c r="QB119" s="371"/>
      <c r="QC119" s="372">
        <v>3595000</v>
      </c>
      <c r="QD119" s="366"/>
      <c r="QE119" s="366"/>
      <c r="QF119" s="371"/>
      <c r="QG119" s="372">
        <v>3595000</v>
      </c>
      <c r="QH119" s="371"/>
      <c r="QI119" s="372">
        <v>3595000</v>
      </c>
      <c r="QJ119" s="371"/>
      <c r="QK119" s="372">
        <v>3595000</v>
      </c>
      <c r="QL119" s="371"/>
      <c r="QM119" s="372">
        <v>3595000</v>
      </c>
      <c r="QN119" s="371"/>
      <c r="QO119" s="372">
        <v>3595000</v>
      </c>
      <c r="QP119" s="371"/>
      <c r="QQ119" s="372">
        <v>3595000</v>
      </c>
    </row>
    <row r="120" spans="1:459" x14ac:dyDescent="0.45">
      <c r="A120" s="871"/>
      <c r="B120" s="367" t="s">
        <v>418</v>
      </c>
      <c r="C120" s="365"/>
      <c r="D120" s="361" t="s">
        <v>390</v>
      </c>
      <c r="E120" s="370"/>
      <c r="F120" s="371"/>
      <c r="G120" s="372">
        <v>75</v>
      </c>
      <c r="H120" s="371"/>
      <c r="I120" s="372">
        <v>75</v>
      </c>
      <c r="J120" s="371"/>
      <c r="K120" s="372">
        <v>75</v>
      </c>
      <c r="L120" s="371"/>
      <c r="M120" s="372">
        <v>75</v>
      </c>
      <c r="N120" s="371"/>
      <c r="O120" s="372">
        <v>75</v>
      </c>
      <c r="P120" s="371"/>
      <c r="Q120" s="372">
        <v>75</v>
      </c>
      <c r="R120" s="371"/>
      <c r="S120" s="372">
        <v>75</v>
      </c>
      <c r="T120" s="371"/>
      <c r="U120" s="372">
        <v>75</v>
      </c>
      <c r="V120" s="371"/>
      <c r="W120" s="372">
        <v>75</v>
      </c>
      <c r="X120" s="371"/>
      <c r="Y120" s="372">
        <v>75</v>
      </c>
      <c r="Z120" s="371"/>
      <c r="AA120" s="372">
        <v>75</v>
      </c>
      <c r="AB120" s="371"/>
      <c r="AC120" s="372">
        <v>75</v>
      </c>
      <c r="AD120" s="371"/>
      <c r="AE120" s="372">
        <v>75</v>
      </c>
      <c r="AF120" s="371"/>
      <c r="AG120" s="372">
        <v>75</v>
      </c>
      <c r="AH120" s="371"/>
      <c r="AI120" s="372">
        <v>75</v>
      </c>
      <c r="AJ120" s="371"/>
      <c r="AK120" s="372">
        <v>75</v>
      </c>
      <c r="AL120" s="371"/>
      <c r="AM120" s="372">
        <v>75</v>
      </c>
      <c r="AN120" s="371"/>
      <c r="AO120" s="372">
        <v>75</v>
      </c>
      <c r="AP120" s="371"/>
      <c r="AQ120" s="372">
        <v>75</v>
      </c>
      <c r="AR120" s="371"/>
      <c r="AS120" s="372">
        <v>75</v>
      </c>
      <c r="AT120" s="371"/>
      <c r="AU120" s="372">
        <v>75</v>
      </c>
      <c r="AV120" s="371"/>
      <c r="AW120" s="372">
        <v>75</v>
      </c>
      <c r="AX120" s="371"/>
      <c r="AY120" s="372">
        <v>75</v>
      </c>
      <c r="AZ120" s="371"/>
      <c r="BA120" s="372">
        <v>75</v>
      </c>
      <c r="BB120" s="371"/>
      <c r="BC120" s="372">
        <v>75</v>
      </c>
      <c r="BD120" s="371"/>
      <c r="BE120" s="372">
        <v>75</v>
      </c>
      <c r="BF120" s="371"/>
      <c r="BG120" s="372">
        <v>75</v>
      </c>
      <c r="BH120" s="371"/>
      <c r="BI120" s="372">
        <v>75</v>
      </c>
      <c r="BJ120" s="371"/>
      <c r="BK120" s="372">
        <v>75</v>
      </c>
      <c r="BL120" s="371"/>
      <c r="BM120" s="372">
        <v>75</v>
      </c>
      <c r="BN120" s="371"/>
      <c r="BO120" s="372">
        <v>75</v>
      </c>
      <c r="BP120" s="371"/>
      <c r="BQ120" s="372">
        <v>75</v>
      </c>
      <c r="BR120" s="371"/>
      <c r="BS120" s="372">
        <v>75</v>
      </c>
      <c r="BT120" s="371"/>
      <c r="BU120" s="372">
        <v>75</v>
      </c>
      <c r="BV120" s="371"/>
      <c r="BW120" s="372">
        <v>75</v>
      </c>
      <c r="BX120" s="371"/>
      <c r="BY120" s="372">
        <v>75</v>
      </c>
      <c r="BZ120" s="371"/>
      <c r="CA120" s="372">
        <v>75</v>
      </c>
      <c r="CB120" s="371"/>
      <c r="CC120" s="372">
        <v>75</v>
      </c>
      <c r="CD120" s="371"/>
      <c r="CE120" s="372">
        <v>75</v>
      </c>
      <c r="CF120" s="371"/>
      <c r="CG120" s="372">
        <v>75</v>
      </c>
      <c r="CH120" s="371"/>
      <c r="CI120" s="372">
        <v>75</v>
      </c>
      <c r="CJ120" s="371"/>
      <c r="CK120" s="372">
        <v>75</v>
      </c>
      <c r="CL120" s="371"/>
      <c r="CM120" s="372">
        <v>75</v>
      </c>
      <c r="CN120" s="371"/>
      <c r="CO120" s="372">
        <v>75</v>
      </c>
      <c r="CP120" s="371"/>
      <c r="CQ120" s="372">
        <v>75</v>
      </c>
      <c r="CR120" s="371"/>
      <c r="CS120" s="372">
        <v>75</v>
      </c>
      <c r="CT120" s="365"/>
      <c r="CU120" s="371"/>
      <c r="CV120" s="372">
        <v>75</v>
      </c>
      <c r="CW120" s="371"/>
      <c r="CX120" s="372">
        <v>75</v>
      </c>
      <c r="CY120" s="371"/>
      <c r="CZ120" s="372">
        <v>75</v>
      </c>
      <c r="DA120" s="371"/>
      <c r="DB120" s="372">
        <v>75</v>
      </c>
      <c r="DC120" s="371"/>
      <c r="DD120" s="372">
        <v>75</v>
      </c>
      <c r="DE120" s="371"/>
      <c r="DF120" s="372">
        <v>75</v>
      </c>
      <c r="DG120" s="371"/>
      <c r="DH120" s="372">
        <v>75</v>
      </c>
      <c r="DI120" s="371"/>
      <c r="DJ120" s="372">
        <v>75</v>
      </c>
      <c r="DK120" s="371"/>
      <c r="DL120" s="372">
        <v>75</v>
      </c>
      <c r="DM120" s="371"/>
      <c r="DN120" s="372">
        <v>75</v>
      </c>
      <c r="DO120" s="371"/>
      <c r="DP120" s="372">
        <v>75</v>
      </c>
      <c r="DQ120" s="371"/>
      <c r="DR120" s="372">
        <v>75</v>
      </c>
      <c r="DS120" s="371"/>
      <c r="DT120" s="372">
        <v>75</v>
      </c>
      <c r="DU120" s="371"/>
      <c r="DV120" s="372">
        <v>75</v>
      </c>
      <c r="DW120" s="371"/>
      <c r="DX120" s="372">
        <v>75</v>
      </c>
      <c r="DY120" s="371"/>
      <c r="DZ120" s="372">
        <v>75</v>
      </c>
      <c r="EA120" s="371"/>
      <c r="EB120" s="372">
        <v>75</v>
      </c>
      <c r="EC120" s="371"/>
      <c r="ED120" s="372">
        <v>75</v>
      </c>
      <c r="EE120" s="371"/>
      <c r="EF120" s="372">
        <v>75</v>
      </c>
      <c r="EG120" s="371"/>
      <c r="EH120" s="372">
        <v>75</v>
      </c>
      <c r="EI120" s="371"/>
      <c r="EJ120" s="372">
        <v>75</v>
      </c>
      <c r="EK120" s="371"/>
      <c r="EL120" s="372">
        <v>75</v>
      </c>
      <c r="EM120" s="371"/>
      <c r="EN120" s="372">
        <v>75</v>
      </c>
      <c r="EO120" s="371"/>
      <c r="EP120" s="372">
        <v>75</v>
      </c>
      <c r="EQ120" s="371"/>
      <c r="ER120" s="372">
        <v>75</v>
      </c>
      <c r="ES120" s="371"/>
      <c r="ET120" s="372">
        <v>75</v>
      </c>
      <c r="EU120" s="371"/>
      <c r="EV120" s="372">
        <v>75</v>
      </c>
      <c r="EW120" s="371"/>
      <c r="EX120" s="372">
        <v>75</v>
      </c>
      <c r="EY120" s="371"/>
      <c r="EZ120" s="372">
        <v>75</v>
      </c>
      <c r="FA120" s="371"/>
      <c r="FB120" s="372">
        <v>75</v>
      </c>
      <c r="FC120" s="371"/>
      <c r="FD120" s="372">
        <v>75</v>
      </c>
      <c r="FE120" s="371"/>
      <c r="FF120" s="372">
        <v>75</v>
      </c>
      <c r="FG120" s="371"/>
      <c r="FH120" s="372">
        <v>75</v>
      </c>
      <c r="FI120" s="371"/>
      <c r="FJ120" s="372">
        <v>75</v>
      </c>
      <c r="FK120" s="371"/>
      <c r="FL120" s="372">
        <v>75</v>
      </c>
      <c r="FM120" s="371"/>
      <c r="FN120" s="372">
        <v>75</v>
      </c>
      <c r="FO120" s="371"/>
      <c r="FP120" s="372">
        <v>75</v>
      </c>
      <c r="FQ120" s="370"/>
      <c r="FR120" s="371"/>
      <c r="FS120" s="372">
        <v>75</v>
      </c>
      <c r="FT120" s="371"/>
      <c r="FU120" s="372">
        <v>75</v>
      </c>
      <c r="FV120" s="371"/>
      <c r="FW120" s="372">
        <v>75</v>
      </c>
      <c r="FX120" s="371"/>
      <c r="FY120" s="372">
        <v>75</v>
      </c>
      <c r="FZ120" s="371"/>
      <c r="GA120" s="372">
        <v>75</v>
      </c>
      <c r="GB120" s="371"/>
      <c r="GC120" s="372">
        <v>75</v>
      </c>
      <c r="GD120" s="371"/>
      <c r="GE120" s="372">
        <v>75</v>
      </c>
      <c r="GF120" s="371"/>
      <c r="GG120" s="372">
        <v>75</v>
      </c>
      <c r="GH120" s="371"/>
      <c r="GI120" s="372">
        <v>75</v>
      </c>
      <c r="GJ120" s="371"/>
      <c r="GK120" s="372">
        <v>75</v>
      </c>
      <c r="GL120" s="371"/>
      <c r="GM120" s="372">
        <v>75</v>
      </c>
      <c r="GN120" s="371"/>
      <c r="GO120" s="372">
        <v>75</v>
      </c>
      <c r="GP120" s="371"/>
      <c r="GQ120" s="372">
        <v>75</v>
      </c>
      <c r="GR120" s="371"/>
      <c r="GS120" s="372">
        <v>75</v>
      </c>
      <c r="GT120" s="371"/>
      <c r="GU120" s="372">
        <v>75</v>
      </c>
      <c r="GV120" s="371"/>
      <c r="GW120" s="372">
        <v>75</v>
      </c>
      <c r="GX120" s="371"/>
      <c r="GY120" s="372">
        <v>75</v>
      </c>
      <c r="GZ120" s="371"/>
      <c r="HA120" s="372">
        <v>75</v>
      </c>
      <c r="HB120" s="371"/>
      <c r="HC120" s="372">
        <v>75</v>
      </c>
      <c r="HD120" s="371"/>
      <c r="HE120" s="372">
        <v>75</v>
      </c>
      <c r="HF120" s="371"/>
      <c r="HG120" s="372">
        <v>75</v>
      </c>
      <c r="HH120" s="371"/>
      <c r="HI120" s="372">
        <v>75</v>
      </c>
      <c r="HJ120" s="371"/>
      <c r="HK120" s="372">
        <v>75</v>
      </c>
      <c r="HL120" s="371"/>
      <c r="HM120" s="372">
        <v>75</v>
      </c>
      <c r="HN120" s="371"/>
      <c r="HO120" s="372">
        <v>75</v>
      </c>
      <c r="HP120" s="371"/>
      <c r="HQ120" s="372">
        <v>75</v>
      </c>
      <c r="HR120" s="371"/>
      <c r="HS120" s="372">
        <v>75</v>
      </c>
      <c r="HT120" s="371"/>
      <c r="HU120" s="372">
        <v>75</v>
      </c>
      <c r="HV120" s="371"/>
      <c r="HW120" s="372">
        <v>75</v>
      </c>
      <c r="HX120" s="371"/>
      <c r="HY120" s="372">
        <v>75</v>
      </c>
      <c r="HZ120" s="371"/>
      <c r="IA120" s="372">
        <v>75</v>
      </c>
      <c r="IB120" s="371"/>
      <c r="IC120" s="372">
        <v>75</v>
      </c>
      <c r="ID120" s="371"/>
      <c r="IE120" s="372">
        <v>75</v>
      </c>
      <c r="IF120" s="371"/>
      <c r="IG120" s="372">
        <v>75</v>
      </c>
      <c r="IH120" s="371"/>
      <c r="II120" s="372">
        <v>75</v>
      </c>
      <c r="IJ120" s="371"/>
      <c r="IK120" s="372">
        <v>75</v>
      </c>
      <c r="IL120" s="371"/>
      <c r="IM120" s="372">
        <v>75</v>
      </c>
      <c r="IN120" s="371"/>
      <c r="IO120" s="372">
        <v>75</v>
      </c>
      <c r="IP120" s="371"/>
      <c r="IQ120" s="372">
        <v>75</v>
      </c>
      <c r="IR120" s="371"/>
      <c r="IS120" s="372">
        <v>75</v>
      </c>
      <c r="IT120" s="371"/>
      <c r="IU120" s="372">
        <v>75</v>
      </c>
      <c r="IV120" s="371"/>
      <c r="IW120" s="372">
        <v>75</v>
      </c>
      <c r="IX120" s="371"/>
      <c r="IY120" s="372">
        <v>75</v>
      </c>
      <c r="IZ120" s="370"/>
      <c r="JA120" s="371"/>
      <c r="JB120" s="372">
        <v>75</v>
      </c>
      <c r="JC120" s="371"/>
      <c r="JD120" s="372">
        <v>75</v>
      </c>
      <c r="JE120" s="370"/>
      <c r="JF120" s="371"/>
      <c r="JG120" s="372">
        <v>75</v>
      </c>
      <c r="JH120" s="371"/>
      <c r="JI120" s="372">
        <v>75</v>
      </c>
      <c r="JJ120" s="371"/>
      <c r="JK120" s="372">
        <v>75</v>
      </c>
      <c r="JL120" s="371"/>
      <c r="JM120" s="372">
        <v>75</v>
      </c>
      <c r="JN120" s="371"/>
      <c r="JO120" s="372">
        <v>75</v>
      </c>
      <c r="JP120" s="371"/>
      <c r="JQ120" s="372">
        <v>75</v>
      </c>
      <c r="JR120" s="371"/>
      <c r="JS120" s="372">
        <v>75</v>
      </c>
      <c r="JT120" s="371"/>
      <c r="JU120" s="372">
        <v>75</v>
      </c>
      <c r="JV120" s="371"/>
      <c r="JW120" s="372">
        <v>75</v>
      </c>
      <c r="JX120" s="371"/>
      <c r="JY120" s="372">
        <v>75</v>
      </c>
      <c r="JZ120" s="371"/>
      <c r="KA120" s="372">
        <v>75</v>
      </c>
      <c r="KB120" s="371"/>
      <c r="KC120" s="372">
        <v>75</v>
      </c>
      <c r="KD120" s="371"/>
      <c r="KE120" s="372">
        <v>75</v>
      </c>
      <c r="KF120" s="371"/>
      <c r="KG120" s="372">
        <v>75</v>
      </c>
      <c r="KH120" s="371"/>
      <c r="KI120" s="372">
        <v>75</v>
      </c>
      <c r="KJ120" s="371"/>
      <c r="KK120" s="372">
        <v>75</v>
      </c>
      <c r="KL120" s="371"/>
      <c r="KM120" s="372">
        <v>75</v>
      </c>
      <c r="KN120" s="371"/>
      <c r="KO120" s="372">
        <v>75</v>
      </c>
      <c r="KP120" s="371"/>
      <c r="KQ120" s="372">
        <v>75</v>
      </c>
      <c r="KR120" s="371"/>
      <c r="KS120" s="372">
        <v>75</v>
      </c>
      <c r="KT120" s="371"/>
      <c r="KU120" s="372">
        <v>75</v>
      </c>
      <c r="KV120" s="371"/>
      <c r="KW120" s="372">
        <v>75</v>
      </c>
      <c r="KX120" s="371"/>
      <c r="KY120" s="372">
        <v>75</v>
      </c>
      <c r="KZ120" s="371"/>
      <c r="LA120" s="372">
        <v>75</v>
      </c>
      <c r="LB120" s="371"/>
      <c r="LC120" s="372">
        <v>75</v>
      </c>
      <c r="LD120" s="371"/>
      <c r="LE120" s="372">
        <v>75</v>
      </c>
      <c r="LF120" s="371"/>
      <c r="LG120" s="372">
        <v>75</v>
      </c>
      <c r="LH120" s="371"/>
      <c r="LI120" s="372">
        <v>75</v>
      </c>
      <c r="LJ120" s="371"/>
      <c r="LK120" s="372">
        <v>75</v>
      </c>
      <c r="LL120" s="371"/>
      <c r="LM120" s="372">
        <v>75</v>
      </c>
      <c r="LN120" s="371"/>
      <c r="LO120" s="372">
        <v>75</v>
      </c>
      <c r="LP120" s="371"/>
      <c r="LQ120" s="372">
        <v>75</v>
      </c>
      <c r="LR120" s="371"/>
      <c r="LS120" s="372">
        <v>75</v>
      </c>
      <c r="LT120" s="371"/>
      <c r="LU120" s="372">
        <v>75</v>
      </c>
      <c r="LV120" s="371"/>
      <c r="LW120" s="372">
        <v>75</v>
      </c>
      <c r="LX120" s="371"/>
      <c r="LY120" s="372">
        <v>75</v>
      </c>
      <c r="LZ120" s="371"/>
      <c r="MA120" s="372">
        <v>75</v>
      </c>
      <c r="MB120" s="371"/>
      <c r="MC120" s="372">
        <v>75</v>
      </c>
      <c r="MD120" s="371"/>
      <c r="ME120" s="372">
        <v>75</v>
      </c>
      <c r="MF120" s="371"/>
      <c r="MG120" s="372">
        <v>75</v>
      </c>
      <c r="MH120" s="370"/>
      <c r="MI120" s="371"/>
      <c r="MJ120" s="372">
        <v>75</v>
      </c>
      <c r="MK120" s="371"/>
      <c r="ML120" s="372">
        <v>75</v>
      </c>
      <c r="MM120" s="371"/>
      <c r="MN120" s="372">
        <v>75</v>
      </c>
      <c r="MO120" s="371"/>
      <c r="MP120" s="372">
        <v>75</v>
      </c>
      <c r="MQ120" s="371"/>
      <c r="MR120" s="372">
        <v>75</v>
      </c>
      <c r="MS120" s="371"/>
      <c r="MT120" s="372">
        <v>75</v>
      </c>
      <c r="MU120" s="371"/>
      <c r="MV120" s="372">
        <v>75</v>
      </c>
      <c r="MW120" s="285"/>
      <c r="MX120" s="372">
        <v>75</v>
      </c>
      <c r="MY120" s="371"/>
      <c r="MZ120" s="372">
        <v>75</v>
      </c>
      <c r="NA120" s="371"/>
      <c r="NB120" s="372">
        <v>75</v>
      </c>
      <c r="NC120" s="371"/>
      <c r="ND120" s="372">
        <v>75</v>
      </c>
      <c r="NE120" s="371"/>
      <c r="NF120" s="372">
        <v>75</v>
      </c>
      <c r="NG120" s="371"/>
      <c r="NH120" s="372">
        <v>75</v>
      </c>
      <c r="NI120" s="371"/>
      <c r="NJ120" s="372">
        <v>75</v>
      </c>
      <c r="NK120" s="371"/>
      <c r="NL120" s="372">
        <v>75</v>
      </c>
      <c r="NM120" s="371"/>
      <c r="NN120" s="372">
        <v>75</v>
      </c>
      <c r="NO120" s="371"/>
      <c r="NP120" s="372">
        <v>75</v>
      </c>
      <c r="NQ120" s="371"/>
      <c r="NR120" s="372">
        <v>75</v>
      </c>
      <c r="NS120" s="371"/>
      <c r="NT120" s="372">
        <v>75</v>
      </c>
      <c r="NU120" s="371"/>
      <c r="NV120" s="372">
        <v>75</v>
      </c>
      <c r="NW120" s="371"/>
      <c r="NX120" s="372">
        <v>75</v>
      </c>
      <c r="NY120" s="371"/>
      <c r="NZ120" s="372">
        <v>75</v>
      </c>
      <c r="OA120" s="371"/>
      <c r="OB120" s="372">
        <v>75</v>
      </c>
      <c r="OC120" s="371"/>
      <c r="OD120" s="372">
        <v>75</v>
      </c>
      <c r="OE120" s="371"/>
      <c r="OF120" s="372">
        <v>75</v>
      </c>
      <c r="OG120" s="371"/>
      <c r="OH120" s="372">
        <v>75</v>
      </c>
      <c r="OI120" s="371"/>
      <c r="OJ120" s="372">
        <v>75</v>
      </c>
      <c r="OK120" s="371"/>
      <c r="OL120" s="372">
        <v>75</v>
      </c>
      <c r="OM120" s="371"/>
      <c r="ON120" s="372">
        <v>75</v>
      </c>
      <c r="OO120" s="371"/>
      <c r="OP120" s="372">
        <v>75</v>
      </c>
      <c r="OQ120" s="371"/>
      <c r="OR120" s="372">
        <v>75</v>
      </c>
      <c r="OS120" s="371"/>
      <c r="OT120" s="372">
        <v>75</v>
      </c>
      <c r="OU120" s="371"/>
      <c r="OV120" s="372">
        <v>75</v>
      </c>
      <c r="OW120" s="371"/>
      <c r="OX120" s="372">
        <v>75</v>
      </c>
      <c r="OY120" s="371"/>
      <c r="OZ120" s="372">
        <v>75</v>
      </c>
      <c r="PA120" s="371"/>
      <c r="PB120" s="372">
        <v>75</v>
      </c>
      <c r="PC120" s="371"/>
      <c r="PD120" s="372">
        <v>75</v>
      </c>
      <c r="PE120" s="371"/>
      <c r="PF120" s="372">
        <v>75</v>
      </c>
      <c r="PG120" s="371"/>
      <c r="PH120" s="372">
        <v>75</v>
      </c>
      <c r="PI120" s="371"/>
      <c r="PJ120" s="372">
        <v>75</v>
      </c>
      <c r="PK120" s="371"/>
      <c r="PL120" s="372">
        <v>75</v>
      </c>
      <c r="PM120" s="371"/>
      <c r="PN120" s="372">
        <v>75</v>
      </c>
      <c r="PO120" s="371"/>
      <c r="PP120" s="372">
        <v>75</v>
      </c>
      <c r="PQ120" s="366"/>
      <c r="PR120" s="371"/>
      <c r="PS120" s="372">
        <v>75</v>
      </c>
      <c r="PT120" s="371"/>
      <c r="PU120" s="372">
        <v>75</v>
      </c>
      <c r="PV120" s="371"/>
      <c r="PW120" s="372">
        <v>75</v>
      </c>
      <c r="PX120" s="371"/>
      <c r="PY120" s="372">
        <v>75</v>
      </c>
      <c r="PZ120" s="371"/>
      <c r="QA120" s="372">
        <v>75</v>
      </c>
      <c r="QB120" s="371"/>
      <c r="QC120" s="372">
        <v>75</v>
      </c>
      <c r="QD120" s="366"/>
      <c r="QE120" s="366"/>
      <c r="QF120" s="371"/>
      <c r="QG120" s="372">
        <v>75</v>
      </c>
      <c r="QH120" s="371"/>
      <c r="QI120" s="372">
        <v>75</v>
      </c>
      <c r="QJ120" s="371"/>
      <c r="QK120" s="372">
        <v>75</v>
      </c>
      <c r="QL120" s="371"/>
      <c r="QM120" s="372">
        <v>75</v>
      </c>
      <c r="QN120" s="371"/>
      <c r="QO120" s="372">
        <v>75</v>
      </c>
      <c r="QP120" s="371"/>
      <c r="QQ120" s="372">
        <v>75</v>
      </c>
    </row>
    <row r="121" spans="1:459" x14ac:dyDescent="0.45">
      <c r="A121" s="871"/>
      <c r="B121" s="180"/>
      <c r="C121" s="181"/>
      <c r="D121" s="199"/>
      <c r="E121" s="177"/>
      <c r="F121" s="285"/>
      <c r="G121" s="357"/>
      <c r="H121" s="285"/>
      <c r="I121" s="357"/>
      <c r="J121" s="285"/>
      <c r="K121" s="357"/>
      <c r="L121" s="285"/>
      <c r="M121" s="357"/>
      <c r="N121" s="285"/>
      <c r="O121" s="357"/>
      <c r="P121" s="285"/>
      <c r="Q121" s="357"/>
      <c r="R121" s="285"/>
      <c r="S121" s="357"/>
      <c r="T121" s="285"/>
      <c r="U121" s="357"/>
      <c r="V121" s="285"/>
      <c r="W121" s="357"/>
      <c r="X121" s="285"/>
      <c r="Y121" s="357"/>
      <c r="Z121" s="285"/>
      <c r="AA121" s="357"/>
      <c r="AB121" s="285"/>
      <c r="AC121" s="357"/>
      <c r="AD121" s="285"/>
      <c r="AE121" s="357"/>
      <c r="AF121" s="285"/>
      <c r="AG121" s="357"/>
      <c r="AH121" s="285"/>
      <c r="AI121" s="357"/>
      <c r="AJ121" s="285"/>
      <c r="AK121" s="357"/>
      <c r="AL121" s="285"/>
      <c r="AM121" s="357"/>
      <c r="AN121" s="285"/>
      <c r="AO121" s="357"/>
      <c r="AP121" s="285"/>
      <c r="AQ121" s="357"/>
      <c r="AR121" s="285"/>
      <c r="AS121" s="357"/>
      <c r="AT121" s="285"/>
      <c r="AU121" s="357"/>
      <c r="AV121" s="285"/>
      <c r="AW121" s="357"/>
      <c r="AX121" s="285"/>
      <c r="AY121" s="357"/>
      <c r="AZ121" s="285"/>
      <c r="BA121" s="357"/>
      <c r="BB121" s="285"/>
      <c r="BC121" s="357"/>
      <c r="BD121" s="285"/>
      <c r="BE121" s="357"/>
      <c r="BF121" s="285"/>
      <c r="BG121" s="357"/>
      <c r="BH121" s="285"/>
      <c r="BI121" s="357"/>
      <c r="BJ121" s="285"/>
      <c r="BK121" s="357"/>
      <c r="BL121" s="285"/>
      <c r="BM121" s="357"/>
      <c r="BN121" s="285"/>
      <c r="BO121" s="357"/>
      <c r="BP121" s="285"/>
      <c r="BQ121" s="357"/>
      <c r="BR121" s="285"/>
      <c r="BS121" s="357"/>
      <c r="BT121" s="285"/>
      <c r="BU121" s="357"/>
      <c r="BV121" s="285"/>
      <c r="BW121" s="357"/>
      <c r="BX121" s="285"/>
      <c r="BY121" s="357"/>
      <c r="BZ121" s="285"/>
      <c r="CA121" s="357"/>
      <c r="CB121" s="285"/>
      <c r="CC121" s="357"/>
      <c r="CD121" s="285"/>
      <c r="CE121" s="357"/>
      <c r="CF121" s="285"/>
      <c r="CG121" s="357"/>
      <c r="CH121" s="285"/>
      <c r="CI121" s="357"/>
      <c r="CJ121" s="285"/>
      <c r="CK121" s="357"/>
      <c r="CL121" s="285"/>
      <c r="CM121" s="357"/>
      <c r="CN121" s="285"/>
      <c r="CO121" s="357"/>
      <c r="CP121" s="285"/>
      <c r="CQ121" s="357"/>
      <c r="CR121" s="285"/>
      <c r="CS121" s="357"/>
      <c r="CT121" s="201"/>
      <c r="CU121" s="285"/>
      <c r="CV121" s="357"/>
      <c r="CW121" s="285"/>
      <c r="CX121" s="357"/>
      <c r="CY121" s="285"/>
      <c r="CZ121" s="357"/>
      <c r="DA121" s="285"/>
      <c r="DB121" s="357"/>
      <c r="DC121" s="285"/>
      <c r="DD121" s="357"/>
      <c r="DE121" s="285"/>
      <c r="DF121" s="357"/>
      <c r="DG121" s="285"/>
      <c r="DH121" s="357"/>
      <c r="DI121" s="285"/>
      <c r="DJ121" s="357"/>
      <c r="DK121" s="285"/>
      <c r="DL121" s="357"/>
      <c r="DM121" s="285"/>
      <c r="DN121" s="357"/>
      <c r="DO121" s="285"/>
      <c r="DP121" s="357"/>
      <c r="DQ121" s="285"/>
      <c r="DR121" s="357"/>
      <c r="DS121" s="285"/>
      <c r="DT121" s="357"/>
      <c r="DU121" s="285"/>
      <c r="DV121" s="357"/>
      <c r="DW121" s="285"/>
      <c r="DX121" s="357"/>
      <c r="DY121" s="285"/>
      <c r="DZ121" s="357"/>
      <c r="EA121" s="285"/>
      <c r="EB121" s="357"/>
      <c r="EC121" s="285"/>
      <c r="ED121" s="357"/>
      <c r="EE121" s="285"/>
      <c r="EF121" s="357"/>
      <c r="EG121" s="285"/>
      <c r="EH121" s="357"/>
      <c r="EI121" s="285"/>
      <c r="EJ121" s="357"/>
      <c r="EK121" s="285"/>
      <c r="EL121" s="357"/>
      <c r="EM121" s="285"/>
      <c r="EN121" s="357"/>
      <c r="EO121" s="285"/>
      <c r="EP121" s="357"/>
      <c r="EQ121" s="285"/>
      <c r="ER121" s="357"/>
      <c r="ES121" s="285"/>
      <c r="ET121" s="357"/>
      <c r="EU121" s="285"/>
      <c r="EV121" s="357"/>
      <c r="EW121" s="285"/>
      <c r="EX121" s="357"/>
      <c r="EY121" s="285"/>
      <c r="EZ121" s="357"/>
      <c r="FA121" s="285"/>
      <c r="FB121" s="357"/>
      <c r="FC121" s="285"/>
      <c r="FD121" s="357"/>
      <c r="FE121" s="285"/>
      <c r="FF121" s="357"/>
      <c r="FG121" s="285"/>
      <c r="FH121" s="357"/>
      <c r="FI121" s="285"/>
      <c r="FJ121" s="357"/>
      <c r="FK121" s="285"/>
      <c r="FL121" s="357"/>
      <c r="FM121" s="285"/>
      <c r="FN121" s="357"/>
      <c r="FO121" s="285"/>
      <c r="FP121" s="357"/>
      <c r="FQ121" s="177"/>
      <c r="FR121" s="285"/>
      <c r="FS121" s="357"/>
      <c r="FT121" s="285"/>
      <c r="FU121" s="357"/>
      <c r="FV121" s="285"/>
      <c r="FW121" s="357"/>
      <c r="FX121" s="285"/>
      <c r="FY121" s="357"/>
      <c r="FZ121" s="285"/>
      <c r="GA121" s="357"/>
      <c r="GB121" s="285"/>
      <c r="GC121" s="357"/>
      <c r="GD121" s="285"/>
      <c r="GE121" s="357"/>
      <c r="GF121" s="285"/>
      <c r="GG121" s="357"/>
      <c r="GH121" s="285"/>
      <c r="GI121" s="357"/>
      <c r="GJ121" s="285"/>
      <c r="GK121" s="357"/>
      <c r="GL121" s="285"/>
      <c r="GM121" s="357"/>
      <c r="GN121" s="285"/>
      <c r="GO121" s="357"/>
      <c r="GP121" s="285"/>
      <c r="GQ121" s="357"/>
      <c r="GR121" s="285"/>
      <c r="GS121" s="357"/>
      <c r="GT121" s="285"/>
      <c r="GU121" s="357"/>
      <c r="GV121" s="285"/>
      <c r="GW121" s="357"/>
      <c r="GX121" s="285"/>
      <c r="GY121" s="357"/>
      <c r="GZ121" s="285"/>
      <c r="HA121" s="357"/>
      <c r="HB121" s="285"/>
      <c r="HC121" s="357"/>
      <c r="HD121" s="285"/>
      <c r="HE121" s="357"/>
      <c r="HF121" s="285"/>
      <c r="HG121" s="357"/>
      <c r="HH121" s="285"/>
      <c r="HI121" s="357"/>
      <c r="HJ121" s="285"/>
      <c r="HK121" s="357"/>
      <c r="HL121" s="285"/>
      <c r="HM121" s="357"/>
      <c r="HN121" s="285"/>
      <c r="HO121" s="357"/>
      <c r="HP121" s="285"/>
      <c r="HQ121" s="357"/>
      <c r="HR121" s="285"/>
      <c r="HS121" s="357"/>
      <c r="HT121" s="285"/>
      <c r="HU121" s="357"/>
      <c r="HV121" s="285"/>
      <c r="HW121" s="357"/>
      <c r="HX121" s="285"/>
      <c r="HY121" s="357"/>
      <c r="HZ121" s="285"/>
      <c r="IA121" s="357"/>
      <c r="IB121" s="285"/>
      <c r="IC121" s="357"/>
      <c r="ID121" s="285"/>
      <c r="IE121" s="357"/>
      <c r="IF121" s="285"/>
      <c r="IG121" s="357"/>
      <c r="IH121" s="285"/>
      <c r="II121" s="357"/>
      <c r="IJ121" s="285"/>
      <c r="IK121" s="357"/>
      <c r="IL121" s="285"/>
      <c r="IM121" s="357"/>
      <c r="IN121" s="285"/>
      <c r="IO121" s="357"/>
      <c r="IP121" s="285"/>
      <c r="IQ121" s="357"/>
      <c r="IR121" s="285"/>
      <c r="IS121" s="357"/>
      <c r="IT121" s="285"/>
      <c r="IU121" s="357"/>
      <c r="IV121" s="285"/>
      <c r="IW121" s="357"/>
      <c r="IX121" s="285"/>
      <c r="IY121" s="357"/>
      <c r="IZ121" s="177"/>
      <c r="JA121" s="285"/>
      <c r="JB121" s="357"/>
      <c r="JC121" s="285"/>
      <c r="JD121" s="357"/>
      <c r="JE121" s="177"/>
      <c r="JF121" s="285"/>
      <c r="JG121" s="357"/>
      <c r="JH121" s="285"/>
      <c r="JI121" s="357"/>
      <c r="JJ121" s="285"/>
      <c r="JK121" s="357"/>
      <c r="JL121" s="285"/>
      <c r="JM121" s="357"/>
      <c r="JN121" s="285"/>
      <c r="JO121" s="357"/>
      <c r="JP121" s="285"/>
      <c r="JQ121" s="357"/>
      <c r="JR121" s="285"/>
      <c r="JS121" s="357"/>
      <c r="JT121" s="285"/>
      <c r="JU121" s="357"/>
      <c r="JV121" s="285"/>
      <c r="JW121" s="357"/>
      <c r="JX121" s="285"/>
      <c r="JY121" s="357"/>
      <c r="JZ121" s="285"/>
      <c r="KA121" s="357"/>
      <c r="KB121" s="285"/>
      <c r="KC121" s="357"/>
      <c r="KD121" s="285"/>
      <c r="KE121" s="357"/>
      <c r="KF121" s="285"/>
      <c r="KG121" s="357"/>
      <c r="KH121" s="285"/>
      <c r="KI121" s="357"/>
      <c r="KJ121" s="285"/>
      <c r="KK121" s="357"/>
      <c r="KL121" s="285"/>
      <c r="KM121" s="357"/>
      <c r="KN121" s="285"/>
      <c r="KO121" s="357"/>
      <c r="KP121" s="285"/>
      <c r="KQ121" s="357"/>
      <c r="KR121" s="285"/>
      <c r="KS121" s="357"/>
      <c r="KT121" s="285"/>
      <c r="KU121" s="357"/>
      <c r="KV121" s="285"/>
      <c r="KW121" s="357"/>
      <c r="KX121" s="285"/>
      <c r="KY121" s="357"/>
      <c r="KZ121" s="285"/>
      <c r="LA121" s="357"/>
      <c r="LB121" s="285"/>
      <c r="LC121" s="357"/>
      <c r="LD121" s="285"/>
      <c r="LE121" s="357"/>
      <c r="LF121" s="285"/>
      <c r="LG121" s="357"/>
      <c r="LH121" s="285"/>
      <c r="LI121" s="357"/>
      <c r="LJ121" s="285"/>
      <c r="LK121" s="357"/>
      <c r="LL121" s="285"/>
      <c r="LM121" s="357"/>
      <c r="LN121" s="285"/>
      <c r="LO121" s="357"/>
      <c r="LP121" s="285"/>
      <c r="LQ121" s="357"/>
      <c r="LR121" s="285"/>
      <c r="LS121" s="357"/>
      <c r="LT121" s="285"/>
      <c r="LU121" s="357"/>
      <c r="LV121" s="285"/>
      <c r="LW121" s="357"/>
      <c r="LX121" s="285"/>
      <c r="LY121" s="357"/>
      <c r="LZ121" s="285"/>
      <c r="MA121" s="357"/>
      <c r="MB121" s="285"/>
      <c r="MC121" s="357"/>
      <c r="MD121" s="285"/>
      <c r="ME121" s="357"/>
      <c r="MF121" s="285"/>
      <c r="MG121" s="357"/>
      <c r="MH121" s="177"/>
      <c r="MI121" s="285"/>
      <c r="MJ121" s="357"/>
      <c r="MK121" s="285"/>
      <c r="ML121" s="357"/>
      <c r="MM121" s="285"/>
      <c r="MN121" s="357"/>
      <c r="MO121" s="285"/>
      <c r="MP121" s="357"/>
      <c r="MQ121" s="285"/>
      <c r="MR121" s="357"/>
      <c r="MS121" s="285"/>
      <c r="MT121" s="357"/>
      <c r="MU121" s="285"/>
      <c r="MV121" s="357"/>
      <c r="MW121" s="285"/>
      <c r="MX121" s="357"/>
      <c r="MY121" s="285"/>
      <c r="MZ121" s="357"/>
      <c r="NA121" s="285"/>
      <c r="NB121" s="357"/>
      <c r="NC121" s="285"/>
      <c r="ND121" s="357"/>
      <c r="NE121" s="285"/>
      <c r="NF121" s="357"/>
      <c r="NG121" s="285"/>
      <c r="NH121" s="357"/>
      <c r="NI121" s="285"/>
      <c r="NJ121" s="357"/>
      <c r="NK121" s="285"/>
      <c r="NL121" s="357"/>
      <c r="NM121" s="285"/>
      <c r="NN121" s="357"/>
      <c r="NO121" s="285"/>
      <c r="NP121" s="357"/>
      <c r="NQ121" s="285"/>
      <c r="NR121" s="357"/>
      <c r="NS121" s="285"/>
      <c r="NT121" s="357"/>
      <c r="NU121" s="285"/>
      <c r="NV121" s="357"/>
      <c r="NW121" s="285"/>
      <c r="NX121" s="357"/>
      <c r="NY121" s="285"/>
      <c r="NZ121" s="357"/>
      <c r="OA121" s="285"/>
      <c r="OB121" s="357"/>
      <c r="OC121" s="285"/>
      <c r="OD121" s="357"/>
      <c r="OE121" s="285"/>
      <c r="OF121" s="357"/>
      <c r="OG121" s="285"/>
      <c r="OH121" s="357"/>
      <c r="OI121" s="285"/>
      <c r="OJ121" s="357"/>
      <c r="OK121" s="285"/>
      <c r="OL121" s="357"/>
      <c r="OM121" s="285"/>
      <c r="ON121" s="357"/>
      <c r="OO121" s="285"/>
      <c r="OP121" s="357"/>
      <c r="OQ121" s="285"/>
      <c r="OR121" s="357"/>
      <c r="OS121" s="285"/>
      <c r="OT121" s="357"/>
      <c r="OU121" s="285"/>
      <c r="OV121" s="357"/>
      <c r="OW121" s="285"/>
      <c r="OX121" s="357"/>
      <c r="OY121" s="285"/>
      <c r="OZ121" s="357"/>
      <c r="PA121" s="285"/>
      <c r="PB121" s="357"/>
      <c r="PC121" s="285"/>
      <c r="PD121" s="357"/>
      <c r="PE121" s="285"/>
      <c r="PF121" s="357"/>
      <c r="PG121" s="285"/>
      <c r="PH121" s="357"/>
      <c r="PI121" s="285"/>
      <c r="PJ121" s="357"/>
      <c r="PK121" s="285"/>
      <c r="PL121" s="357"/>
      <c r="PM121" s="285"/>
      <c r="PN121" s="357"/>
      <c r="PO121" s="285"/>
      <c r="PP121" s="357"/>
      <c r="PR121" s="285"/>
      <c r="PS121" s="357"/>
      <c r="PT121" s="285"/>
      <c r="PU121" s="357"/>
      <c r="PV121" s="285"/>
      <c r="PW121" s="357"/>
      <c r="PX121" s="285"/>
      <c r="PY121" s="357"/>
      <c r="PZ121" s="285"/>
      <c r="QA121" s="357"/>
      <c r="QB121" s="285"/>
      <c r="QC121" s="357"/>
      <c r="QF121" s="285"/>
      <c r="QG121" s="357"/>
      <c r="QH121" s="285"/>
      <c r="QI121" s="357"/>
      <c r="QJ121" s="285"/>
      <c r="QK121" s="357"/>
      <c r="QL121" s="285"/>
      <c r="QM121" s="357"/>
      <c r="QN121" s="285"/>
      <c r="QO121" s="357"/>
      <c r="QP121" s="285"/>
      <c r="QQ121" s="357"/>
    </row>
    <row r="122" spans="1:459" x14ac:dyDescent="0.45">
      <c r="A122" s="871"/>
      <c r="B122" s="180" t="s">
        <v>419</v>
      </c>
      <c r="C122" s="181"/>
      <c r="D122" s="199"/>
      <c r="E122" s="484"/>
      <c r="F122" s="285"/>
      <c r="G122" s="357">
        <f>G65</f>
        <v>1150</v>
      </c>
      <c r="H122" s="285"/>
      <c r="I122" s="357">
        <f>I65</f>
        <v>1150</v>
      </c>
      <c r="J122" s="285"/>
      <c r="K122" s="357">
        <f>K65</f>
        <v>1150</v>
      </c>
      <c r="L122" s="285"/>
      <c r="M122" s="357">
        <f>M65</f>
        <v>1150</v>
      </c>
      <c r="N122" s="285"/>
      <c r="O122" s="357">
        <f>O65</f>
        <v>1150</v>
      </c>
      <c r="P122" s="285"/>
      <c r="Q122" s="357">
        <f>(Q60-Q69)*Q66</f>
        <v>1152.0000000000027</v>
      </c>
      <c r="R122" s="285"/>
      <c r="S122" s="357">
        <f>S65</f>
        <v>1150</v>
      </c>
      <c r="T122" s="285"/>
      <c r="U122" s="357">
        <f>U65</f>
        <v>2000</v>
      </c>
      <c r="V122" s="285"/>
      <c r="W122" s="357">
        <f>W65</f>
        <v>2000</v>
      </c>
      <c r="X122" s="285"/>
      <c r="Y122" s="357">
        <f>Y65</f>
        <v>2091</v>
      </c>
      <c r="Z122" s="285"/>
      <c r="AA122" s="357">
        <v>2000</v>
      </c>
      <c r="AB122" s="285"/>
      <c r="AC122" s="357">
        <f>(AC60-AC69)*AC66</f>
        <v>1920</v>
      </c>
      <c r="AD122" s="285"/>
      <c r="AE122" s="357">
        <f>(AE60-AE69)*AE66</f>
        <v>2111.9999999999991</v>
      </c>
      <c r="AF122" s="285"/>
      <c r="AG122" s="357">
        <f>(AG60-AG69)*AG66</f>
        <v>2111.9999999999991</v>
      </c>
      <c r="AH122" s="285"/>
      <c r="AI122" s="357">
        <f>DH122</f>
        <v>2267.6499999999983</v>
      </c>
      <c r="AJ122" s="285"/>
      <c r="AK122" s="357">
        <f>(AK60-AK69)*AK66</f>
        <v>2111.9999999999991</v>
      </c>
      <c r="AL122" s="285"/>
      <c r="AM122" s="357">
        <f>(AM60-AM69)*AM66</f>
        <v>2111.9999999999991</v>
      </c>
      <c r="AN122" s="285"/>
      <c r="AO122" s="357">
        <f>(AO60-AO69)*AO66</f>
        <v>2111.9999999999991</v>
      </c>
      <c r="AP122" s="285"/>
      <c r="AQ122" s="357">
        <f>(AQ60-AQ69)*AQ66</f>
        <v>2111.9999999999991</v>
      </c>
      <c r="AR122" s="285"/>
      <c r="AS122" s="357">
        <f>(AS60-AS69)*AS66</f>
        <v>2111.9999999999991</v>
      </c>
      <c r="AT122" s="285"/>
      <c r="AU122" s="357">
        <f>(AU60-AU69)*AU66</f>
        <v>960</v>
      </c>
      <c r="AV122" s="285"/>
      <c r="AW122" s="357">
        <f>(AW60-AW69)*AW66</f>
        <v>960</v>
      </c>
      <c r="AX122" s="285"/>
      <c r="AY122" s="357">
        <f>(AY60-AY69)*AY66</f>
        <v>960</v>
      </c>
      <c r="AZ122" s="285"/>
      <c r="BA122" s="357">
        <f>(BA60-BA69)*BA66</f>
        <v>960</v>
      </c>
      <c r="BB122" s="285"/>
      <c r="BC122" s="357">
        <f>(BC60-BC69)*BC66</f>
        <v>960</v>
      </c>
      <c r="BD122" s="285"/>
      <c r="BE122" s="357">
        <f>(BE60-BE69)*BE66</f>
        <v>960</v>
      </c>
      <c r="BF122" s="285"/>
      <c r="BG122" s="357">
        <f>(BG60-BG69)*BG66</f>
        <v>960</v>
      </c>
      <c r="BH122" s="285"/>
      <c r="BI122" s="357">
        <f>(BI60-BI69)*BI66</f>
        <v>960</v>
      </c>
      <c r="BJ122" s="285"/>
      <c r="BK122" s="357">
        <f>(BK60-BK69)*BK66</f>
        <v>960</v>
      </c>
      <c r="BL122" s="285"/>
      <c r="BM122" s="357">
        <f>(BM60-BM69)*BM66</f>
        <v>960</v>
      </c>
      <c r="BN122" s="285"/>
      <c r="BO122" s="357">
        <f>(BO60-BO69)*BO66</f>
        <v>960</v>
      </c>
      <c r="BP122" s="285"/>
      <c r="BQ122" s="357">
        <f>(BQ60-BQ69)*BQ66</f>
        <v>960</v>
      </c>
      <c r="BR122" s="285"/>
      <c r="BS122" s="357">
        <f>(BS60-BS69)*BS66</f>
        <v>960</v>
      </c>
      <c r="BT122" s="285"/>
      <c r="BU122" s="357">
        <f>(BU60-BU69)*BU66</f>
        <v>960</v>
      </c>
      <c r="BV122" s="285"/>
      <c r="BW122" s="357">
        <f>(BW60-BW69)*BW66</f>
        <v>960</v>
      </c>
      <c r="BX122" s="285"/>
      <c r="BY122" s="357">
        <f>(BY60-BY69)*BY66</f>
        <v>960</v>
      </c>
      <c r="BZ122" s="285"/>
      <c r="CA122" s="357">
        <f>(CA60-CA69)*CA66</f>
        <v>960</v>
      </c>
      <c r="CB122" s="285"/>
      <c r="CC122" s="357">
        <f>(CC60-CC69)*CC66</f>
        <v>960</v>
      </c>
      <c r="CD122" s="285"/>
      <c r="CE122" s="357">
        <f>(CE60-CE69)*CE66</f>
        <v>960</v>
      </c>
      <c r="CF122" s="285"/>
      <c r="CG122" s="357">
        <f>(CG60-CG69)*CG66</f>
        <v>960</v>
      </c>
      <c r="CH122" s="285"/>
      <c r="CI122" s="357">
        <f>(CI60-CI69)*CI66</f>
        <v>960</v>
      </c>
      <c r="CJ122" s="285"/>
      <c r="CK122" s="357">
        <f>(CK60-CK69)*CK66</f>
        <v>960</v>
      </c>
      <c r="CL122" s="285"/>
      <c r="CM122" s="357">
        <f>(CM60-CM69)*CM66</f>
        <v>960</v>
      </c>
      <c r="CN122" s="285"/>
      <c r="CO122" s="357">
        <f>(CO60-CO69)*CO66</f>
        <v>960</v>
      </c>
      <c r="CP122" s="285"/>
      <c r="CQ122" s="357">
        <f>(CQ60-CQ69)*CQ66</f>
        <v>960</v>
      </c>
      <c r="CR122" s="285"/>
      <c r="CS122" s="357">
        <f>(CS60-CS69)*CS66</f>
        <v>960</v>
      </c>
      <c r="CT122" s="201"/>
      <c r="CU122" s="285"/>
      <c r="CV122" s="357">
        <f>(CV60-CV69)*CV66</f>
        <v>1312.8500000000017</v>
      </c>
      <c r="CW122" s="285"/>
      <c r="CX122" s="357">
        <f>(CX60-CX69)*CX66</f>
        <v>1312.8500000000017</v>
      </c>
      <c r="CY122" s="285"/>
      <c r="CZ122" s="357">
        <f>(CZ60-CZ69)*CZ66</f>
        <v>1909.5999999999974</v>
      </c>
      <c r="DA122" s="285"/>
      <c r="DB122" s="357">
        <f>(DB60-DB69)*DB66</f>
        <v>1909.5999999999974</v>
      </c>
      <c r="DC122" s="285"/>
      <c r="DD122" s="357">
        <f>(DD60-DD69)*DD66</f>
        <v>2267.6499999999983</v>
      </c>
      <c r="DE122" s="285"/>
      <c r="DF122" s="357">
        <f>(DF60-DF69)*DF66</f>
        <v>2267.6499999999983</v>
      </c>
      <c r="DG122" s="285"/>
      <c r="DH122" s="357">
        <f>(DH60-DH69)*DH66</f>
        <v>2267.6499999999983</v>
      </c>
      <c r="DI122" s="285"/>
      <c r="DJ122" s="357">
        <f>(DJ60-DJ69)*DJ66</f>
        <v>2267.6499999999983</v>
      </c>
      <c r="DK122" s="285"/>
      <c r="DL122" s="357">
        <f>(DL60-DL69)*DL66</f>
        <v>2267.6499999999983</v>
      </c>
      <c r="DM122" s="285"/>
      <c r="DN122" s="357">
        <f>(DN60-DN69)*DN66</f>
        <v>2267.6499999999983</v>
      </c>
      <c r="DO122" s="285"/>
      <c r="DP122" s="357">
        <f>(DP60-DP69)*DP66</f>
        <v>2267.6499999999983</v>
      </c>
      <c r="DQ122" s="285"/>
      <c r="DR122" s="357">
        <f>(DR60-DR69)*DR66</f>
        <v>2267.6499999999983</v>
      </c>
      <c r="DS122" s="285"/>
      <c r="DT122" s="357">
        <f>(DT60-DT69)*DT66</f>
        <v>954.80000000000086</v>
      </c>
      <c r="DU122" s="285"/>
      <c r="DV122" s="357">
        <f>(DV60-DV69)*DV66</f>
        <v>954.80000000000086</v>
      </c>
      <c r="DW122" s="285"/>
      <c r="DX122" s="357">
        <f>(DX60-DX69)*DX66</f>
        <v>954.80000000000086</v>
      </c>
      <c r="DY122" s="285"/>
      <c r="DZ122" s="357">
        <f>(DZ60-DZ69)*DZ66</f>
        <v>954.80000000000086</v>
      </c>
      <c r="EA122" s="285"/>
      <c r="EB122" s="357">
        <f>(EB60-EB69)*EB66</f>
        <v>954.80000000000086</v>
      </c>
      <c r="EC122" s="285"/>
      <c r="ED122" s="357">
        <f>(ED60-ED69)*ED66</f>
        <v>954.80000000000086</v>
      </c>
      <c r="EE122" s="285"/>
      <c r="EF122" s="357">
        <f>(EF60-EF69)*EF66</f>
        <v>954.80000000000086</v>
      </c>
      <c r="EG122" s="285"/>
      <c r="EH122" s="357">
        <f>(EH60-EH69)*EH66</f>
        <v>954.80000000000086</v>
      </c>
      <c r="EI122" s="285"/>
      <c r="EJ122" s="357">
        <f>(EJ60-EJ69)*EJ66</f>
        <v>954.80000000000086</v>
      </c>
      <c r="EK122" s="285"/>
      <c r="EL122" s="357">
        <f>(EL60-EL69)*EL66</f>
        <v>954.80000000000086</v>
      </c>
      <c r="EM122" s="285"/>
      <c r="EN122" s="357">
        <f>(EN60-EN69)*EN66</f>
        <v>954.80000000000086</v>
      </c>
      <c r="EO122" s="285"/>
      <c r="EP122" s="357">
        <f>(EP60-EP69)*EP66</f>
        <v>954.80000000000086</v>
      </c>
      <c r="EQ122" s="285"/>
      <c r="ER122" s="357">
        <f>(ER60-ER69)*ER66</f>
        <v>954.80000000000086</v>
      </c>
      <c r="ES122" s="285"/>
      <c r="ET122" s="357">
        <f>(ET60-ET69)*ET66</f>
        <v>954.80000000000086</v>
      </c>
      <c r="EU122" s="285"/>
      <c r="EV122" s="357">
        <f>(EV60-EV69)*EV66</f>
        <v>954.80000000000086</v>
      </c>
      <c r="EW122" s="285"/>
      <c r="EX122" s="357">
        <f>(EX60-EX69)*EX66</f>
        <v>954.80000000000086</v>
      </c>
      <c r="EY122" s="285"/>
      <c r="EZ122" s="357">
        <f>(EZ60-EZ69)*EZ66</f>
        <v>954.80000000000086</v>
      </c>
      <c r="FA122" s="285"/>
      <c r="FB122" s="357">
        <f>(FB60-FB69)*FB66</f>
        <v>954.80000000000086</v>
      </c>
      <c r="FC122" s="285"/>
      <c r="FD122" s="357">
        <f>(FD60-FD69)*FD66</f>
        <v>954.80000000000086</v>
      </c>
      <c r="FE122" s="285"/>
      <c r="FF122" s="357">
        <f>(FF60-FF69)*FF66</f>
        <v>954.80000000000086</v>
      </c>
      <c r="FG122" s="285"/>
      <c r="FH122" s="357">
        <f>(FH60-FH69)*FH66</f>
        <v>954.80000000000086</v>
      </c>
      <c r="FI122" s="285"/>
      <c r="FJ122" s="357">
        <f>(FJ60-FJ69)*FJ66</f>
        <v>954.80000000000086</v>
      </c>
      <c r="FK122" s="285"/>
      <c r="FL122" s="357">
        <f>(FL60-FL69)*FL66</f>
        <v>954.80000000000086</v>
      </c>
      <c r="FM122" s="285"/>
      <c r="FN122" s="357">
        <f>(FN60-FN69)*FN66</f>
        <v>954.80000000000086</v>
      </c>
      <c r="FO122" s="285"/>
      <c r="FP122" s="357">
        <f>(FP60-FP69)*FP66</f>
        <v>954.80000000000086</v>
      </c>
      <c r="FQ122" s="357"/>
      <c r="FR122" s="285"/>
      <c r="FS122" s="357">
        <f>FS65</f>
        <v>1160</v>
      </c>
      <c r="FT122" s="285"/>
      <c r="FU122" s="357">
        <f>FU65</f>
        <v>1160</v>
      </c>
      <c r="FV122" s="285"/>
      <c r="FW122" s="357">
        <f>(FW60-FW69)*FW66</f>
        <v>1152.0000000000027</v>
      </c>
      <c r="FX122" s="285"/>
      <c r="FY122" s="357">
        <f>FY65</f>
        <v>1150</v>
      </c>
      <c r="FZ122" s="285"/>
      <c r="GA122" s="357">
        <v>2000</v>
      </c>
      <c r="GB122" s="285"/>
      <c r="GC122" s="357">
        <v>2000</v>
      </c>
      <c r="GD122" s="285"/>
      <c r="GE122" s="357">
        <f>GE65</f>
        <v>2091</v>
      </c>
      <c r="GF122" s="285"/>
      <c r="GG122" s="357">
        <v>2000</v>
      </c>
      <c r="GH122" s="285"/>
      <c r="GI122" s="357">
        <f>(GI60-GI69)*GI66</f>
        <v>1920</v>
      </c>
      <c r="GJ122" s="285"/>
      <c r="GK122" s="357">
        <f>(GK60-GK69)*GK66</f>
        <v>2303.9999999999986</v>
      </c>
      <c r="GL122" s="285"/>
      <c r="GM122" s="357">
        <f>(GM60-GM69)*GM66</f>
        <v>2303.9999999999986</v>
      </c>
      <c r="GN122" s="285"/>
      <c r="GO122" s="357">
        <f>(GO60-GO69)*GO66</f>
        <v>2303.9999999999986</v>
      </c>
      <c r="GP122" s="285"/>
      <c r="GQ122" s="357">
        <f>(GQ60-GQ69)*GQ66</f>
        <v>2303.9999999999986</v>
      </c>
      <c r="GR122" s="285"/>
      <c r="GS122" s="357">
        <f>(GS60-GS69)*GS66</f>
        <v>2303.9999999999986</v>
      </c>
      <c r="GT122" s="285"/>
      <c r="GU122" s="357">
        <f>(GU60-GU69)*GU66</f>
        <v>2303.9999999999986</v>
      </c>
      <c r="GV122" s="285"/>
      <c r="GW122" s="357">
        <f>(GW60-GW69)*GW66</f>
        <v>2303.9999999999986</v>
      </c>
      <c r="GX122" s="285"/>
      <c r="GY122" s="357">
        <f>(GY60-GY69)*GY66</f>
        <v>2303.9999999999986</v>
      </c>
      <c r="GZ122" s="285"/>
      <c r="HA122" s="357">
        <f>(HA60-HA69)*HA66</f>
        <v>960</v>
      </c>
      <c r="HB122" s="285"/>
      <c r="HC122" s="357">
        <f>(HC60-HC69)*HC66</f>
        <v>960</v>
      </c>
      <c r="HD122" s="285"/>
      <c r="HE122" s="357">
        <f>(HE60-HE69)*HE66</f>
        <v>960</v>
      </c>
      <c r="HF122" s="285"/>
      <c r="HG122" s="357">
        <f>(HG60-HG69)*HG66</f>
        <v>960</v>
      </c>
      <c r="HH122" s="285"/>
      <c r="HI122" s="357">
        <f>(HI60-HI69)*HI66</f>
        <v>960</v>
      </c>
      <c r="HJ122" s="285"/>
      <c r="HK122" s="357">
        <f>(HK60-HK69)*HK66</f>
        <v>960</v>
      </c>
      <c r="HL122" s="285"/>
      <c r="HM122" s="357">
        <f>(HM60-HM69)*HM66</f>
        <v>960</v>
      </c>
      <c r="HN122" s="285"/>
      <c r="HO122" s="357">
        <f>(HO60-HO69)*HO66</f>
        <v>960</v>
      </c>
      <c r="HP122" s="285"/>
      <c r="HQ122" s="357">
        <f>(HQ60-HQ69)*HQ66</f>
        <v>960</v>
      </c>
      <c r="HR122" s="285"/>
      <c r="HS122" s="357">
        <f>(HS60-HS69)*HS66</f>
        <v>960</v>
      </c>
      <c r="HT122" s="285"/>
      <c r="HU122" s="357">
        <f>(HU60-HU69)*HU66</f>
        <v>960</v>
      </c>
      <c r="HV122" s="285"/>
      <c r="HW122" s="357">
        <f>(HW60-HW69)*HW66</f>
        <v>960</v>
      </c>
      <c r="HX122" s="285"/>
      <c r="HY122" s="357">
        <f>(HY60-HY69)*HY66</f>
        <v>960</v>
      </c>
      <c r="HZ122" s="285"/>
      <c r="IA122" s="357">
        <f>(IA60-IA69)*IA66</f>
        <v>960</v>
      </c>
      <c r="IB122" s="285"/>
      <c r="IC122" s="357">
        <f>(IC60-IC69)*IC66</f>
        <v>960</v>
      </c>
      <c r="ID122" s="285"/>
      <c r="IE122" s="357">
        <f>(IE60-IE69)*IE66</f>
        <v>960</v>
      </c>
      <c r="IF122" s="285"/>
      <c r="IG122" s="357">
        <f>(IG60-IG69)*IG66</f>
        <v>960</v>
      </c>
      <c r="IH122" s="285"/>
      <c r="II122" s="357">
        <f>(II60-II69)*II66</f>
        <v>960</v>
      </c>
      <c r="IJ122" s="285"/>
      <c r="IK122" s="357">
        <f>(IK60-IK69)*IK66</f>
        <v>960</v>
      </c>
      <c r="IL122" s="285"/>
      <c r="IM122" s="357">
        <f>(IM60-IM69)*IM66</f>
        <v>960</v>
      </c>
      <c r="IN122" s="285"/>
      <c r="IO122" s="357">
        <f>(IO60-IO69)*IO66</f>
        <v>960</v>
      </c>
      <c r="IP122" s="285"/>
      <c r="IQ122" s="357">
        <f>(IQ60-IQ69)*IQ66</f>
        <v>960</v>
      </c>
      <c r="IR122" s="285"/>
      <c r="IS122" s="357">
        <f>(IS60-IS69)*IS66</f>
        <v>960</v>
      </c>
      <c r="IT122" s="285"/>
      <c r="IU122" s="357">
        <f>(IU60-IU69)*IU66</f>
        <v>960</v>
      </c>
      <c r="IV122" s="285"/>
      <c r="IW122" s="357">
        <f>(IW60-IW69)*IW66</f>
        <v>960</v>
      </c>
      <c r="IX122" s="285"/>
      <c r="IY122" s="357">
        <f>(IY60-IY69)*IY66</f>
        <v>960</v>
      </c>
      <c r="IZ122" s="484"/>
      <c r="JA122" s="285"/>
      <c r="JB122" s="357">
        <f>(JB60-JB69)*JB66</f>
        <v>960</v>
      </c>
      <c r="JC122" s="285"/>
      <c r="JD122" s="357">
        <f>(JD60-JD69)*JD66</f>
        <v>960</v>
      </c>
      <c r="JE122" s="177"/>
      <c r="JF122" s="285"/>
      <c r="JG122" s="357">
        <f>JG65</f>
        <v>1250</v>
      </c>
      <c r="JH122" s="285"/>
      <c r="JI122" s="357">
        <f>JI65</f>
        <v>1250</v>
      </c>
      <c r="JJ122" s="285"/>
      <c r="JK122" s="357">
        <f>(JK60-JK69)*JK66</f>
        <v>1259.9999999999993</v>
      </c>
      <c r="JL122" s="285"/>
      <c r="JM122" s="357">
        <f>JM65</f>
        <v>1250</v>
      </c>
      <c r="JN122" s="285"/>
      <c r="JO122" s="357">
        <v>2000</v>
      </c>
      <c r="JP122" s="285"/>
      <c r="JQ122" s="357">
        <f>JQ65</f>
        <v>2000</v>
      </c>
      <c r="JR122" s="285"/>
      <c r="JS122" s="357">
        <f>(JS60-JS69)*JS66</f>
        <v>2100</v>
      </c>
      <c r="JT122" s="285"/>
      <c r="JU122" s="357">
        <f>(JU60-JU69)*JU66</f>
        <v>2100</v>
      </c>
      <c r="JV122" s="285"/>
      <c r="JW122" s="357">
        <f>(JW60-JW69)*JW66</f>
        <v>1925</v>
      </c>
      <c r="JX122" s="285"/>
      <c r="JY122" s="357">
        <f>(JY60-JY69)*JY66</f>
        <v>1925</v>
      </c>
      <c r="JZ122" s="285"/>
      <c r="KA122" s="357">
        <f>(KA60-KA69)*KA66</f>
        <v>1925</v>
      </c>
      <c r="KB122" s="285"/>
      <c r="KC122" s="357">
        <f>(KC60-KC69)*KC66</f>
        <v>1925</v>
      </c>
      <c r="KD122" s="285"/>
      <c r="KE122" s="357">
        <f>(KE60-KE69)*KE66</f>
        <v>1925</v>
      </c>
      <c r="KF122" s="285"/>
      <c r="KG122" s="357">
        <f>(KG60-KG69)*KG66</f>
        <v>1925</v>
      </c>
      <c r="KH122" s="285"/>
      <c r="KI122" s="357">
        <f>(KI60-KI69)*KI66</f>
        <v>1925</v>
      </c>
      <c r="KJ122" s="285"/>
      <c r="KK122" s="357">
        <f>(KK60-KK69)*KK66</f>
        <v>770.00000000000068</v>
      </c>
      <c r="KL122" s="285"/>
      <c r="KM122" s="357">
        <f>(KM60-KM69)*KM66</f>
        <v>770.00000000000068</v>
      </c>
      <c r="KN122" s="285"/>
      <c r="KO122" s="357">
        <f>(KO60-KO69)*KO66</f>
        <v>770.00000000000068</v>
      </c>
      <c r="KP122" s="285"/>
      <c r="KQ122" s="357">
        <f>(KQ60-KQ69)*KQ66</f>
        <v>770.00000000000068</v>
      </c>
      <c r="KR122" s="285"/>
      <c r="KS122" s="357">
        <f>(KS60-KS69)*KS66</f>
        <v>770.00000000000068</v>
      </c>
      <c r="KT122" s="285"/>
      <c r="KU122" s="357">
        <f>(KU60-KU69)*KU66</f>
        <v>770.00000000000068</v>
      </c>
      <c r="KV122" s="285"/>
      <c r="KW122" s="357">
        <f>(KW60-KW69)*KW66</f>
        <v>770.00000000000068</v>
      </c>
      <c r="KX122" s="285"/>
      <c r="KY122" s="357">
        <f>(KY60-KY69)*KY66</f>
        <v>770.00000000000068</v>
      </c>
      <c r="KZ122" s="285"/>
      <c r="LA122" s="357">
        <f>(LA60-LA69)*LA66</f>
        <v>770.00000000000068</v>
      </c>
      <c r="LB122" s="285"/>
      <c r="LC122" s="357">
        <f>(LC60-LC69)*LC66</f>
        <v>770.00000000000068</v>
      </c>
      <c r="LD122" s="285"/>
      <c r="LE122" s="357">
        <f>(LE60-LE69)*LE66</f>
        <v>770.00000000000068</v>
      </c>
      <c r="LF122" s="285"/>
      <c r="LG122" s="357">
        <f>(LG60-LG69)*LG66</f>
        <v>770.00000000000068</v>
      </c>
      <c r="LH122" s="285"/>
      <c r="LI122" s="357">
        <f>(LI60-LI69)*LI66</f>
        <v>770.00000000000068</v>
      </c>
      <c r="LJ122" s="285"/>
      <c r="LK122" s="357">
        <f>(LK60-LK69)*LK66</f>
        <v>770.00000000000068</v>
      </c>
      <c r="LL122" s="285"/>
      <c r="LM122" s="357">
        <f>(LM60-LM69)*LM66</f>
        <v>770.00000000000068</v>
      </c>
      <c r="LN122" s="285"/>
      <c r="LO122" s="357">
        <f>(LO60-LO69)*LO66</f>
        <v>770.00000000000068</v>
      </c>
      <c r="LP122" s="285"/>
      <c r="LQ122" s="357">
        <f>(LQ60-LQ69)*LQ66</f>
        <v>770.00000000000068</v>
      </c>
      <c r="LR122" s="285"/>
      <c r="LS122" s="357">
        <f>(LS60-LS69)*LS66</f>
        <v>770.00000000000068</v>
      </c>
      <c r="LT122" s="285"/>
      <c r="LU122" s="357">
        <f>(LU60-LU69)*LU66</f>
        <v>770.00000000000068</v>
      </c>
      <c r="LV122" s="285"/>
      <c r="LW122" s="357">
        <f>(LW60-LW69)*LW66</f>
        <v>770.00000000000068</v>
      </c>
      <c r="LX122" s="285"/>
      <c r="LY122" s="357">
        <f>(LY60-LY69)*LY66</f>
        <v>770.00000000000068</v>
      </c>
      <c r="LZ122" s="285"/>
      <c r="MA122" s="357">
        <f>(MA60-MA69)*MA66</f>
        <v>770.00000000000068</v>
      </c>
      <c r="MB122" s="285"/>
      <c r="MC122" s="357">
        <f>(MC60-MC69)*MC66</f>
        <v>770.00000000000068</v>
      </c>
      <c r="MD122" s="285"/>
      <c r="ME122" s="357">
        <f>(ME60-ME69)*ME66</f>
        <v>770.00000000000068</v>
      </c>
      <c r="MF122" s="285"/>
      <c r="MG122" s="357">
        <f>(MG60-MG69)*MG66</f>
        <v>770.00000000000068</v>
      </c>
      <c r="MH122" s="177"/>
      <c r="MI122" s="285"/>
      <c r="MJ122" s="357">
        <f>MJ65</f>
        <v>1250</v>
      </c>
      <c r="MK122" s="285"/>
      <c r="ML122" s="357">
        <f>ML65</f>
        <v>1250</v>
      </c>
      <c r="MM122" s="285"/>
      <c r="MN122" s="357">
        <f>(MN60-MN69)*MN66</f>
        <v>1234.1999999999994</v>
      </c>
      <c r="MO122" s="285"/>
      <c r="MP122" s="357">
        <f>MP65</f>
        <v>1250</v>
      </c>
      <c r="MQ122" s="285"/>
      <c r="MR122" s="357">
        <v>2000</v>
      </c>
      <c r="MS122" s="285"/>
      <c r="MT122" s="357">
        <v>2000</v>
      </c>
      <c r="MU122" s="285"/>
      <c r="MV122" s="357">
        <f>(MV60-MV69)*MV66</f>
        <v>2057</v>
      </c>
      <c r="MW122" s="285"/>
      <c r="MX122" s="357">
        <f>(MX60-MX69)*MX66</f>
        <v>2057</v>
      </c>
      <c r="MY122" s="285"/>
      <c r="MZ122" s="357">
        <f>(MZ60-MZ69)*MZ66</f>
        <v>2057</v>
      </c>
      <c r="NA122" s="285"/>
      <c r="NB122" s="357">
        <f>(NB60-NB69)*NB66</f>
        <v>2057</v>
      </c>
      <c r="NC122" s="285"/>
      <c r="ND122" s="357">
        <f>(ND60-ND69)*ND66</f>
        <v>2057</v>
      </c>
      <c r="NE122" s="285"/>
      <c r="NF122" s="357">
        <f>(NF60-NF69)*NF66</f>
        <v>2057</v>
      </c>
      <c r="NG122" s="285"/>
      <c r="NH122" s="357">
        <f>(NH60-NH69)*NH66</f>
        <v>2057</v>
      </c>
      <c r="NI122" s="285"/>
      <c r="NJ122" s="357">
        <f>(NJ60-NJ69)*NJ66</f>
        <v>2057</v>
      </c>
      <c r="NK122" s="285"/>
      <c r="NL122" s="357">
        <f>(NL60-NL69)*NL66</f>
        <v>2057</v>
      </c>
      <c r="NM122" s="285"/>
      <c r="NN122" s="357">
        <f>(NN60-NN69)*NN66</f>
        <v>822.80000000000075</v>
      </c>
      <c r="NO122" s="285"/>
      <c r="NP122" s="357">
        <f>(NP60-NP69)*NP66</f>
        <v>822.80000000000075</v>
      </c>
      <c r="NQ122" s="285"/>
      <c r="NR122" s="357">
        <f>(NR60-NR69)*NR66</f>
        <v>822.80000000000075</v>
      </c>
      <c r="NS122" s="285"/>
      <c r="NT122" s="357">
        <f>(NT60-NT69)*NT66</f>
        <v>822.80000000000075</v>
      </c>
      <c r="NU122" s="285"/>
      <c r="NV122" s="357">
        <f>(NV60-NV69)*NV66</f>
        <v>822.80000000000075</v>
      </c>
      <c r="NW122" s="285"/>
      <c r="NX122" s="357">
        <f>(NX60-NX69)*NX66</f>
        <v>822.80000000000075</v>
      </c>
      <c r="NY122" s="285"/>
      <c r="NZ122" s="357">
        <f>(NZ60-NZ69)*NZ66</f>
        <v>822.80000000000075</v>
      </c>
      <c r="OA122" s="285"/>
      <c r="OB122" s="357">
        <f>(OB60-OB69)*OB66</f>
        <v>822.80000000000075</v>
      </c>
      <c r="OC122" s="285"/>
      <c r="OD122" s="357">
        <f>(OD60-OD69)*OD66</f>
        <v>822.80000000000075</v>
      </c>
      <c r="OE122" s="285"/>
      <c r="OF122" s="357">
        <f>(OF60-OF69)*OF66</f>
        <v>822.80000000000075</v>
      </c>
      <c r="OG122" s="285"/>
      <c r="OH122" s="357">
        <f>(OH60-OH69)*OH66</f>
        <v>822.80000000000075</v>
      </c>
      <c r="OI122" s="285"/>
      <c r="OJ122" s="357">
        <f>(OJ60-OJ69)*OJ66</f>
        <v>822.80000000000075</v>
      </c>
      <c r="OK122" s="285"/>
      <c r="OL122" s="357">
        <f>(OL60-OL69)*OL66</f>
        <v>822.80000000000075</v>
      </c>
      <c r="OM122" s="285"/>
      <c r="ON122" s="357">
        <f>(ON60-ON69)*ON66</f>
        <v>822.80000000000075</v>
      </c>
      <c r="OO122" s="285"/>
      <c r="OP122" s="357">
        <f>(OP60-OP69)*OP66</f>
        <v>822.80000000000075</v>
      </c>
      <c r="OQ122" s="285"/>
      <c r="OR122" s="357">
        <f>(OR60-OR69)*OR66</f>
        <v>822.80000000000075</v>
      </c>
      <c r="OS122" s="285"/>
      <c r="OT122" s="357">
        <f>(OT60-OT69)*OT66</f>
        <v>822.80000000000075</v>
      </c>
      <c r="OU122" s="285"/>
      <c r="OV122" s="357">
        <f>(OV60-OV69)*OV66</f>
        <v>822.80000000000075</v>
      </c>
      <c r="OW122" s="285"/>
      <c r="OX122" s="357">
        <f>(OX60-OX69)*OX66</f>
        <v>822.80000000000075</v>
      </c>
      <c r="OY122" s="285"/>
      <c r="OZ122" s="357">
        <f>(OZ60-OZ69)*OZ66</f>
        <v>822.80000000000075</v>
      </c>
      <c r="PA122" s="285"/>
      <c r="PB122" s="357">
        <f>(PB60-PB69)*PB66</f>
        <v>822.80000000000075</v>
      </c>
      <c r="PC122" s="285"/>
      <c r="PD122" s="357">
        <f>(PD60-PD69)*PD66</f>
        <v>822.80000000000075</v>
      </c>
      <c r="PE122" s="285"/>
      <c r="PF122" s="357">
        <f>(PF60-PF69)*PF66</f>
        <v>822.80000000000075</v>
      </c>
      <c r="PG122" s="285"/>
      <c r="PH122" s="357">
        <f>(PH60-PH69)*PH66</f>
        <v>822.80000000000075</v>
      </c>
      <c r="PI122" s="285"/>
      <c r="PJ122" s="357">
        <f>(PJ60-PJ69)*PJ66</f>
        <v>822.80000000000075</v>
      </c>
      <c r="PK122" s="285"/>
      <c r="PL122" s="357">
        <f>(PL60-PL69)*PL66</f>
        <v>822.80000000000075</v>
      </c>
      <c r="PM122" s="285"/>
      <c r="PN122" s="357">
        <f>(PN60-PN69)*PN66</f>
        <v>822.80000000000075</v>
      </c>
      <c r="PO122" s="285"/>
      <c r="PP122" s="357">
        <f>(PP60-PP69)*PP66</f>
        <v>822.80000000000075</v>
      </c>
      <c r="PR122" s="285"/>
      <c r="PS122" s="357">
        <f>(PS60-PS69)*PS66</f>
        <v>1160.0000000000011</v>
      </c>
      <c r="PT122" s="285"/>
      <c r="PU122" s="357">
        <f>(PU60-PU69)*PU66</f>
        <v>1160.0000000000011</v>
      </c>
      <c r="PV122" s="285"/>
      <c r="PW122" s="357">
        <f>(PW60-PW69)*PW66</f>
        <v>1160.0000000000011</v>
      </c>
      <c r="PX122" s="285"/>
      <c r="PY122" s="357">
        <f>(PY60-PY69)*PY66</f>
        <v>1160.0000000000011</v>
      </c>
      <c r="PZ122" s="285"/>
      <c r="QA122" s="357">
        <f>(QA60-QA69)*QA66</f>
        <v>1160.0000000000011</v>
      </c>
      <c r="QB122" s="285"/>
      <c r="QC122" s="357">
        <f>(QC60-QC69)*QC66</f>
        <v>1160.0000000000011</v>
      </c>
      <c r="QF122" s="285"/>
      <c r="QG122" s="357">
        <f>(QG60-QG69)*QG66</f>
        <v>1160.0000000000011</v>
      </c>
      <c r="QH122" s="285"/>
      <c r="QI122" s="357">
        <f>(QI60-QI69)*QI66</f>
        <v>1160.0000000000011</v>
      </c>
      <c r="QJ122" s="285"/>
      <c r="QK122" s="357">
        <f>(QK60-QK69)*QK66</f>
        <v>1160.0000000000011</v>
      </c>
      <c r="QL122" s="285"/>
      <c r="QM122" s="357">
        <f>(QM60-QM69)*QM66</f>
        <v>1160.0000000000011</v>
      </c>
      <c r="QN122" s="285"/>
      <c r="QO122" s="357">
        <f>(QO60-QO69)*QO66</f>
        <v>1159.9999999999959</v>
      </c>
      <c r="QP122" s="285"/>
      <c r="QQ122" s="357">
        <f>(QQ60-QQ69)*QQ66</f>
        <v>1159.9999999999959</v>
      </c>
    </row>
    <row r="123" spans="1:459" x14ac:dyDescent="0.45">
      <c r="A123" s="871"/>
      <c r="B123" s="180" t="s">
        <v>420</v>
      </c>
      <c r="C123" s="181"/>
      <c r="D123" s="199"/>
      <c r="E123" s="484"/>
      <c r="F123" s="285"/>
      <c r="G123" s="357">
        <f>G122</f>
        <v>1150</v>
      </c>
      <c r="H123" s="285"/>
      <c r="I123" s="357">
        <f>I122</f>
        <v>1150</v>
      </c>
      <c r="J123" s="285"/>
      <c r="K123" s="357">
        <f>K122</f>
        <v>1150</v>
      </c>
      <c r="L123" s="285"/>
      <c r="M123" s="357">
        <f>M122</f>
        <v>1150</v>
      </c>
      <c r="N123" s="285"/>
      <c r="O123" s="357">
        <f>O122</f>
        <v>1150</v>
      </c>
      <c r="P123" s="285"/>
      <c r="Q123" s="357">
        <v>1800</v>
      </c>
      <c r="R123" s="285"/>
      <c r="S123" s="357">
        <v>2000</v>
      </c>
      <c r="T123" s="285"/>
      <c r="U123" s="357">
        <v>2000</v>
      </c>
      <c r="V123" s="285"/>
      <c r="W123" s="357">
        <v>2000</v>
      </c>
      <c r="X123" s="285"/>
      <c r="Y123" s="357">
        <v>2000</v>
      </c>
      <c r="Z123" s="285"/>
      <c r="AA123" s="357">
        <v>2000</v>
      </c>
      <c r="AB123" s="285"/>
      <c r="AC123" s="357">
        <v>2000</v>
      </c>
      <c r="AD123" s="285"/>
      <c r="AE123" s="357">
        <f>DD123</f>
        <v>2200</v>
      </c>
      <c r="AF123" s="285"/>
      <c r="AG123" s="357">
        <f>DF123</f>
        <v>900</v>
      </c>
      <c r="AH123" s="285"/>
      <c r="AI123" s="357">
        <f>DH123</f>
        <v>900</v>
      </c>
      <c r="AJ123" s="285"/>
      <c r="AK123" s="357">
        <f>DJ123</f>
        <v>679.99999999999932</v>
      </c>
      <c r="AL123" s="285"/>
      <c r="AM123" s="357">
        <f>DL123</f>
        <v>690.35346588906179</v>
      </c>
      <c r="AN123" s="285"/>
      <c r="AO123" s="357">
        <f>DN123</f>
        <v>725.17355871134305</v>
      </c>
      <c r="AP123" s="285"/>
      <c r="AQ123" s="357">
        <f>DP123</f>
        <v>868.3910697149928</v>
      </c>
      <c r="AR123" s="285"/>
      <c r="AS123" s="357">
        <f>DR123</f>
        <v>900</v>
      </c>
      <c r="AT123" s="285"/>
      <c r="AU123" s="357">
        <f>DT123</f>
        <v>900</v>
      </c>
      <c r="AV123" s="285"/>
      <c r="AW123" s="357">
        <f>DV123</f>
        <v>575</v>
      </c>
      <c r="AX123" s="285"/>
      <c r="AY123" s="357">
        <f>DX123</f>
        <v>355</v>
      </c>
      <c r="AZ123" s="285"/>
      <c r="BA123" s="357">
        <f>DZ123</f>
        <v>355</v>
      </c>
      <c r="BB123" s="285"/>
      <c r="BC123" s="357">
        <f>EB123</f>
        <v>418</v>
      </c>
      <c r="BD123" s="285"/>
      <c r="BE123" s="357">
        <f>ED123</f>
        <v>623</v>
      </c>
      <c r="BF123" s="285"/>
      <c r="BG123" s="357">
        <f>EF123</f>
        <v>585</v>
      </c>
      <c r="BH123" s="285"/>
      <c r="BI123" s="357">
        <f>EH123</f>
        <v>553</v>
      </c>
      <c r="BJ123" s="285"/>
      <c r="BK123" s="357">
        <f>EJ123</f>
        <v>718</v>
      </c>
      <c r="BL123" s="285"/>
      <c r="BM123" s="357">
        <f>AVERAGE(BK123,BI123,BG123,BE123,BC123,BA123,AY123,AW123,AQ123,AO123,AM123,AK123)</f>
        <v>595.49317452628316</v>
      </c>
      <c r="BN123" s="285"/>
      <c r="BO123" s="357">
        <f>EN123</f>
        <v>0</v>
      </c>
      <c r="BP123" s="285"/>
      <c r="BQ123" s="357">
        <f>EP123</f>
        <v>0</v>
      </c>
      <c r="BR123" s="285"/>
      <c r="BS123" s="357">
        <f>ER123</f>
        <v>0</v>
      </c>
      <c r="BT123" s="285"/>
      <c r="BU123" s="357">
        <f>ET123</f>
        <v>0</v>
      </c>
      <c r="BV123" s="285"/>
      <c r="BW123" s="357">
        <f>EV123</f>
        <v>0</v>
      </c>
      <c r="BX123" s="285"/>
      <c r="BY123" s="357">
        <f>EX123</f>
        <v>0</v>
      </c>
      <c r="BZ123" s="285"/>
      <c r="CA123" s="357">
        <f>EZ123</f>
        <v>950</v>
      </c>
      <c r="CB123" s="285"/>
      <c r="CC123" s="357">
        <f>FB123</f>
        <v>0</v>
      </c>
      <c r="CD123" s="285"/>
      <c r="CE123" s="357">
        <f>FD123</f>
        <v>0</v>
      </c>
      <c r="CF123" s="285"/>
      <c r="CG123" s="357">
        <f>FF123</f>
        <v>0</v>
      </c>
      <c r="CH123" s="285"/>
      <c r="CI123" s="357">
        <f>FH123</f>
        <v>0</v>
      </c>
      <c r="CJ123" s="285"/>
      <c r="CK123" s="357">
        <f>FJ123</f>
        <v>0</v>
      </c>
      <c r="CL123" s="285"/>
      <c r="CM123" s="357">
        <f>AVERAGE(BO123,BQ123,BS123,BU123,BW123,BY123,CA123,CC123,CE123,CG123,CI123,CK123)</f>
        <v>79.166666666666671</v>
      </c>
      <c r="CN123" s="285"/>
      <c r="CO123" s="357">
        <v>950</v>
      </c>
      <c r="CP123" s="285"/>
      <c r="CQ123" s="357">
        <v>855</v>
      </c>
      <c r="CR123" s="285"/>
      <c r="CS123" s="357">
        <v>855</v>
      </c>
      <c r="CT123" s="201"/>
      <c r="CU123" s="285"/>
      <c r="CV123" s="357">
        <v>1800</v>
      </c>
      <c r="CW123" s="285"/>
      <c r="CX123" s="357">
        <v>2000</v>
      </c>
      <c r="CY123" s="285"/>
      <c r="CZ123" s="357">
        <v>2000</v>
      </c>
      <c r="DA123" s="285"/>
      <c r="DB123" s="357">
        <v>2000</v>
      </c>
      <c r="DC123" s="285"/>
      <c r="DD123" s="357">
        <v>2200</v>
      </c>
      <c r="DE123" s="285"/>
      <c r="DF123" s="357">
        <v>900</v>
      </c>
      <c r="DG123" s="285"/>
      <c r="DH123" s="357">
        <v>900</v>
      </c>
      <c r="DI123" s="285"/>
      <c r="DJ123" s="357">
        <v>679.99999999999932</v>
      </c>
      <c r="DK123" s="285"/>
      <c r="DL123" s="357">
        <v>690.35346588906179</v>
      </c>
      <c r="DM123" s="285"/>
      <c r="DN123" s="357">
        <v>725.17355871134305</v>
      </c>
      <c r="DO123" s="285"/>
      <c r="DP123" s="357">
        <v>868.3910697149928</v>
      </c>
      <c r="DQ123" s="285"/>
      <c r="DR123" s="357">
        <v>900</v>
      </c>
      <c r="DS123" s="285"/>
      <c r="DT123" s="357">
        <v>900</v>
      </c>
      <c r="DU123" s="285"/>
      <c r="DV123" s="357">
        <v>575</v>
      </c>
      <c r="DW123" s="285"/>
      <c r="DX123" s="357">
        <v>355</v>
      </c>
      <c r="DY123" s="285"/>
      <c r="DZ123" s="357">
        <v>355</v>
      </c>
      <c r="EA123" s="285"/>
      <c r="EB123" s="357">
        <v>418</v>
      </c>
      <c r="EC123" s="285"/>
      <c r="ED123" s="357">
        <v>623</v>
      </c>
      <c r="EE123" s="285"/>
      <c r="EF123" s="357">
        <v>585</v>
      </c>
      <c r="EG123" s="285"/>
      <c r="EH123" s="357">
        <v>553</v>
      </c>
      <c r="EI123" s="285"/>
      <c r="EJ123" s="357">
        <v>718</v>
      </c>
      <c r="EK123" s="285"/>
      <c r="EL123" s="357">
        <v>718</v>
      </c>
      <c r="EM123" s="285"/>
      <c r="EN123" s="357">
        <f>'[2]PS LEC'!BE124</f>
        <v>0</v>
      </c>
      <c r="EO123" s="285"/>
      <c r="EP123" s="357">
        <f>'[2]PS LEC'!BG124</f>
        <v>0</v>
      </c>
      <c r="EQ123" s="285"/>
      <c r="ER123" s="357">
        <f>'[2]PS LEC'!BI124</f>
        <v>0</v>
      </c>
      <c r="ES123" s="285"/>
      <c r="ET123" s="357">
        <f>'[2]PS LEC'!BK124</f>
        <v>0</v>
      </c>
      <c r="EU123" s="285"/>
      <c r="EV123" s="357">
        <f>'[2]PS LEC'!BM124</f>
        <v>0</v>
      </c>
      <c r="EW123" s="285"/>
      <c r="EX123" s="357">
        <f>'[2]PS LEC'!BO124</f>
        <v>0</v>
      </c>
      <c r="EY123" s="285"/>
      <c r="EZ123" s="357">
        <v>950</v>
      </c>
      <c r="FA123" s="285"/>
      <c r="FB123" s="357">
        <f>'[2]PS LEC'!BQ124</f>
        <v>0</v>
      </c>
      <c r="FC123" s="285"/>
      <c r="FD123" s="357">
        <f>'[2]PS LEC'!BS124</f>
        <v>0</v>
      </c>
      <c r="FE123" s="285"/>
      <c r="FF123" s="357">
        <f>'[2]PS LEC'!CG124</f>
        <v>0</v>
      </c>
      <c r="FG123" s="285"/>
      <c r="FH123" s="357">
        <f>'[2]PS LEC'!CI124</f>
        <v>0</v>
      </c>
      <c r="FI123" s="285"/>
      <c r="FJ123" s="357">
        <f>'[2]PS LEC'!CK124</f>
        <v>0</v>
      </c>
      <c r="FK123" s="285"/>
      <c r="FL123" s="357">
        <f>'[2]PS LEC'!CQ124</f>
        <v>0</v>
      </c>
      <c r="FM123" s="285"/>
      <c r="FN123" s="357">
        <f>'[2]PS LEC'!CS124</f>
        <v>0</v>
      </c>
      <c r="FO123" s="285"/>
      <c r="FP123" s="357">
        <f>'[2]PS LEC'!CU124</f>
        <v>0</v>
      </c>
      <c r="FQ123" s="357"/>
      <c r="FR123" s="285"/>
      <c r="FS123" s="357">
        <f>FS122</f>
        <v>1160</v>
      </c>
      <c r="FT123" s="285"/>
      <c r="FU123" s="357">
        <f>FU122</f>
        <v>1160</v>
      </c>
      <c r="FV123" s="285"/>
      <c r="FW123" s="357">
        <v>1800</v>
      </c>
      <c r="FX123" s="285"/>
      <c r="FY123" s="357">
        <v>2000</v>
      </c>
      <c r="FZ123" s="285"/>
      <c r="GA123" s="357">
        <v>2000</v>
      </c>
      <c r="GB123" s="285"/>
      <c r="GC123" s="357">
        <v>2000</v>
      </c>
      <c r="GD123" s="285"/>
      <c r="GE123" s="357">
        <v>2000</v>
      </c>
      <c r="GF123" s="285"/>
      <c r="GG123" s="357">
        <v>2000</v>
      </c>
      <c r="GH123" s="285"/>
      <c r="GI123" s="357">
        <v>2000</v>
      </c>
      <c r="GJ123" s="285"/>
      <c r="GK123" s="357">
        <f>DD123</f>
        <v>2200</v>
      </c>
      <c r="GL123" s="285"/>
      <c r="GM123" s="357">
        <f>DF123</f>
        <v>900</v>
      </c>
      <c r="GN123" s="285"/>
      <c r="GO123" s="357">
        <f>DH123</f>
        <v>900</v>
      </c>
      <c r="GP123" s="285"/>
      <c r="GQ123" s="357">
        <f>DJ123</f>
        <v>679.99999999999932</v>
      </c>
      <c r="GR123" s="285"/>
      <c r="GS123" s="357">
        <f>DL123</f>
        <v>690.35346588906179</v>
      </c>
      <c r="GT123" s="285"/>
      <c r="GU123" s="357">
        <f>DN123</f>
        <v>725.17355871134305</v>
      </c>
      <c r="GV123" s="285"/>
      <c r="GW123" s="357">
        <f>DP123</f>
        <v>868.3910697149928</v>
      </c>
      <c r="GX123" s="285"/>
      <c r="GY123" s="357">
        <f>DR123</f>
        <v>900</v>
      </c>
      <c r="GZ123" s="285"/>
      <c r="HA123" s="357">
        <f>DT123</f>
        <v>900</v>
      </c>
      <c r="HB123" s="285"/>
      <c r="HC123" s="357">
        <f>DV123</f>
        <v>575</v>
      </c>
      <c r="HD123" s="285"/>
      <c r="HE123" s="357">
        <f>DX123</f>
        <v>355</v>
      </c>
      <c r="HF123" s="285"/>
      <c r="HG123" s="357">
        <f>DZ123</f>
        <v>355</v>
      </c>
      <c r="HH123" s="285"/>
      <c r="HI123" s="357">
        <f>EB123</f>
        <v>418</v>
      </c>
      <c r="HJ123" s="285"/>
      <c r="HK123" s="357">
        <v>500</v>
      </c>
      <c r="HL123" s="285"/>
      <c r="HM123" s="357">
        <v>500</v>
      </c>
      <c r="HN123" s="285"/>
      <c r="HO123" s="357">
        <v>500</v>
      </c>
      <c r="HP123" s="285"/>
      <c r="HQ123" s="357">
        <f>EJ123</f>
        <v>718</v>
      </c>
      <c r="HR123" s="285"/>
      <c r="HS123" s="357">
        <f>AVERAGE(HQ123,HO123,HM123,HK123,HI123,HG123,HE123,HC123,GW123,GU123,GS123,GQ123)</f>
        <v>573.74317452628316</v>
      </c>
      <c r="HT123" s="285"/>
      <c r="HU123" s="357">
        <f>EN123</f>
        <v>0</v>
      </c>
      <c r="HV123" s="285"/>
      <c r="HW123" s="357">
        <f>EP123</f>
        <v>0</v>
      </c>
      <c r="HX123" s="285"/>
      <c r="HY123" s="357">
        <f>ER123</f>
        <v>0</v>
      </c>
      <c r="HZ123" s="285"/>
      <c r="IA123" s="357">
        <f>ET123</f>
        <v>0</v>
      </c>
      <c r="IB123" s="285"/>
      <c r="IC123" s="357">
        <f>EV123</f>
        <v>0</v>
      </c>
      <c r="ID123" s="285"/>
      <c r="IE123" s="357">
        <f>EX123</f>
        <v>0</v>
      </c>
      <c r="IF123" s="285"/>
      <c r="IG123" s="357">
        <f>EZ123</f>
        <v>950</v>
      </c>
      <c r="IH123" s="285"/>
      <c r="II123" s="357">
        <f>FB123</f>
        <v>0</v>
      </c>
      <c r="IJ123" s="285"/>
      <c r="IK123" s="357">
        <f>FB123</f>
        <v>0</v>
      </c>
      <c r="IL123" s="285"/>
      <c r="IM123" s="357">
        <f>FD123</f>
        <v>0</v>
      </c>
      <c r="IN123" s="285"/>
      <c r="IO123" s="357">
        <f>FF123</f>
        <v>0</v>
      </c>
      <c r="IP123" s="285"/>
      <c r="IQ123" s="357">
        <f>FH123</f>
        <v>0</v>
      </c>
      <c r="IR123" s="285"/>
      <c r="IS123" s="357">
        <f>FJ123</f>
        <v>0</v>
      </c>
      <c r="IT123" s="285"/>
      <c r="IU123" s="357">
        <f>AVERAGE(HT123:IS123)</f>
        <v>73.07692307692308</v>
      </c>
      <c r="IV123" s="285"/>
      <c r="IW123" s="357">
        <v>950</v>
      </c>
      <c r="IX123" s="285"/>
      <c r="IY123" s="357">
        <f>FP123</f>
        <v>0</v>
      </c>
      <c r="IZ123" s="177"/>
      <c r="JA123" s="285"/>
      <c r="JB123" s="357">
        <v>700</v>
      </c>
      <c r="JC123" s="285"/>
      <c r="JD123" s="357">
        <v>700</v>
      </c>
      <c r="JE123" s="485"/>
      <c r="JF123" s="285"/>
      <c r="JG123" s="357">
        <f>JG122</f>
        <v>1250</v>
      </c>
      <c r="JH123" s="285"/>
      <c r="JI123" s="357">
        <f>JI122</f>
        <v>1250</v>
      </c>
      <c r="JJ123" s="285"/>
      <c r="JK123" s="357">
        <v>1800</v>
      </c>
      <c r="JL123" s="285"/>
      <c r="JM123" s="357">
        <v>2000</v>
      </c>
      <c r="JN123" s="285"/>
      <c r="JO123" s="357">
        <v>2000</v>
      </c>
      <c r="JP123" s="285"/>
      <c r="JQ123" s="357">
        <v>2000</v>
      </c>
      <c r="JR123" s="285"/>
      <c r="JS123" s="357">
        <v>2000</v>
      </c>
      <c r="JT123" s="285"/>
      <c r="JU123" s="357">
        <f>DD123</f>
        <v>2200</v>
      </c>
      <c r="JV123" s="285"/>
      <c r="JW123" s="357">
        <f>DF123</f>
        <v>900</v>
      </c>
      <c r="JX123" s="285"/>
      <c r="JY123" s="357">
        <f>DH123</f>
        <v>900</v>
      </c>
      <c r="JZ123" s="285"/>
      <c r="KA123" s="357">
        <f>DJ123</f>
        <v>679.99999999999932</v>
      </c>
      <c r="KB123" s="285"/>
      <c r="KC123" s="357">
        <f>DL123</f>
        <v>690.35346588906179</v>
      </c>
      <c r="KD123" s="285"/>
      <c r="KE123" s="357">
        <f>DN123</f>
        <v>725.17355871134305</v>
      </c>
      <c r="KF123" s="285"/>
      <c r="KG123" s="357">
        <f>DP123</f>
        <v>868.3910697149928</v>
      </c>
      <c r="KH123" s="285"/>
      <c r="KI123" s="357">
        <f>DR123</f>
        <v>900</v>
      </c>
      <c r="KJ123" s="285"/>
      <c r="KK123" s="357">
        <f>DT123</f>
        <v>900</v>
      </c>
      <c r="KL123" s="285"/>
      <c r="KM123" s="357">
        <f>DV123</f>
        <v>575</v>
      </c>
      <c r="KN123" s="285"/>
      <c r="KO123" s="357">
        <f>DX123</f>
        <v>355</v>
      </c>
      <c r="KP123" s="285"/>
      <c r="KQ123" s="357">
        <f>DZ123</f>
        <v>355</v>
      </c>
      <c r="KR123" s="285"/>
      <c r="KS123" s="357">
        <f>EB123</f>
        <v>418</v>
      </c>
      <c r="KT123" s="285"/>
      <c r="KU123" s="357">
        <f>ED123</f>
        <v>623</v>
      </c>
      <c r="KV123" s="285"/>
      <c r="KW123" s="357">
        <f>EF123</f>
        <v>585</v>
      </c>
      <c r="KX123" s="285"/>
      <c r="KY123" s="357">
        <f>EH123</f>
        <v>553</v>
      </c>
      <c r="KZ123" s="285"/>
      <c r="LA123" s="357">
        <f>EJ123</f>
        <v>718</v>
      </c>
      <c r="LB123" s="285"/>
      <c r="LC123" s="357">
        <f>AVERAGE(KL123:LA123,JZ123:KG123)</f>
        <v>595.49317452628304</v>
      </c>
      <c r="LD123" s="285"/>
      <c r="LE123" s="357">
        <f>EN123</f>
        <v>0</v>
      </c>
      <c r="LF123" s="285"/>
      <c r="LG123" s="357">
        <f>EP123</f>
        <v>0</v>
      </c>
      <c r="LH123" s="285"/>
      <c r="LI123" s="357">
        <f>ER123</f>
        <v>0</v>
      </c>
      <c r="LJ123" s="285"/>
      <c r="LK123" s="357">
        <f>ET123</f>
        <v>0</v>
      </c>
      <c r="LL123" s="285"/>
      <c r="LM123" s="357">
        <f>EV123</f>
        <v>0</v>
      </c>
      <c r="LN123" s="285"/>
      <c r="LO123" s="357">
        <f>EX123</f>
        <v>0</v>
      </c>
      <c r="LP123" s="285"/>
      <c r="LQ123" s="357">
        <f>EZ123</f>
        <v>950</v>
      </c>
      <c r="LR123" s="285"/>
      <c r="LS123" s="357">
        <f>FB123</f>
        <v>0</v>
      </c>
      <c r="LT123" s="285"/>
      <c r="LU123" s="357">
        <f>FD123</f>
        <v>0</v>
      </c>
      <c r="LV123" s="285"/>
      <c r="LW123" s="357">
        <f>FF123</f>
        <v>0</v>
      </c>
      <c r="LX123" s="285"/>
      <c r="LY123" s="357">
        <f>FH123</f>
        <v>0</v>
      </c>
      <c r="LZ123" s="285"/>
      <c r="MA123" s="357">
        <f>FJ123</f>
        <v>0</v>
      </c>
      <c r="MB123" s="285"/>
      <c r="MC123" s="357">
        <f>AVERAGE(LD123:MA123)</f>
        <v>79.166666666666671</v>
      </c>
      <c r="MD123" s="285"/>
      <c r="ME123" s="357">
        <v>950</v>
      </c>
      <c r="MF123" s="285"/>
      <c r="MG123" s="357">
        <v>905</v>
      </c>
      <c r="MH123" s="177"/>
      <c r="MI123" s="285"/>
      <c r="MJ123" s="357">
        <f>MJ122</f>
        <v>1250</v>
      </c>
      <c r="MK123" s="285"/>
      <c r="ML123" s="357">
        <f>ML122</f>
        <v>1250</v>
      </c>
      <c r="MM123" s="285"/>
      <c r="MN123" s="357">
        <v>1800</v>
      </c>
      <c r="MO123" s="285"/>
      <c r="MP123" s="357">
        <v>2000</v>
      </c>
      <c r="MQ123" s="285"/>
      <c r="MR123" s="357">
        <v>2000</v>
      </c>
      <c r="MS123" s="285"/>
      <c r="MT123" s="357">
        <v>2000</v>
      </c>
      <c r="MU123" s="285"/>
      <c r="MV123" s="357">
        <v>2000</v>
      </c>
      <c r="MW123" s="285"/>
      <c r="MX123" s="357">
        <f>DD123</f>
        <v>2200</v>
      </c>
      <c r="MY123" s="285"/>
      <c r="MZ123" s="357">
        <f>DF123</f>
        <v>900</v>
      </c>
      <c r="NA123" s="285"/>
      <c r="NB123" s="357">
        <f>DH123</f>
        <v>900</v>
      </c>
      <c r="NC123" s="285"/>
      <c r="ND123" s="357">
        <f>DJ123</f>
        <v>679.99999999999932</v>
      </c>
      <c r="NE123" s="285"/>
      <c r="NF123" s="357">
        <f>DL123</f>
        <v>690.35346588906179</v>
      </c>
      <c r="NG123" s="285"/>
      <c r="NH123" s="357">
        <f>DN123</f>
        <v>725.17355871134305</v>
      </c>
      <c r="NI123" s="285"/>
      <c r="NJ123" s="357">
        <f>DP123</f>
        <v>868.3910697149928</v>
      </c>
      <c r="NK123" s="285"/>
      <c r="NL123" s="357">
        <f>DR123</f>
        <v>900</v>
      </c>
      <c r="NM123" s="285"/>
      <c r="NN123" s="357">
        <f>DT123</f>
        <v>900</v>
      </c>
      <c r="NO123" s="285"/>
      <c r="NP123" s="357">
        <f>DV123</f>
        <v>575</v>
      </c>
      <c r="NQ123" s="285"/>
      <c r="NR123" s="357">
        <f>DX123</f>
        <v>355</v>
      </c>
      <c r="NS123" s="285"/>
      <c r="NT123" s="357">
        <f>DZ123</f>
        <v>355</v>
      </c>
      <c r="NU123" s="285"/>
      <c r="NV123" s="357">
        <f>EB123</f>
        <v>418</v>
      </c>
      <c r="NW123" s="285"/>
      <c r="NX123" s="357">
        <f>ED123</f>
        <v>623</v>
      </c>
      <c r="NY123" s="285"/>
      <c r="NZ123" s="357">
        <f>EF123</f>
        <v>585</v>
      </c>
      <c r="OA123" s="285"/>
      <c r="OB123" s="357">
        <f>EH123</f>
        <v>553</v>
      </c>
      <c r="OC123" s="285"/>
      <c r="OD123" s="357">
        <f>EJ123</f>
        <v>718</v>
      </c>
      <c r="OE123" s="285"/>
      <c r="OF123" s="357">
        <f>AVERAGE(OD123,OB123,NZ123,NX123,NV123,NT123,NR123,NP123,NJ123,NH123,NF123,ND123)</f>
        <v>595.49317452628316</v>
      </c>
      <c r="OG123" s="285"/>
      <c r="OH123" s="357">
        <f>EN123</f>
        <v>0</v>
      </c>
      <c r="OI123" s="285"/>
      <c r="OJ123" s="357">
        <f>EP123</f>
        <v>0</v>
      </c>
      <c r="OK123" s="285"/>
      <c r="OL123" s="357">
        <f>ER123</f>
        <v>0</v>
      </c>
      <c r="OM123" s="285"/>
      <c r="ON123" s="357">
        <f>ET123</f>
        <v>0</v>
      </c>
      <c r="OO123" s="285"/>
      <c r="OP123" s="357">
        <f>EV123</f>
        <v>0</v>
      </c>
      <c r="OQ123" s="285"/>
      <c r="OR123" s="357">
        <f>EX123</f>
        <v>0</v>
      </c>
      <c r="OS123" s="285"/>
      <c r="OT123" s="357">
        <f>EZ123</f>
        <v>950</v>
      </c>
      <c r="OU123" s="285"/>
      <c r="OV123" s="357">
        <f>FB123</f>
        <v>0</v>
      </c>
      <c r="OW123" s="285"/>
      <c r="OX123" s="357">
        <f>FD123</f>
        <v>0</v>
      </c>
      <c r="OY123" s="285"/>
      <c r="OZ123" s="357">
        <f>FF123</f>
        <v>0</v>
      </c>
      <c r="PA123" s="285"/>
      <c r="PB123" s="357">
        <f>FH123</f>
        <v>0</v>
      </c>
      <c r="PC123" s="285"/>
      <c r="PD123" s="357">
        <f>FJ123</f>
        <v>0</v>
      </c>
      <c r="PE123" s="285"/>
      <c r="PF123" s="357">
        <f>AVERAGE(OG123:PD123)</f>
        <v>79.166666666666671</v>
      </c>
      <c r="PG123" s="285"/>
      <c r="PH123" s="357">
        <v>950</v>
      </c>
      <c r="PI123" s="285"/>
      <c r="PJ123" s="357">
        <v>855</v>
      </c>
      <c r="PK123" s="285"/>
      <c r="PL123" s="357">
        <v>855</v>
      </c>
      <c r="PM123" s="285"/>
      <c r="PN123" s="357">
        <v>855</v>
      </c>
      <c r="PO123" s="285"/>
      <c r="PP123" s="357">
        <v>905</v>
      </c>
      <c r="PR123" s="285"/>
      <c r="PS123" s="357">
        <v>950</v>
      </c>
      <c r="PT123" s="285"/>
      <c r="PU123" s="357">
        <v>950</v>
      </c>
      <c r="PV123" s="285"/>
      <c r="PW123" s="357">
        <v>950</v>
      </c>
      <c r="PX123" s="285"/>
      <c r="PY123" s="357">
        <v>950</v>
      </c>
      <c r="PZ123" s="285"/>
      <c r="QA123" s="357">
        <v>950</v>
      </c>
      <c r="QB123" s="285"/>
      <c r="QC123" s="357">
        <v>950</v>
      </c>
      <c r="QF123" s="285"/>
      <c r="QG123" s="357">
        <v>950</v>
      </c>
      <c r="QH123" s="285"/>
      <c r="QI123" s="357">
        <v>950</v>
      </c>
      <c r="QJ123" s="285"/>
      <c r="QK123" s="357">
        <v>950</v>
      </c>
      <c r="QL123" s="285"/>
      <c r="QM123" s="357">
        <v>950</v>
      </c>
      <c r="QN123" s="285"/>
      <c r="QO123" s="357">
        <v>950</v>
      </c>
      <c r="QP123" s="285"/>
      <c r="QQ123" s="357">
        <v>950</v>
      </c>
    </row>
    <row r="124" spans="1:459" x14ac:dyDescent="0.45">
      <c r="A124" s="871"/>
      <c r="B124" s="486" t="s">
        <v>421</v>
      </c>
      <c r="C124" s="487"/>
      <c r="D124" s="488"/>
      <c r="E124" s="489"/>
      <c r="F124" s="490"/>
      <c r="G124" s="491">
        <f>G122-G123</f>
        <v>0</v>
      </c>
      <c r="H124" s="490"/>
      <c r="I124" s="491">
        <f>I122-I123</f>
        <v>0</v>
      </c>
      <c r="J124" s="490"/>
      <c r="K124" s="491">
        <f>K122-K123</f>
        <v>0</v>
      </c>
      <c r="L124" s="490"/>
      <c r="M124" s="491">
        <f>M122-M123</f>
        <v>0</v>
      </c>
      <c r="N124" s="490"/>
      <c r="O124" s="491">
        <f>O122-O123</f>
        <v>0</v>
      </c>
      <c r="P124" s="490"/>
      <c r="Q124" s="491">
        <f>Q122-Q123</f>
        <v>-647.99999999999727</v>
      </c>
      <c r="R124" s="490"/>
      <c r="S124" s="491">
        <f>S122-S123</f>
        <v>-850</v>
      </c>
      <c r="T124" s="490"/>
      <c r="U124" s="491">
        <f>U122-U123</f>
        <v>0</v>
      </c>
      <c r="V124" s="490"/>
      <c r="W124" s="491">
        <f>W122-W123</f>
        <v>0</v>
      </c>
      <c r="X124" s="490"/>
      <c r="Y124" s="491">
        <f>Y122-Y123</f>
        <v>91</v>
      </c>
      <c r="Z124" s="490"/>
      <c r="AA124" s="491">
        <f>AA122-AA123</f>
        <v>0</v>
      </c>
      <c r="AB124" s="490"/>
      <c r="AC124" s="491">
        <f>AC122-AC123</f>
        <v>-80</v>
      </c>
      <c r="AD124" s="490"/>
      <c r="AE124" s="491">
        <f>AE122-AE123</f>
        <v>-88.000000000000909</v>
      </c>
      <c r="AF124" s="490"/>
      <c r="AG124" s="491">
        <f>AG122-AG123</f>
        <v>1211.9999999999991</v>
      </c>
      <c r="AH124" s="490"/>
      <c r="AI124" s="491">
        <f>AI122-AI123</f>
        <v>1367.6499999999983</v>
      </c>
      <c r="AJ124" s="490"/>
      <c r="AK124" s="491">
        <f>AK122-AK123</f>
        <v>1431.9999999999998</v>
      </c>
      <c r="AL124" s="490"/>
      <c r="AM124" s="491">
        <f>AM122-AM123</f>
        <v>1421.6465341109374</v>
      </c>
      <c r="AN124" s="490"/>
      <c r="AO124" s="491">
        <f>AO122-AO123</f>
        <v>1386.826441288656</v>
      </c>
      <c r="AP124" s="490"/>
      <c r="AQ124" s="491">
        <f>AQ122-AQ123</f>
        <v>1243.6089302850064</v>
      </c>
      <c r="AR124" s="490"/>
      <c r="AS124" s="491">
        <f>AS122-AS123</f>
        <v>1211.9999999999991</v>
      </c>
      <c r="AT124" s="490"/>
      <c r="AU124" s="491">
        <f>AU122-AU123</f>
        <v>60</v>
      </c>
      <c r="AV124" s="490"/>
      <c r="AW124" s="491">
        <f>AW122-AW123</f>
        <v>385</v>
      </c>
      <c r="AX124" s="490"/>
      <c r="AY124" s="491">
        <f>AY122-AY123</f>
        <v>605</v>
      </c>
      <c r="AZ124" s="490"/>
      <c r="BA124" s="491">
        <f>BA122-BA123</f>
        <v>605</v>
      </c>
      <c r="BB124" s="490"/>
      <c r="BC124" s="491">
        <f>BC122-BC123</f>
        <v>542</v>
      </c>
      <c r="BD124" s="490"/>
      <c r="BE124" s="491">
        <f>BE122-BE123</f>
        <v>337</v>
      </c>
      <c r="BF124" s="490"/>
      <c r="BG124" s="491">
        <f>BG122-BG123</f>
        <v>375</v>
      </c>
      <c r="BH124" s="490"/>
      <c r="BI124" s="491">
        <f>BI122-BI123</f>
        <v>407</v>
      </c>
      <c r="BJ124" s="490"/>
      <c r="BK124" s="491">
        <f>BK122-BK123</f>
        <v>242</v>
      </c>
      <c r="BL124" s="490"/>
      <c r="BM124" s="491">
        <f>BM122-BM123</f>
        <v>364.50682547371684</v>
      </c>
      <c r="BN124" s="490"/>
      <c r="BO124" s="491">
        <f>BO122-BO123</f>
        <v>960</v>
      </c>
      <c r="BP124" s="490"/>
      <c r="BQ124" s="491">
        <f>BQ122-BQ123</f>
        <v>960</v>
      </c>
      <c r="BR124" s="490"/>
      <c r="BS124" s="491">
        <f>BS122-BS123</f>
        <v>960</v>
      </c>
      <c r="BT124" s="490"/>
      <c r="BU124" s="491">
        <f>BU122-BU123</f>
        <v>960</v>
      </c>
      <c r="BV124" s="490"/>
      <c r="BW124" s="491">
        <f>BW122-BW123</f>
        <v>960</v>
      </c>
      <c r="BX124" s="490"/>
      <c r="BY124" s="491">
        <f>BY122-BY123</f>
        <v>960</v>
      </c>
      <c r="BZ124" s="490"/>
      <c r="CA124" s="491">
        <f>CA122-CA123</f>
        <v>10</v>
      </c>
      <c r="CB124" s="490"/>
      <c r="CC124" s="491">
        <f>CC122-CC123</f>
        <v>960</v>
      </c>
      <c r="CD124" s="490"/>
      <c r="CE124" s="491">
        <f>CE122-CE123</f>
        <v>960</v>
      </c>
      <c r="CF124" s="490"/>
      <c r="CG124" s="491">
        <f>CG122-CG123</f>
        <v>960</v>
      </c>
      <c r="CH124" s="490"/>
      <c r="CI124" s="491">
        <f>CI122-CI123</f>
        <v>960</v>
      </c>
      <c r="CJ124" s="490"/>
      <c r="CK124" s="491">
        <f>CK122-CK123</f>
        <v>960</v>
      </c>
      <c r="CL124" s="490"/>
      <c r="CM124" s="491">
        <f>CM122-CM123</f>
        <v>880.83333333333337</v>
      </c>
      <c r="CN124" s="490"/>
      <c r="CO124" s="491">
        <f>CO122-CO123</f>
        <v>10</v>
      </c>
      <c r="CP124" s="490"/>
      <c r="CQ124" s="491">
        <f>CQ122-CQ123</f>
        <v>105</v>
      </c>
      <c r="CR124" s="490"/>
      <c r="CS124" s="491">
        <f>CS122-CS123</f>
        <v>105</v>
      </c>
      <c r="CT124" s="492"/>
      <c r="CU124" s="490"/>
      <c r="CV124" s="491">
        <f>CV122-CV123</f>
        <v>-487.14999999999827</v>
      </c>
      <c r="CW124" s="490"/>
      <c r="CX124" s="491">
        <f>CX122-CX123</f>
        <v>-687.14999999999827</v>
      </c>
      <c r="CY124" s="490"/>
      <c r="CZ124" s="491">
        <f>CZ122-CZ123</f>
        <v>-90.400000000002592</v>
      </c>
      <c r="DA124" s="490"/>
      <c r="DB124" s="491">
        <f>DB122-DB123</f>
        <v>-90.400000000002592</v>
      </c>
      <c r="DC124" s="490"/>
      <c r="DD124" s="491">
        <f>DD122-DD123</f>
        <v>67.649999999998272</v>
      </c>
      <c r="DE124" s="490"/>
      <c r="DF124" s="491">
        <f>DF122-DF123</f>
        <v>1367.6499999999983</v>
      </c>
      <c r="DG124" s="490"/>
      <c r="DH124" s="491">
        <f>DH122-DH123</f>
        <v>1367.6499999999983</v>
      </c>
      <c r="DI124" s="490"/>
      <c r="DJ124" s="491">
        <f>DJ122-DJ123</f>
        <v>1587.649999999999</v>
      </c>
      <c r="DK124" s="490"/>
      <c r="DL124" s="491">
        <f>DL122-DL123</f>
        <v>1577.2965341109366</v>
      </c>
      <c r="DM124" s="490"/>
      <c r="DN124" s="491">
        <f>DN122-DN123</f>
        <v>1542.4764412886552</v>
      </c>
      <c r="DO124" s="490"/>
      <c r="DP124" s="491">
        <f>DP122-DP123</f>
        <v>1399.2589302850056</v>
      </c>
      <c r="DQ124" s="490"/>
      <c r="DR124" s="491">
        <f>DR122-DR123</f>
        <v>1367.6499999999983</v>
      </c>
      <c r="DS124" s="490"/>
      <c r="DT124" s="491">
        <f>DT122-DT123</f>
        <v>54.800000000000864</v>
      </c>
      <c r="DU124" s="490"/>
      <c r="DV124" s="491">
        <f>DV122-DV123</f>
        <v>379.80000000000086</v>
      </c>
      <c r="DW124" s="490"/>
      <c r="DX124" s="491">
        <f>DX122-DX123</f>
        <v>599.80000000000086</v>
      </c>
      <c r="DY124" s="490"/>
      <c r="DZ124" s="491">
        <f>DZ122-DZ123</f>
        <v>599.80000000000086</v>
      </c>
      <c r="EA124" s="490"/>
      <c r="EB124" s="491">
        <f>EB122-EB123</f>
        <v>536.80000000000086</v>
      </c>
      <c r="EC124" s="490"/>
      <c r="ED124" s="491">
        <f>ED122-ED123</f>
        <v>331.80000000000086</v>
      </c>
      <c r="EE124" s="490"/>
      <c r="EF124" s="491">
        <f>EF122-EF123</f>
        <v>369.80000000000086</v>
      </c>
      <c r="EG124" s="490"/>
      <c r="EH124" s="491">
        <f>EH122-EH123</f>
        <v>401.80000000000086</v>
      </c>
      <c r="EI124" s="490"/>
      <c r="EJ124" s="491">
        <f>EJ122-EJ123</f>
        <v>236.80000000000086</v>
      </c>
      <c r="EK124" s="490"/>
      <c r="EL124" s="491">
        <f>EL122-EL123</f>
        <v>236.80000000000086</v>
      </c>
      <c r="EM124" s="490"/>
      <c r="EN124" s="491">
        <f>EN122-EN123</f>
        <v>954.80000000000086</v>
      </c>
      <c r="EO124" s="490"/>
      <c r="EP124" s="491">
        <f>EP122-EP123</f>
        <v>954.80000000000086</v>
      </c>
      <c r="EQ124" s="490"/>
      <c r="ER124" s="491">
        <f>ER122-ER123</f>
        <v>954.80000000000086</v>
      </c>
      <c r="ES124" s="490"/>
      <c r="ET124" s="491">
        <f>ET122-ET123</f>
        <v>954.80000000000086</v>
      </c>
      <c r="EU124" s="490"/>
      <c r="EV124" s="491">
        <f>EV122-EV123</f>
        <v>954.80000000000086</v>
      </c>
      <c r="EW124" s="490"/>
      <c r="EX124" s="491">
        <f>EX122-EX123</f>
        <v>954.80000000000086</v>
      </c>
      <c r="EY124" s="490"/>
      <c r="EZ124" s="491">
        <f>EZ122-EZ123</f>
        <v>4.800000000000864</v>
      </c>
      <c r="FA124" s="490"/>
      <c r="FB124" s="491">
        <f>FB122-FB123</f>
        <v>954.80000000000086</v>
      </c>
      <c r="FC124" s="490"/>
      <c r="FD124" s="491">
        <f>FD122-FD123</f>
        <v>954.80000000000086</v>
      </c>
      <c r="FE124" s="490"/>
      <c r="FF124" s="491">
        <f>FF122-FF123</f>
        <v>954.80000000000086</v>
      </c>
      <c r="FG124" s="490"/>
      <c r="FH124" s="491">
        <f>FH122-FH123</f>
        <v>954.80000000000086</v>
      </c>
      <c r="FI124" s="490"/>
      <c r="FJ124" s="491">
        <f>FJ122-FJ123</f>
        <v>954.80000000000086</v>
      </c>
      <c r="FK124" s="490"/>
      <c r="FL124" s="491">
        <f>FL122-FL123</f>
        <v>954.80000000000086</v>
      </c>
      <c r="FM124" s="490"/>
      <c r="FN124" s="491">
        <f>FN122-FN123</f>
        <v>954.80000000000086</v>
      </c>
      <c r="FO124" s="490"/>
      <c r="FP124" s="491">
        <f>FP122-FP123</f>
        <v>954.80000000000086</v>
      </c>
      <c r="FQ124" s="491"/>
      <c r="FR124" s="490"/>
      <c r="FS124" s="491">
        <f>FS122-FS123</f>
        <v>0</v>
      </c>
      <c r="FT124" s="490"/>
      <c r="FU124" s="491">
        <f>FU122-FU123</f>
        <v>0</v>
      </c>
      <c r="FV124" s="490"/>
      <c r="FW124" s="491">
        <f>FW122-FW123</f>
        <v>-647.99999999999727</v>
      </c>
      <c r="FX124" s="490"/>
      <c r="FY124" s="491">
        <f>FY122-FY123</f>
        <v>-850</v>
      </c>
      <c r="FZ124" s="490"/>
      <c r="GA124" s="491">
        <f>GA122-GA123</f>
        <v>0</v>
      </c>
      <c r="GB124" s="490"/>
      <c r="GC124" s="491">
        <f>GC122-GC123</f>
        <v>0</v>
      </c>
      <c r="GD124" s="490"/>
      <c r="GE124" s="491">
        <f>GE122-GE123</f>
        <v>91</v>
      </c>
      <c r="GF124" s="490"/>
      <c r="GG124" s="491">
        <f>GG122-GG123</f>
        <v>0</v>
      </c>
      <c r="GH124" s="490"/>
      <c r="GI124" s="491">
        <f>GI122-GI123</f>
        <v>-80</v>
      </c>
      <c r="GJ124" s="490"/>
      <c r="GK124" s="491">
        <f>GK122-GK123</f>
        <v>103.99999999999864</v>
      </c>
      <c r="GL124" s="490"/>
      <c r="GM124" s="491">
        <f>GM122-GM123</f>
        <v>1403.9999999999986</v>
      </c>
      <c r="GN124" s="490"/>
      <c r="GO124" s="491">
        <f>GO122-GO123</f>
        <v>1403.9999999999986</v>
      </c>
      <c r="GP124" s="490"/>
      <c r="GQ124" s="491">
        <f>GQ122-GQ123</f>
        <v>1623.9999999999993</v>
      </c>
      <c r="GR124" s="490"/>
      <c r="GS124" s="491">
        <f>GS122-GS123</f>
        <v>1613.646534110937</v>
      </c>
      <c r="GT124" s="490"/>
      <c r="GU124" s="491">
        <f>GU122-GU123</f>
        <v>1578.8264412886556</v>
      </c>
      <c r="GV124" s="490"/>
      <c r="GW124" s="491">
        <f>GW122-GW123</f>
        <v>1435.608930285006</v>
      </c>
      <c r="GX124" s="490"/>
      <c r="GY124" s="491">
        <f>GY122-GY123</f>
        <v>1403.9999999999986</v>
      </c>
      <c r="GZ124" s="490"/>
      <c r="HA124" s="491">
        <f>HA122-HA123</f>
        <v>60</v>
      </c>
      <c r="HB124" s="490"/>
      <c r="HC124" s="491">
        <f>HC122-HC123</f>
        <v>385</v>
      </c>
      <c r="HD124" s="490"/>
      <c r="HE124" s="491">
        <f>HE122-HE123</f>
        <v>605</v>
      </c>
      <c r="HF124" s="490"/>
      <c r="HG124" s="491">
        <f>HG122-HG123</f>
        <v>605</v>
      </c>
      <c r="HH124" s="490"/>
      <c r="HI124" s="491">
        <f>HI122-HI123</f>
        <v>542</v>
      </c>
      <c r="HJ124" s="490"/>
      <c r="HK124" s="491">
        <f>HK122-HK123</f>
        <v>460</v>
      </c>
      <c r="HL124" s="490"/>
      <c r="HM124" s="491">
        <f>HM122-HM123</f>
        <v>460</v>
      </c>
      <c r="HN124" s="490"/>
      <c r="HO124" s="491">
        <f>HO122-HO123</f>
        <v>460</v>
      </c>
      <c r="HP124" s="490"/>
      <c r="HQ124" s="491">
        <f>HQ122-HQ123</f>
        <v>242</v>
      </c>
      <c r="HR124" s="490"/>
      <c r="HS124" s="491">
        <f>HS122-HS123</f>
        <v>386.25682547371684</v>
      </c>
      <c r="HT124" s="490"/>
      <c r="HU124" s="491">
        <f>HU122-HU123</f>
        <v>960</v>
      </c>
      <c r="HV124" s="490"/>
      <c r="HW124" s="491">
        <f>HW122-HW123</f>
        <v>960</v>
      </c>
      <c r="HX124" s="490"/>
      <c r="HY124" s="491">
        <f>HY122-HY123</f>
        <v>960</v>
      </c>
      <c r="HZ124" s="490"/>
      <c r="IA124" s="491">
        <f>IA122-IA123</f>
        <v>960</v>
      </c>
      <c r="IB124" s="490"/>
      <c r="IC124" s="491">
        <f>IC122-IC123</f>
        <v>960</v>
      </c>
      <c r="ID124" s="490"/>
      <c r="IE124" s="491">
        <f>IE122-IE123</f>
        <v>960</v>
      </c>
      <c r="IF124" s="490"/>
      <c r="IG124" s="491">
        <f>IG122-IG123</f>
        <v>10</v>
      </c>
      <c r="IH124" s="490"/>
      <c r="II124" s="491">
        <f>II122-II123</f>
        <v>960</v>
      </c>
      <c r="IJ124" s="490"/>
      <c r="IK124" s="491">
        <f>IK122-IK123</f>
        <v>960</v>
      </c>
      <c r="IL124" s="490"/>
      <c r="IM124" s="491">
        <f>IM122-IM123</f>
        <v>960</v>
      </c>
      <c r="IN124" s="490"/>
      <c r="IO124" s="491">
        <f>IO122-IO123</f>
        <v>960</v>
      </c>
      <c r="IP124" s="490"/>
      <c r="IQ124" s="491">
        <f>IQ122-IQ123</f>
        <v>960</v>
      </c>
      <c r="IR124" s="490"/>
      <c r="IS124" s="491">
        <f>IS122-IS123</f>
        <v>960</v>
      </c>
      <c r="IT124" s="490"/>
      <c r="IU124" s="491">
        <f>IU122-IU123</f>
        <v>886.92307692307691</v>
      </c>
      <c r="IV124" s="490"/>
      <c r="IW124" s="491">
        <f>IW122-IW123</f>
        <v>10</v>
      </c>
      <c r="IX124" s="490"/>
      <c r="IY124" s="491">
        <f>IY122-IY123</f>
        <v>960</v>
      </c>
      <c r="IZ124" s="493"/>
      <c r="JA124" s="490"/>
      <c r="JB124" s="491">
        <f>JB122-JB123</f>
        <v>260</v>
      </c>
      <c r="JC124" s="490"/>
      <c r="JD124" s="491">
        <f>JD122-JD123</f>
        <v>260</v>
      </c>
      <c r="JE124" s="494"/>
      <c r="JF124" s="490"/>
      <c r="JG124" s="491">
        <f>JG122-JG123</f>
        <v>0</v>
      </c>
      <c r="JH124" s="490"/>
      <c r="JI124" s="491">
        <f>JI122-JI123</f>
        <v>0</v>
      </c>
      <c r="JJ124" s="490"/>
      <c r="JK124" s="491">
        <f>JK122-JK123</f>
        <v>-540.00000000000068</v>
      </c>
      <c r="JL124" s="490"/>
      <c r="JM124" s="491">
        <f>JM122-JM123</f>
        <v>-750</v>
      </c>
      <c r="JN124" s="490"/>
      <c r="JO124" s="491">
        <f>JO122-JO123</f>
        <v>0</v>
      </c>
      <c r="JP124" s="490"/>
      <c r="JQ124" s="491">
        <f>JQ122-JQ123</f>
        <v>0</v>
      </c>
      <c r="JR124" s="490"/>
      <c r="JS124" s="491">
        <f>JS122-JS123</f>
        <v>100</v>
      </c>
      <c r="JT124" s="490"/>
      <c r="JU124" s="491">
        <f>JU122-JU123</f>
        <v>-100</v>
      </c>
      <c r="JV124" s="490"/>
      <c r="JW124" s="491">
        <f>JW122-JW123</f>
        <v>1025</v>
      </c>
      <c r="JX124" s="490"/>
      <c r="JY124" s="491">
        <f>JY122-JY123</f>
        <v>1025</v>
      </c>
      <c r="JZ124" s="490"/>
      <c r="KA124" s="491">
        <f>KA122-KA123</f>
        <v>1245.0000000000007</v>
      </c>
      <c r="KB124" s="490"/>
      <c r="KC124" s="491">
        <f>KC122-KC123</f>
        <v>1234.6465341109383</v>
      </c>
      <c r="KD124" s="490"/>
      <c r="KE124" s="491">
        <f>KE122-KE123</f>
        <v>1199.826441288657</v>
      </c>
      <c r="KF124" s="490"/>
      <c r="KG124" s="491">
        <f>KG122-KG123</f>
        <v>1056.6089302850073</v>
      </c>
      <c r="KH124" s="490"/>
      <c r="KI124" s="491">
        <f>KI122-KI123</f>
        <v>1025</v>
      </c>
      <c r="KJ124" s="490"/>
      <c r="KK124" s="491">
        <f>KK122-KK123</f>
        <v>-129.99999999999932</v>
      </c>
      <c r="KL124" s="490"/>
      <c r="KM124" s="491">
        <f>KM122-KM123</f>
        <v>195.00000000000068</v>
      </c>
      <c r="KN124" s="490"/>
      <c r="KO124" s="491">
        <f>KO122-KO123</f>
        <v>415.00000000000068</v>
      </c>
      <c r="KP124" s="490"/>
      <c r="KQ124" s="491">
        <f>KQ122-KQ123</f>
        <v>415.00000000000068</v>
      </c>
      <c r="KR124" s="490"/>
      <c r="KS124" s="491">
        <f>KS122-KS123</f>
        <v>352.00000000000068</v>
      </c>
      <c r="KT124" s="490"/>
      <c r="KU124" s="491">
        <f>KU122-KU123</f>
        <v>147.00000000000068</v>
      </c>
      <c r="KV124" s="490"/>
      <c r="KW124" s="491">
        <f>KW122-KW123</f>
        <v>185.00000000000068</v>
      </c>
      <c r="KX124" s="490"/>
      <c r="KY124" s="491">
        <f>KY122-KY123</f>
        <v>217.00000000000068</v>
      </c>
      <c r="KZ124" s="490"/>
      <c r="LA124" s="491">
        <f>LA122-LA123</f>
        <v>52.000000000000682</v>
      </c>
      <c r="LB124" s="490"/>
      <c r="LC124" s="491">
        <f>LC122-LC123</f>
        <v>174.50682547371764</v>
      </c>
      <c r="LD124" s="490"/>
      <c r="LE124" s="491">
        <f>LE122-LE123</f>
        <v>770.00000000000068</v>
      </c>
      <c r="LF124" s="490"/>
      <c r="LG124" s="491">
        <f>LG122-LG123</f>
        <v>770.00000000000068</v>
      </c>
      <c r="LH124" s="490"/>
      <c r="LI124" s="491">
        <f>LI122-LI123</f>
        <v>770.00000000000068</v>
      </c>
      <c r="LJ124" s="490"/>
      <c r="LK124" s="491">
        <f>LK122-LK123</f>
        <v>770.00000000000068</v>
      </c>
      <c r="LL124" s="490"/>
      <c r="LM124" s="491">
        <f>LM122-LM123</f>
        <v>770.00000000000068</v>
      </c>
      <c r="LN124" s="490"/>
      <c r="LO124" s="491">
        <f>LO122-LO123</f>
        <v>770.00000000000068</v>
      </c>
      <c r="LP124" s="490"/>
      <c r="LQ124" s="491">
        <f>LQ122-LQ123</f>
        <v>-179.99999999999932</v>
      </c>
      <c r="LR124" s="490"/>
      <c r="LS124" s="491">
        <f>LS122-LS123</f>
        <v>770.00000000000068</v>
      </c>
      <c r="LT124" s="490"/>
      <c r="LU124" s="491">
        <f>LU122-LU123</f>
        <v>770.00000000000068</v>
      </c>
      <c r="LV124" s="490"/>
      <c r="LW124" s="491">
        <f>LW122-LW123</f>
        <v>770.00000000000068</v>
      </c>
      <c r="LX124" s="490"/>
      <c r="LY124" s="491">
        <f>LY122-LY123</f>
        <v>770.00000000000068</v>
      </c>
      <c r="LZ124" s="490"/>
      <c r="MA124" s="491">
        <f>MA122-MA123</f>
        <v>770.00000000000068</v>
      </c>
      <c r="MB124" s="490"/>
      <c r="MC124" s="491">
        <f>MC122-MC123</f>
        <v>690.83333333333405</v>
      </c>
      <c r="MD124" s="490"/>
      <c r="ME124" s="491">
        <f>ME122-ME123</f>
        <v>-179.99999999999932</v>
      </c>
      <c r="MF124" s="490"/>
      <c r="MG124" s="491">
        <f>MG122-MG123</f>
        <v>-134.99999999999932</v>
      </c>
      <c r="MH124" s="493"/>
      <c r="MI124" s="490"/>
      <c r="MJ124" s="491">
        <f>MJ122-MJ123</f>
        <v>0</v>
      </c>
      <c r="MK124" s="490"/>
      <c r="ML124" s="491">
        <f>ML122-ML123</f>
        <v>0</v>
      </c>
      <c r="MM124" s="490"/>
      <c r="MN124" s="491">
        <f>MN122-MN123</f>
        <v>-565.80000000000064</v>
      </c>
      <c r="MO124" s="490"/>
      <c r="MP124" s="491">
        <f>MP122-MP123</f>
        <v>-750</v>
      </c>
      <c r="MQ124" s="490"/>
      <c r="MR124" s="491">
        <f>MR122-MR123</f>
        <v>0</v>
      </c>
      <c r="MS124" s="490"/>
      <c r="MT124" s="491">
        <f>MT122-MT123</f>
        <v>0</v>
      </c>
      <c r="MU124" s="490"/>
      <c r="MV124" s="491">
        <f>MV122-MV123</f>
        <v>57</v>
      </c>
      <c r="MW124" s="490"/>
      <c r="MX124" s="491">
        <f>MX122-MX123</f>
        <v>-143</v>
      </c>
      <c r="MY124" s="490"/>
      <c r="MZ124" s="491">
        <f>MZ122-MZ123</f>
        <v>1157</v>
      </c>
      <c r="NA124" s="490"/>
      <c r="NB124" s="491">
        <f>NB122-NB123</f>
        <v>1157</v>
      </c>
      <c r="NC124" s="490"/>
      <c r="ND124" s="491">
        <f>ND122-ND123</f>
        <v>1377.0000000000007</v>
      </c>
      <c r="NE124" s="490"/>
      <c r="NF124" s="491">
        <f>NF122-NF123</f>
        <v>1366.6465341109383</v>
      </c>
      <c r="NG124" s="490"/>
      <c r="NH124" s="491">
        <f>NH122-NH123</f>
        <v>1331.826441288657</v>
      </c>
      <c r="NI124" s="490"/>
      <c r="NJ124" s="491">
        <f>NJ122-NJ123</f>
        <v>1188.6089302850073</v>
      </c>
      <c r="NK124" s="490"/>
      <c r="NL124" s="491">
        <f>NL122-NL123</f>
        <v>1157</v>
      </c>
      <c r="NM124" s="490"/>
      <c r="NN124" s="491">
        <f>NN122-NN123</f>
        <v>-77.19999999999925</v>
      </c>
      <c r="NO124" s="490"/>
      <c r="NP124" s="491">
        <f>NP122-NP123</f>
        <v>247.80000000000075</v>
      </c>
      <c r="NQ124" s="490"/>
      <c r="NR124" s="491">
        <f>NR122-NR123</f>
        <v>467.80000000000075</v>
      </c>
      <c r="NS124" s="490"/>
      <c r="NT124" s="491">
        <f>NT122-NT123</f>
        <v>467.80000000000075</v>
      </c>
      <c r="NU124" s="490"/>
      <c r="NV124" s="491">
        <f>NV122-NV123</f>
        <v>404.80000000000075</v>
      </c>
      <c r="NW124" s="490"/>
      <c r="NX124" s="491">
        <f>NX122-NX123</f>
        <v>199.80000000000075</v>
      </c>
      <c r="NY124" s="490"/>
      <c r="NZ124" s="491">
        <f>NZ122-NZ123</f>
        <v>237.80000000000075</v>
      </c>
      <c r="OA124" s="490"/>
      <c r="OB124" s="491">
        <f>OB122-OB123</f>
        <v>269.80000000000075</v>
      </c>
      <c r="OC124" s="490"/>
      <c r="OD124" s="491">
        <f>OD122-OD123</f>
        <v>104.80000000000075</v>
      </c>
      <c r="OE124" s="490"/>
      <c r="OF124" s="491">
        <f>OF122-OF123</f>
        <v>227.30682547371759</v>
      </c>
      <c r="OG124" s="490"/>
      <c r="OH124" s="491">
        <f>OH122-OH123</f>
        <v>822.80000000000075</v>
      </c>
      <c r="OI124" s="490"/>
      <c r="OJ124" s="491">
        <f>OJ122-OJ123</f>
        <v>822.80000000000075</v>
      </c>
      <c r="OK124" s="490"/>
      <c r="OL124" s="491">
        <f>OL122-OL123</f>
        <v>822.80000000000075</v>
      </c>
      <c r="OM124" s="490"/>
      <c r="ON124" s="491">
        <f>ON122-ON123</f>
        <v>822.80000000000075</v>
      </c>
      <c r="OO124" s="490"/>
      <c r="OP124" s="491">
        <f>OP122-OP123</f>
        <v>822.80000000000075</v>
      </c>
      <c r="OQ124" s="490"/>
      <c r="OR124" s="491">
        <f>OR122-OR123</f>
        <v>822.80000000000075</v>
      </c>
      <c r="OS124" s="490"/>
      <c r="OT124" s="491">
        <f>OT122-OT123</f>
        <v>-127.19999999999925</v>
      </c>
      <c r="OU124" s="490"/>
      <c r="OV124" s="491">
        <f>OV122-OV123</f>
        <v>822.80000000000075</v>
      </c>
      <c r="OW124" s="490"/>
      <c r="OX124" s="491">
        <f>OX122-OX123</f>
        <v>822.80000000000075</v>
      </c>
      <c r="OY124" s="490"/>
      <c r="OZ124" s="491">
        <f>OZ122-OZ123</f>
        <v>822.80000000000075</v>
      </c>
      <c r="PA124" s="490"/>
      <c r="PB124" s="491">
        <f>PB122-PB123</f>
        <v>822.80000000000075</v>
      </c>
      <c r="PC124" s="490"/>
      <c r="PD124" s="491">
        <f>PD122-PD123</f>
        <v>822.80000000000075</v>
      </c>
      <c r="PE124" s="490"/>
      <c r="PF124" s="491">
        <f>PF122-PF123</f>
        <v>743.63333333333412</v>
      </c>
      <c r="PG124" s="490"/>
      <c r="PH124" s="491">
        <f>PH122-PH123</f>
        <v>-127.19999999999925</v>
      </c>
      <c r="PI124" s="490"/>
      <c r="PJ124" s="491">
        <f>PJ122-PJ123</f>
        <v>-32.19999999999925</v>
      </c>
      <c r="PK124" s="490"/>
      <c r="PL124" s="491">
        <f>PL122-PL123</f>
        <v>-32.19999999999925</v>
      </c>
      <c r="PM124" s="490"/>
      <c r="PN124" s="491">
        <f>PN122-PN123</f>
        <v>-32.19999999999925</v>
      </c>
      <c r="PO124" s="490"/>
      <c r="PP124" s="491">
        <f>PP122-PP123</f>
        <v>-82.19999999999925</v>
      </c>
      <c r="PQ124" s="495"/>
      <c r="PR124" s="490"/>
      <c r="PS124" s="491">
        <f>PS122-PS123</f>
        <v>210.00000000000114</v>
      </c>
      <c r="PT124" s="490"/>
      <c r="PU124" s="491">
        <f>PU122-PU123</f>
        <v>210.00000000000114</v>
      </c>
      <c r="PV124" s="490"/>
      <c r="PW124" s="491">
        <f>PW122-PW123</f>
        <v>210.00000000000114</v>
      </c>
      <c r="PX124" s="490"/>
      <c r="PY124" s="491">
        <f>PY122-PY123</f>
        <v>210.00000000000114</v>
      </c>
      <c r="PZ124" s="490"/>
      <c r="QA124" s="491">
        <f>QA122-QA123</f>
        <v>210.00000000000114</v>
      </c>
      <c r="QB124" s="490"/>
      <c r="QC124" s="491">
        <f>QC122-QC123</f>
        <v>210.00000000000114</v>
      </c>
      <c r="QD124" s="495"/>
      <c r="QE124" s="495"/>
      <c r="QF124" s="490"/>
      <c r="QG124" s="491">
        <f>QG122-QG123</f>
        <v>210.00000000000114</v>
      </c>
      <c r="QH124" s="490"/>
      <c r="QI124" s="491">
        <f>QI122-QI123</f>
        <v>210.00000000000114</v>
      </c>
      <c r="QJ124" s="490"/>
      <c r="QK124" s="491">
        <f>QK122-QK123</f>
        <v>210.00000000000114</v>
      </c>
      <c r="QL124" s="490"/>
      <c r="QM124" s="491">
        <f>QM122-QM123</f>
        <v>210.00000000000114</v>
      </c>
      <c r="QN124" s="490"/>
      <c r="QO124" s="491">
        <f>QO122-QO123</f>
        <v>209.99999999999591</v>
      </c>
      <c r="QP124" s="490"/>
      <c r="QQ124" s="491">
        <f>QQ122-QQ123</f>
        <v>209.99999999999591</v>
      </c>
    </row>
    <row r="125" spans="1:459" x14ac:dyDescent="0.45">
      <c r="A125" s="871"/>
      <c r="B125" s="496" t="s">
        <v>422</v>
      </c>
      <c r="C125" s="497"/>
      <c r="D125" s="498"/>
      <c r="E125" s="499"/>
      <c r="F125" s="412"/>
      <c r="G125" s="413">
        <f>G124/G66</f>
        <v>0</v>
      </c>
      <c r="H125" s="412"/>
      <c r="I125" s="413">
        <f>I124/I66</f>
        <v>0</v>
      </c>
      <c r="J125" s="412"/>
      <c r="K125" s="413">
        <f>K124/K66</f>
        <v>0</v>
      </c>
      <c r="L125" s="412"/>
      <c r="M125" s="413">
        <f>M124/M66</f>
        <v>0</v>
      </c>
      <c r="N125" s="412"/>
      <c r="O125" s="413">
        <f>O124/O66</f>
        <v>0</v>
      </c>
      <c r="P125" s="412"/>
      <c r="Q125" s="413">
        <f>Q124/Q66</f>
        <v>-0.16874999999999929</v>
      </c>
      <c r="R125" s="412"/>
      <c r="S125" s="413">
        <f>S124/S66</f>
        <v>-0.22135416666666666</v>
      </c>
      <c r="T125" s="412"/>
      <c r="U125" s="413">
        <f>U124/U66</f>
        <v>0</v>
      </c>
      <c r="V125" s="412"/>
      <c r="W125" s="413">
        <f>W124/W66</f>
        <v>0</v>
      </c>
      <c r="X125" s="412"/>
      <c r="Y125" s="413">
        <f>Y124/Y66</f>
        <v>2.3697916666666666E-2</v>
      </c>
      <c r="Z125" s="412"/>
      <c r="AA125" s="413">
        <f>AA124/AA66</f>
        <v>0</v>
      </c>
      <c r="AB125" s="412"/>
      <c r="AC125" s="413">
        <f>AC124/AC66</f>
        <v>-2.0833333333333332E-2</v>
      </c>
      <c r="AD125" s="412"/>
      <c r="AE125" s="413">
        <f>AE124/AE66</f>
        <v>-2.2916666666666904E-2</v>
      </c>
      <c r="AF125" s="412"/>
      <c r="AG125" s="413">
        <f>AG124/AG66</f>
        <v>0.31562499999999977</v>
      </c>
      <c r="AH125" s="412"/>
      <c r="AI125" s="413">
        <f>AI124/AI66</f>
        <v>0.35615885416666621</v>
      </c>
      <c r="AJ125" s="412"/>
      <c r="AK125" s="413">
        <f>AK124/AK66</f>
        <v>0.37291666666666662</v>
      </c>
      <c r="AL125" s="412"/>
      <c r="AM125" s="413">
        <f>AM124/AM66</f>
        <v>0.37022045159138994</v>
      </c>
      <c r="AN125" s="412"/>
      <c r="AO125" s="413">
        <f>AO124/AO66</f>
        <v>0.36115271908558749</v>
      </c>
      <c r="AP125" s="412"/>
      <c r="AQ125" s="413">
        <f>AQ124/AQ66</f>
        <v>0.32385649226172042</v>
      </c>
      <c r="AR125" s="412"/>
      <c r="AS125" s="413">
        <f>AS124/AS66</f>
        <v>0.31562499999999977</v>
      </c>
      <c r="AT125" s="412"/>
      <c r="AU125" s="413">
        <f>AU124/AU66</f>
        <v>1.5625E-2</v>
      </c>
      <c r="AV125" s="412"/>
      <c r="AW125" s="413">
        <f>AW124/AW66</f>
        <v>0.10026041666666667</v>
      </c>
      <c r="AX125" s="412"/>
      <c r="AY125" s="413">
        <f>AY124/AY66</f>
        <v>0.15755208333333334</v>
      </c>
      <c r="AZ125" s="412"/>
      <c r="BA125" s="413">
        <f>BA124/BA66</f>
        <v>0.15755208333333334</v>
      </c>
      <c r="BB125" s="412"/>
      <c r="BC125" s="413">
        <f>BC124/BC66</f>
        <v>0.14114583333333333</v>
      </c>
      <c r="BD125" s="412"/>
      <c r="BE125" s="413">
        <f>BE124/BE66</f>
        <v>8.776041666666666E-2</v>
      </c>
      <c r="BF125" s="412"/>
      <c r="BG125" s="413">
        <f>BG124/BG66</f>
        <v>9.765625E-2</v>
      </c>
      <c r="BH125" s="412"/>
      <c r="BI125" s="413">
        <f>BI124/BI66</f>
        <v>0.10598958333333333</v>
      </c>
      <c r="BJ125" s="412"/>
      <c r="BK125" s="413">
        <f>BK124/BK66</f>
        <v>6.3020833333333331E-2</v>
      </c>
      <c r="BL125" s="412"/>
      <c r="BM125" s="413">
        <f>BM124/BM66</f>
        <v>9.4923652467113762E-2</v>
      </c>
      <c r="BN125" s="412"/>
      <c r="BO125" s="413">
        <f>BO124/BO66</f>
        <v>0.25</v>
      </c>
      <c r="BP125" s="412"/>
      <c r="BQ125" s="413">
        <f>BQ124/BQ66</f>
        <v>0.25</v>
      </c>
      <c r="BR125" s="412"/>
      <c r="BS125" s="413">
        <f>BS124/BS66</f>
        <v>0.25</v>
      </c>
      <c r="BT125" s="412"/>
      <c r="BU125" s="413">
        <f>BU124/BU66</f>
        <v>0.25</v>
      </c>
      <c r="BV125" s="412"/>
      <c r="BW125" s="413">
        <f>BW124/BW66</f>
        <v>0.25</v>
      </c>
      <c r="BX125" s="412"/>
      <c r="BY125" s="413">
        <f>BY124/BY66</f>
        <v>0.25</v>
      </c>
      <c r="BZ125" s="412"/>
      <c r="CA125" s="413">
        <f>CA124/CA66</f>
        <v>2.6041666666666665E-3</v>
      </c>
      <c r="CB125" s="412"/>
      <c r="CC125" s="413">
        <f>CC124/CC66</f>
        <v>0.25</v>
      </c>
      <c r="CD125" s="412"/>
      <c r="CE125" s="413">
        <f>CE124/CE66</f>
        <v>0.25</v>
      </c>
      <c r="CF125" s="412"/>
      <c r="CG125" s="413">
        <f>CG124/CG66</f>
        <v>0.25</v>
      </c>
      <c r="CH125" s="412"/>
      <c r="CI125" s="413">
        <f>CI124/CI66</f>
        <v>0.25</v>
      </c>
      <c r="CJ125" s="412"/>
      <c r="CK125" s="413">
        <f>CK124/CK66</f>
        <v>0.25</v>
      </c>
      <c r="CL125" s="412"/>
      <c r="CM125" s="413">
        <f>CM124/CM66</f>
        <v>0.22938368055555555</v>
      </c>
      <c r="CN125" s="412"/>
      <c r="CO125" s="413">
        <f>CO124/CO66</f>
        <v>2.6041666666666665E-3</v>
      </c>
      <c r="CP125" s="412"/>
      <c r="CQ125" s="413">
        <f>CQ124/CQ66</f>
        <v>2.734375E-2</v>
      </c>
      <c r="CR125" s="412"/>
      <c r="CS125" s="413">
        <f>CS124/CS66</f>
        <v>2.734375E-2</v>
      </c>
      <c r="CT125" s="500"/>
      <c r="CU125" s="412"/>
      <c r="CV125" s="413">
        <f>CV124/CV66</f>
        <v>-0.20408462505236627</v>
      </c>
      <c r="CW125" s="412"/>
      <c r="CX125" s="413">
        <f>CX124/CX66</f>
        <v>-0.28787180561374037</v>
      </c>
      <c r="CY125" s="412"/>
      <c r="CZ125" s="413">
        <f>CZ124/CZ66</f>
        <v>-3.7871805613742184E-2</v>
      </c>
      <c r="DA125" s="412"/>
      <c r="DB125" s="413">
        <f>DB124/DB66</f>
        <v>-3.7871805613742184E-2</v>
      </c>
      <c r="DC125" s="412"/>
      <c r="DD125" s="413">
        <f>DD124/DD66</f>
        <v>2.8341013824884069E-2</v>
      </c>
      <c r="DE125" s="412"/>
      <c r="DF125" s="413">
        <f>DF124/DF66</f>
        <v>0.57295768747381581</v>
      </c>
      <c r="DG125" s="412"/>
      <c r="DH125" s="413">
        <f>DH124/DH66</f>
        <v>0.57295768747381581</v>
      </c>
      <c r="DI125" s="412"/>
      <c r="DJ125" s="413">
        <f>DJ124/DJ66</f>
        <v>0.6651235860913276</v>
      </c>
      <c r="DK125" s="412"/>
      <c r="DL125" s="413">
        <f>DL124/DL66</f>
        <v>0.66078614751191311</v>
      </c>
      <c r="DM125" s="412"/>
      <c r="DN125" s="413">
        <f>DN124/DN66</f>
        <v>0.64619876048959168</v>
      </c>
      <c r="DO125" s="412"/>
      <c r="DP125" s="413">
        <f>DP124/DP66</f>
        <v>0.58619980321952481</v>
      </c>
      <c r="DQ125" s="412"/>
      <c r="DR125" s="413">
        <f>DR124/DR66</f>
        <v>0.57295768747381581</v>
      </c>
      <c r="DS125" s="412"/>
      <c r="DT125" s="413">
        <f>DT124/DT66</f>
        <v>2.2957687473816869E-2</v>
      </c>
      <c r="DU125" s="412"/>
      <c r="DV125" s="413">
        <f>DV124/DV66</f>
        <v>0.15911185588604979</v>
      </c>
      <c r="DW125" s="412"/>
      <c r="DX125" s="413">
        <f>DX124/DX66</f>
        <v>0.25127775450356132</v>
      </c>
      <c r="DY125" s="412"/>
      <c r="DZ125" s="413">
        <f>DZ124/DZ66</f>
        <v>0.25127775450356132</v>
      </c>
      <c r="EA125" s="412"/>
      <c r="EB125" s="413">
        <f>EB124/EB66</f>
        <v>0.22488479262672847</v>
      </c>
      <c r="EC125" s="412"/>
      <c r="ED125" s="413">
        <f>ED124/ED66</f>
        <v>0.13900293255132001</v>
      </c>
      <c r="EE125" s="412"/>
      <c r="EF125" s="413">
        <f>EF124/EF66</f>
        <v>0.1549224968579811</v>
      </c>
      <c r="EG125" s="412"/>
      <c r="EH125" s="413">
        <f>EH124/EH66</f>
        <v>0.16832844574780095</v>
      </c>
      <c r="EI125" s="412"/>
      <c r="EJ125" s="413">
        <f>EJ124/EJ66</f>
        <v>9.9204021784667307E-2</v>
      </c>
      <c r="EK125" s="412"/>
      <c r="EL125" s="413">
        <f>EL124/EL66</f>
        <v>9.9204021784667307E-2</v>
      </c>
      <c r="EM125" s="412"/>
      <c r="EN125" s="413">
        <f>EN124/EN66</f>
        <v>0.40000000000000036</v>
      </c>
      <c r="EO125" s="412"/>
      <c r="EP125" s="413">
        <f>EP124/EP66</f>
        <v>0.40000000000000036</v>
      </c>
      <c r="EQ125" s="412"/>
      <c r="ER125" s="413">
        <f>ER124/ER66</f>
        <v>0.40000000000000036</v>
      </c>
      <c r="ES125" s="412"/>
      <c r="ET125" s="413">
        <f>ET124/ET66</f>
        <v>0.40000000000000036</v>
      </c>
      <c r="EU125" s="412"/>
      <c r="EV125" s="413">
        <f>EV124/EV66</f>
        <v>0.40000000000000036</v>
      </c>
      <c r="EW125" s="412"/>
      <c r="EX125" s="413">
        <f>EX124/EX66</f>
        <v>0.40000000000000036</v>
      </c>
      <c r="EY125" s="412"/>
      <c r="EZ125" s="413">
        <f>EZ124/EZ66</f>
        <v>2.0108923334733408E-3</v>
      </c>
      <c r="FA125" s="412"/>
      <c r="FB125" s="413">
        <f>FB124/FB66</f>
        <v>0.40000000000000036</v>
      </c>
      <c r="FC125" s="412"/>
      <c r="FD125" s="413">
        <f>FD124/FD66</f>
        <v>0.40000000000000036</v>
      </c>
      <c r="FE125" s="412"/>
      <c r="FF125" s="413">
        <f>FF124/FF66</f>
        <v>0.40000000000000036</v>
      </c>
      <c r="FG125" s="412"/>
      <c r="FH125" s="413">
        <f>FH124/FH66</f>
        <v>0.40000000000000036</v>
      </c>
      <c r="FI125" s="412"/>
      <c r="FJ125" s="413">
        <f>FJ124/FJ66</f>
        <v>0.40000000000000036</v>
      </c>
      <c r="FK125" s="412"/>
      <c r="FL125" s="413">
        <f>FL124/FL66</f>
        <v>0.40000000000000036</v>
      </c>
      <c r="FM125" s="412"/>
      <c r="FN125" s="413">
        <f>FN124/FN66</f>
        <v>0.40000000000000036</v>
      </c>
      <c r="FO125" s="412"/>
      <c r="FP125" s="413">
        <f>FP124/FP66</f>
        <v>0.40000000000000036</v>
      </c>
      <c r="FQ125" s="413"/>
      <c r="FR125" s="412"/>
      <c r="FS125" s="413">
        <f>FS124/FS66</f>
        <v>0</v>
      </c>
      <c r="FT125" s="412"/>
      <c r="FU125" s="413">
        <f>FU124/FU66</f>
        <v>0</v>
      </c>
      <c r="FV125" s="412"/>
      <c r="FW125" s="413">
        <f>FW124/FW66</f>
        <v>-0.16874999999999929</v>
      </c>
      <c r="FX125" s="412"/>
      <c r="FY125" s="413">
        <f>FY124/FY66</f>
        <v>-0.22135416666666666</v>
      </c>
      <c r="FZ125" s="412"/>
      <c r="GA125" s="413">
        <f>GA124/GA66</f>
        <v>0</v>
      </c>
      <c r="GB125" s="412"/>
      <c r="GC125" s="413">
        <f>GC124/GC66</f>
        <v>0</v>
      </c>
      <c r="GD125" s="412"/>
      <c r="GE125" s="413">
        <f>GE124/GE66</f>
        <v>2.3697916666666666E-2</v>
      </c>
      <c r="GF125" s="412"/>
      <c r="GG125" s="413">
        <f>GG124/GG66</f>
        <v>0</v>
      </c>
      <c r="GH125" s="412"/>
      <c r="GI125" s="413">
        <f>GI124/GI66</f>
        <v>-2.0833333333333332E-2</v>
      </c>
      <c r="GJ125" s="412"/>
      <c r="GK125" s="413">
        <f>GK124/GK66</f>
        <v>2.7083333333332977E-2</v>
      </c>
      <c r="GL125" s="412"/>
      <c r="GM125" s="413">
        <f>GM124/GM66</f>
        <v>0.36562499999999964</v>
      </c>
      <c r="GN125" s="412"/>
      <c r="GO125" s="413">
        <f>GO124/GO66</f>
        <v>0.36562499999999964</v>
      </c>
      <c r="GP125" s="412"/>
      <c r="GQ125" s="413">
        <f>GQ124/GQ66</f>
        <v>0.4229166666666665</v>
      </c>
      <c r="GR125" s="412"/>
      <c r="GS125" s="413">
        <f>GS124/GS66</f>
        <v>0.42022045159138982</v>
      </c>
      <c r="GT125" s="412"/>
      <c r="GU125" s="413">
        <f>GU124/GU66</f>
        <v>0.41115271908558737</v>
      </c>
      <c r="GV125" s="412"/>
      <c r="GW125" s="413">
        <f>GW124/GW66</f>
        <v>0.3738564922617203</v>
      </c>
      <c r="GX125" s="412"/>
      <c r="GY125" s="413">
        <f>GY124/GY66</f>
        <v>0.36562499999999964</v>
      </c>
      <c r="GZ125" s="412"/>
      <c r="HA125" s="413">
        <f>HA124/HA66</f>
        <v>1.5625E-2</v>
      </c>
      <c r="HB125" s="412"/>
      <c r="HC125" s="413">
        <f>HC124/HC66</f>
        <v>0.10026041666666667</v>
      </c>
      <c r="HD125" s="412"/>
      <c r="HE125" s="413">
        <f>HE124/HE66</f>
        <v>0.15755208333333334</v>
      </c>
      <c r="HF125" s="412"/>
      <c r="HG125" s="413">
        <f>HG124/HG66</f>
        <v>0.15755208333333334</v>
      </c>
      <c r="HH125" s="412"/>
      <c r="HI125" s="413">
        <f>HI124/HI66</f>
        <v>0.14114583333333333</v>
      </c>
      <c r="HJ125" s="412"/>
      <c r="HK125" s="413">
        <f>HK124/HK66</f>
        <v>0.11979166666666667</v>
      </c>
      <c r="HL125" s="412"/>
      <c r="HM125" s="413">
        <f>HM124/HM66</f>
        <v>0.11979166666666667</v>
      </c>
      <c r="HN125" s="412"/>
      <c r="HO125" s="413">
        <f>HO124/HO66</f>
        <v>0.11979166666666667</v>
      </c>
      <c r="HP125" s="412"/>
      <c r="HQ125" s="413">
        <f>HQ124/HQ66</f>
        <v>6.3020833333333331E-2</v>
      </c>
      <c r="HR125" s="412"/>
      <c r="HS125" s="413">
        <f>HS124/HS66</f>
        <v>0.10058771496711376</v>
      </c>
      <c r="HT125" s="412"/>
      <c r="HU125" s="413">
        <f>HU124/HU66</f>
        <v>0.25</v>
      </c>
      <c r="HV125" s="412"/>
      <c r="HW125" s="413">
        <f>HW124/HW66</f>
        <v>0.25</v>
      </c>
      <c r="HX125" s="412"/>
      <c r="HY125" s="413">
        <f>HY124/HY66</f>
        <v>0.25</v>
      </c>
      <c r="HZ125" s="412"/>
      <c r="IA125" s="413">
        <f>IA124/IA66</f>
        <v>0.25</v>
      </c>
      <c r="IB125" s="412"/>
      <c r="IC125" s="413">
        <f>IC124/IC66</f>
        <v>0.25</v>
      </c>
      <c r="ID125" s="412"/>
      <c r="IE125" s="413">
        <f>IE124/IE66</f>
        <v>0.25</v>
      </c>
      <c r="IF125" s="412"/>
      <c r="IG125" s="413">
        <f>IG124/IG66</f>
        <v>2.6041666666666665E-3</v>
      </c>
      <c r="IH125" s="412"/>
      <c r="II125" s="413">
        <f>II124/II66</f>
        <v>0.25</v>
      </c>
      <c r="IJ125" s="412"/>
      <c r="IK125" s="413">
        <f>IK124/IK66</f>
        <v>0.25</v>
      </c>
      <c r="IL125" s="412"/>
      <c r="IM125" s="413">
        <f>IM124/IM66</f>
        <v>0.25</v>
      </c>
      <c r="IN125" s="412"/>
      <c r="IO125" s="413">
        <f>IO124/IO66</f>
        <v>0.25</v>
      </c>
      <c r="IP125" s="412"/>
      <c r="IQ125" s="413">
        <f>IQ124/IQ66</f>
        <v>0.25</v>
      </c>
      <c r="IR125" s="412"/>
      <c r="IS125" s="413">
        <f>IS124/IS66</f>
        <v>0.25</v>
      </c>
      <c r="IT125" s="412"/>
      <c r="IU125" s="413">
        <f>IU124/IU66</f>
        <v>0.23096955128205127</v>
      </c>
      <c r="IV125" s="412"/>
      <c r="IW125" s="413">
        <f>IW124/IW66</f>
        <v>2.6041666666666665E-3</v>
      </c>
      <c r="IX125" s="412"/>
      <c r="IY125" s="413">
        <f>IY124/IY66</f>
        <v>0.25</v>
      </c>
      <c r="IZ125" s="411"/>
      <c r="JA125" s="412"/>
      <c r="JB125" s="413">
        <f>JB124/JB66</f>
        <v>6.7708333333333329E-2</v>
      </c>
      <c r="JC125" s="412"/>
      <c r="JD125" s="413">
        <f>JD124/JD66</f>
        <v>6.7708333333333329E-2</v>
      </c>
      <c r="JE125" s="501"/>
      <c r="JF125" s="412"/>
      <c r="JG125" s="413">
        <f>JG124/JG66</f>
        <v>0</v>
      </c>
      <c r="JH125" s="412"/>
      <c r="JI125" s="413">
        <f>JI124/JI66</f>
        <v>0</v>
      </c>
      <c r="JJ125" s="412"/>
      <c r="JK125" s="413">
        <f>JK124/JK66</f>
        <v>-0.12857142857142873</v>
      </c>
      <c r="JL125" s="412"/>
      <c r="JM125" s="413">
        <f>JM124/JM66</f>
        <v>-0.17857142857142858</v>
      </c>
      <c r="JN125" s="412"/>
      <c r="JO125" s="413">
        <f>JO124/JO66</f>
        <v>0</v>
      </c>
      <c r="JP125" s="412"/>
      <c r="JQ125" s="413">
        <f>JQ124/JQ66</f>
        <v>0</v>
      </c>
      <c r="JR125" s="412"/>
      <c r="JS125" s="413">
        <f>JS124/JS66</f>
        <v>2.3809523809523808E-2</v>
      </c>
      <c r="JT125" s="412"/>
      <c r="JU125" s="413">
        <f>JU124/JU66</f>
        <v>-2.3809523809523808E-2</v>
      </c>
      <c r="JV125" s="412"/>
      <c r="JW125" s="413">
        <f>JW124/JW66</f>
        <v>0.26623376623376621</v>
      </c>
      <c r="JX125" s="412"/>
      <c r="JY125" s="413">
        <f>JY124/JY66</f>
        <v>0.26623376623376621</v>
      </c>
      <c r="JZ125" s="412"/>
      <c r="KA125" s="413">
        <f>KA124/KA66</f>
        <v>0.32337662337662354</v>
      </c>
      <c r="KB125" s="412"/>
      <c r="KC125" s="413">
        <f>KC124/KC66</f>
        <v>0.32068741145738655</v>
      </c>
      <c r="KD125" s="412"/>
      <c r="KE125" s="413">
        <f>KE124/KE66</f>
        <v>0.31164323150354728</v>
      </c>
      <c r="KF125" s="412"/>
      <c r="KG125" s="413">
        <f>KG124/KG66</f>
        <v>0.27444387799610581</v>
      </c>
      <c r="KH125" s="412"/>
      <c r="KI125" s="413">
        <f>KI124/KI66</f>
        <v>0.26623376623376621</v>
      </c>
      <c r="KJ125" s="412"/>
      <c r="KK125" s="413">
        <f>KK124/KK66</f>
        <v>-3.376623376623359E-2</v>
      </c>
      <c r="KL125" s="412"/>
      <c r="KM125" s="413">
        <f>KM124/KM66</f>
        <v>5.0649350649350826E-2</v>
      </c>
      <c r="KN125" s="412"/>
      <c r="KO125" s="413">
        <f>KO124/KO66</f>
        <v>0.10779220779220797</v>
      </c>
      <c r="KP125" s="412"/>
      <c r="KQ125" s="413">
        <f>KQ124/KQ66</f>
        <v>0.10779220779220797</v>
      </c>
      <c r="KR125" s="412"/>
      <c r="KS125" s="413">
        <f>KS124/KS66</f>
        <v>9.1428571428571609E-2</v>
      </c>
      <c r="KT125" s="412"/>
      <c r="KU125" s="413">
        <f>KU124/KU66</f>
        <v>3.8181818181818358E-2</v>
      </c>
      <c r="KV125" s="412"/>
      <c r="KW125" s="413">
        <f>KW124/KW66</f>
        <v>4.8051948051948228E-2</v>
      </c>
      <c r="KX125" s="412"/>
      <c r="KY125" s="413">
        <f>KY124/KY66</f>
        <v>5.6363636363636539E-2</v>
      </c>
      <c r="KZ125" s="412"/>
      <c r="LA125" s="413">
        <f>LA124/LA66</f>
        <v>1.3506493506493683E-2</v>
      </c>
      <c r="LB125" s="412"/>
      <c r="LC125" s="413">
        <f>LC124/LC66</f>
        <v>4.5326448174991596E-2</v>
      </c>
      <c r="LD125" s="412"/>
      <c r="LE125" s="413">
        <f>LE124/LE66</f>
        <v>0.20000000000000018</v>
      </c>
      <c r="LF125" s="412"/>
      <c r="LG125" s="413">
        <f>LG124/LG66</f>
        <v>0.20000000000000018</v>
      </c>
      <c r="LH125" s="412"/>
      <c r="LI125" s="413">
        <f>LI124/LI66</f>
        <v>0.20000000000000018</v>
      </c>
      <c r="LJ125" s="412"/>
      <c r="LK125" s="413">
        <f>LK124/LK66</f>
        <v>0.20000000000000018</v>
      </c>
      <c r="LL125" s="412"/>
      <c r="LM125" s="413">
        <f>LM124/LM66</f>
        <v>0.20000000000000018</v>
      </c>
      <c r="LN125" s="412"/>
      <c r="LO125" s="413">
        <f>LO124/LO66</f>
        <v>0.20000000000000018</v>
      </c>
      <c r="LP125" s="412"/>
      <c r="LQ125" s="413">
        <f>LQ124/LQ66</f>
        <v>-4.6753246753246575E-2</v>
      </c>
      <c r="LR125" s="412"/>
      <c r="LS125" s="413">
        <f>LS124/LS66</f>
        <v>0.20000000000000018</v>
      </c>
      <c r="LT125" s="412"/>
      <c r="LU125" s="413">
        <f>LU124/LU66</f>
        <v>0.20000000000000018</v>
      </c>
      <c r="LV125" s="412"/>
      <c r="LW125" s="413">
        <f>LW124/LW66</f>
        <v>0.20000000000000018</v>
      </c>
      <c r="LX125" s="412"/>
      <c r="LY125" s="413">
        <f>LY124/LY66</f>
        <v>0.20000000000000018</v>
      </c>
      <c r="LZ125" s="412"/>
      <c r="MA125" s="413">
        <f>MA124/MA66</f>
        <v>0.20000000000000018</v>
      </c>
      <c r="MB125" s="412"/>
      <c r="MC125" s="413">
        <f>MC124/MC66</f>
        <v>0.17943722943722962</v>
      </c>
      <c r="MD125" s="412"/>
      <c r="ME125" s="413">
        <f>ME124/ME66</f>
        <v>-4.6753246753246575E-2</v>
      </c>
      <c r="MF125" s="412"/>
      <c r="MG125" s="413">
        <f>MG124/MG66</f>
        <v>-3.5064935064934889E-2</v>
      </c>
      <c r="MH125" s="411"/>
      <c r="MI125" s="412"/>
      <c r="MJ125" s="413">
        <f>MJ124/MJ66</f>
        <v>0</v>
      </c>
      <c r="MK125" s="412"/>
      <c r="ML125" s="413">
        <f>ML124/ML66</f>
        <v>0</v>
      </c>
      <c r="MM125" s="412"/>
      <c r="MN125" s="413">
        <f>MN124/MN66</f>
        <v>-0.13753038405444837</v>
      </c>
      <c r="MO125" s="412"/>
      <c r="MP125" s="413">
        <f>MP124/MP66</f>
        <v>-0.18230432668935342</v>
      </c>
      <c r="MQ125" s="412"/>
      <c r="MR125" s="413">
        <f>MR124/MR66</f>
        <v>0</v>
      </c>
      <c r="MS125" s="412"/>
      <c r="MT125" s="413">
        <f>MT124/MT66</f>
        <v>0</v>
      </c>
      <c r="MU125" s="412"/>
      <c r="MV125" s="413">
        <f>MV124/MV66</f>
        <v>1.3855128828390861E-2</v>
      </c>
      <c r="MW125" s="412"/>
      <c r="MX125" s="413">
        <f>MX124/MX66</f>
        <v>-3.4759358288770054E-2</v>
      </c>
      <c r="MY125" s="412"/>
      <c r="MZ125" s="413">
        <f>MZ124/MZ66</f>
        <v>0.28123480797277589</v>
      </c>
      <c r="NA125" s="412"/>
      <c r="NB125" s="413">
        <f>NB124/NB66</f>
        <v>0.28123480797277589</v>
      </c>
      <c r="NC125" s="412"/>
      <c r="ND125" s="413">
        <f>ND124/ND66</f>
        <v>0.33471074380165305</v>
      </c>
      <c r="NE125" s="412"/>
      <c r="NF125" s="413">
        <f>NF124/NF66</f>
        <v>0.33219410163124413</v>
      </c>
      <c r="NG125" s="412"/>
      <c r="NH125" s="413">
        <f>NH124/NH66</f>
        <v>0.32373029686160842</v>
      </c>
      <c r="NI125" s="412"/>
      <c r="NJ125" s="413">
        <f>NJ124/NJ66</f>
        <v>0.28891806764341449</v>
      </c>
      <c r="NK125" s="412"/>
      <c r="NL125" s="413">
        <f>NL124/NL66</f>
        <v>0.28123480797277589</v>
      </c>
      <c r="NM125" s="412"/>
      <c r="NN125" s="413">
        <f>NN124/NN66</f>
        <v>-1.8765192027223931E-2</v>
      </c>
      <c r="NO125" s="412"/>
      <c r="NP125" s="413">
        <f>NP124/NP66</f>
        <v>6.0233349538162555E-2</v>
      </c>
      <c r="NQ125" s="412"/>
      <c r="NR125" s="413">
        <f>NR124/NR66</f>
        <v>0.11370928536703956</v>
      </c>
      <c r="NS125" s="412"/>
      <c r="NT125" s="413">
        <f>NT124/NT66</f>
        <v>0.11370928536703956</v>
      </c>
      <c r="NU125" s="412"/>
      <c r="NV125" s="413">
        <f>NV124/NV66</f>
        <v>9.8395721925133878E-2</v>
      </c>
      <c r="NW125" s="412"/>
      <c r="NX125" s="413">
        <f>NX124/NX66</f>
        <v>4.8565872630043937E-2</v>
      </c>
      <c r="NY125" s="412"/>
      <c r="NZ125" s="413">
        <f>NZ124/NZ66</f>
        <v>5.7802625182304508E-2</v>
      </c>
      <c r="OA125" s="412"/>
      <c r="OB125" s="413">
        <f>OB124/OB66</f>
        <v>6.5580943121050256E-2</v>
      </c>
      <c r="OC125" s="412"/>
      <c r="OD125" s="413">
        <f>OD124/OD66</f>
        <v>2.5473991249392501E-2</v>
      </c>
      <c r="OE125" s="412"/>
      <c r="OF125" s="413">
        <f>OF124/OF66</f>
        <v>5.5252023693173939E-2</v>
      </c>
      <c r="OG125" s="412"/>
      <c r="OH125" s="413">
        <f>OH124/OH66</f>
        <v>0.20000000000000018</v>
      </c>
      <c r="OI125" s="412"/>
      <c r="OJ125" s="413">
        <f>OJ124/OJ66</f>
        <v>0.20000000000000018</v>
      </c>
      <c r="OK125" s="412"/>
      <c r="OL125" s="413">
        <f>OL124/OL66</f>
        <v>0.20000000000000018</v>
      </c>
      <c r="OM125" s="412"/>
      <c r="ON125" s="413">
        <f>ON124/ON66</f>
        <v>0.20000000000000018</v>
      </c>
      <c r="OO125" s="412"/>
      <c r="OP125" s="413">
        <f>OP124/OP66</f>
        <v>0.20000000000000018</v>
      </c>
      <c r="OQ125" s="412"/>
      <c r="OR125" s="413">
        <f>OR124/OR66</f>
        <v>0.20000000000000018</v>
      </c>
      <c r="OS125" s="412"/>
      <c r="OT125" s="413">
        <f>OT124/OT66</f>
        <v>-3.0918813806514157E-2</v>
      </c>
      <c r="OU125" s="412"/>
      <c r="OV125" s="413">
        <f>OV124/OV66</f>
        <v>0.20000000000000018</v>
      </c>
      <c r="OW125" s="412"/>
      <c r="OX125" s="413">
        <f>OX124/OX66</f>
        <v>0.20000000000000018</v>
      </c>
      <c r="OY125" s="412"/>
      <c r="OZ125" s="413">
        <f>OZ124/OZ66</f>
        <v>0.20000000000000018</v>
      </c>
      <c r="PA125" s="412"/>
      <c r="PB125" s="413">
        <f>PB124/PB66</f>
        <v>0.20000000000000018</v>
      </c>
      <c r="PC125" s="412"/>
      <c r="PD125" s="413">
        <f>PD124/PD66</f>
        <v>0.20000000000000018</v>
      </c>
      <c r="PE125" s="412"/>
      <c r="PF125" s="413">
        <f>PF124/PF66</f>
        <v>0.18075676551612399</v>
      </c>
      <c r="PG125" s="412"/>
      <c r="PH125" s="413">
        <f>PH124/PH66</f>
        <v>-3.0918813806514157E-2</v>
      </c>
      <c r="PI125" s="412"/>
      <c r="PJ125" s="413">
        <f>PJ124/PJ66</f>
        <v>-7.8269324258627253E-3</v>
      </c>
      <c r="PK125" s="412"/>
      <c r="PL125" s="413">
        <f>PL124/PL66</f>
        <v>-7.8269324258627253E-3</v>
      </c>
      <c r="PM125" s="412"/>
      <c r="PN125" s="413">
        <f>PN124/PN66</f>
        <v>-7.8269324258627253E-3</v>
      </c>
      <c r="PO125" s="412"/>
      <c r="PP125" s="413">
        <f>PP124/PP66</f>
        <v>-1.9980554205152955E-2</v>
      </c>
      <c r="PQ125" s="502"/>
      <c r="PR125" s="412"/>
      <c r="PS125" s="413">
        <f>PS124/PS66</f>
        <v>3.6206896551724335E-2</v>
      </c>
      <c r="PT125" s="412"/>
      <c r="PU125" s="413">
        <f>PU124/PU66</f>
        <v>3.6206896551724335E-2</v>
      </c>
      <c r="PV125" s="412"/>
      <c r="PW125" s="413">
        <f>PW124/PW66</f>
        <v>3.6206896551724335E-2</v>
      </c>
      <c r="PX125" s="412"/>
      <c r="PY125" s="413">
        <f>PY124/PY66</f>
        <v>3.6206896551724335E-2</v>
      </c>
      <c r="PZ125" s="412"/>
      <c r="QA125" s="413">
        <f>QA124/QA66</f>
        <v>3.6206896551724335E-2</v>
      </c>
      <c r="QB125" s="412"/>
      <c r="QC125" s="413">
        <f>QC124/QC66</f>
        <v>3.6206896551724335E-2</v>
      </c>
      <c r="QD125" s="502"/>
      <c r="QE125" s="502"/>
      <c r="QF125" s="412"/>
      <c r="QG125" s="413">
        <f>QG124/QG66</f>
        <v>3.6206896551724335E-2</v>
      </c>
      <c r="QH125" s="412"/>
      <c r="QI125" s="413">
        <f>QI124/QI66</f>
        <v>3.6206896551724335E-2</v>
      </c>
      <c r="QJ125" s="412"/>
      <c r="QK125" s="413">
        <f>QK124/QK66</f>
        <v>3.6206896551724335E-2</v>
      </c>
      <c r="QL125" s="412"/>
      <c r="QM125" s="413">
        <f>QM124/QM66</f>
        <v>3.6206896551724335E-2</v>
      </c>
      <c r="QN125" s="412"/>
      <c r="QO125" s="413">
        <f>QO124/QO66</f>
        <v>3.6206896551723433E-2</v>
      </c>
      <c r="QP125" s="412"/>
      <c r="QQ125" s="413">
        <f>QQ124/QQ66</f>
        <v>3.6206896551723433E-2</v>
      </c>
    </row>
    <row r="126" spans="1:459" x14ac:dyDescent="0.45">
      <c r="A126" s="871"/>
      <c r="B126" s="503" t="s">
        <v>423</v>
      </c>
      <c r="C126" s="504"/>
      <c r="D126" s="505"/>
      <c r="E126" s="506"/>
      <c r="F126" s="507"/>
      <c r="G126" s="508"/>
      <c r="H126" s="507"/>
      <c r="I126" s="508"/>
      <c r="J126" s="507"/>
      <c r="K126" s="508"/>
      <c r="L126" s="507"/>
      <c r="M126" s="508"/>
      <c r="N126" s="507"/>
      <c r="O126" s="508"/>
      <c r="P126" s="507"/>
      <c r="Q126" s="508"/>
      <c r="R126" s="507"/>
      <c r="S126" s="508"/>
      <c r="T126" s="507"/>
      <c r="U126" s="508">
        <v>0</v>
      </c>
      <c r="V126" s="507"/>
      <c r="W126" s="508"/>
      <c r="X126" s="507"/>
      <c r="Y126" s="508"/>
      <c r="Z126" s="507"/>
      <c r="AA126" s="508"/>
      <c r="AB126" s="507"/>
      <c r="AC126" s="508"/>
      <c r="AD126" s="507"/>
      <c r="AE126" s="508"/>
      <c r="AF126" s="507"/>
      <c r="AG126" s="508"/>
      <c r="AH126" s="507"/>
      <c r="AI126" s="508"/>
      <c r="AJ126" s="507"/>
      <c r="AK126" s="508"/>
      <c r="AL126" s="507"/>
      <c r="AM126" s="508"/>
      <c r="AN126" s="507"/>
      <c r="AO126" s="508"/>
      <c r="AP126" s="507"/>
      <c r="AQ126" s="508"/>
      <c r="AR126" s="507"/>
      <c r="AS126" s="508"/>
      <c r="AT126" s="507"/>
      <c r="AU126" s="508"/>
      <c r="AV126" s="507"/>
      <c r="AW126" s="508"/>
      <c r="AX126" s="507"/>
      <c r="AY126" s="508"/>
      <c r="AZ126" s="507"/>
      <c r="BA126" s="508"/>
      <c r="BB126" s="507"/>
      <c r="BC126" s="508"/>
      <c r="BD126" s="507"/>
      <c r="BE126" s="508"/>
      <c r="BF126" s="507"/>
      <c r="BG126" s="508"/>
      <c r="BH126" s="507"/>
      <c r="BI126" s="508"/>
      <c r="BJ126" s="507"/>
      <c r="BK126" s="508"/>
      <c r="BL126" s="507"/>
      <c r="BM126" s="508"/>
      <c r="BN126" s="507"/>
      <c r="BO126" s="508"/>
      <c r="BP126" s="507"/>
      <c r="BQ126" s="508"/>
      <c r="BR126" s="507"/>
      <c r="BS126" s="508"/>
      <c r="BT126" s="507"/>
      <c r="BU126" s="508"/>
      <c r="BV126" s="507"/>
      <c r="BW126" s="508"/>
      <c r="BX126" s="507"/>
      <c r="BY126" s="508"/>
      <c r="BZ126" s="507"/>
      <c r="CA126" s="508"/>
      <c r="CB126" s="507"/>
      <c r="CC126" s="508"/>
      <c r="CD126" s="507"/>
      <c r="CE126" s="508"/>
      <c r="CF126" s="507"/>
      <c r="CG126" s="508"/>
      <c r="CH126" s="507"/>
      <c r="CI126" s="508"/>
      <c r="CJ126" s="507"/>
      <c r="CK126" s="508"/>
      <c r="CL126" s="507"/>
      <c r="CM126" s="508"/>
      <c r="CN126" s="507"/>
      <c r="CO126" s="508"/>
      <c r="CP126" s="507"/>
      <c r="CQ126" s="508"/>
      <c r="CR126" s="507"/>
      <c r="CS126" s="508"/>
      <c r="CT126" s="509"/>
      <c r="CU126" s="507"/>
      <c r="CV126" s="508"/>
      <c r="CW126" s="507"/>
      <c r="CX126" s="508"/>
      <c r="CY126" s="507"/>
      <c r="CZ126" s="508">
        <v>0</v>
      </c>
      <c r="DA126" s="507"/>
      <c r="DB126" s="508"/>
      <c r="DC126" s="507"/>
      <c r="DD126" s="508"/>
      <c r="DE126" s="507"/>
      <c r="DF126" s="508"/>
      <c r="DG126" s="507"/>
      <c r="DH126" s="508"/>
      <c r="DI126" s="507"/>
      <c r="DJ126" s="508"/>
      <c r="DK126" s="507"/>
      <c r="DL126" s="508"/>
      <c r="DM126" s="507"/>
      <c r="DN126" s="508"/>
      <c r="DO126" s="507"/>
      <c r="DP126" s="508"/>
      <c r="DQ126" s="507"/>
      <c r="DR126" s="508"/>
      <c r="DS126" s="507"/>
      <c r="DT126" s="508"/>
      <c r="DU126" s="507"/>
      <c r="DV126" s="508"/>
      <c r="DW126" s="507"/>
      <c r="DX126" s="508"/>
      <c r="DY126" s="507"/>
      <c r="DZ126" s="508"/>
      <c r="EA126" s="507"/>
      <c r="EB126" s="508"/>
      <c r="EC126" s="507"/>
      <c r="ED126" s="508"/>
      <c r="EE126" s="507"/>
      <c r="EF126" s="508"/>
      <c r="EG126" s="507"/>
      <c r="EH126" s="508"/>
      <c r="EI126" s="507"/>
      <c r="EJ126" s="508"/>
      <c r="EK126" s="507"/>
      <c r="EL126" s="508"/>
      <c r="EM126" s="507"/>
      <c r="EN126" s="508"/>
      <c r="EO126" s="507"/>
      <c r="EP126" s="508"/>
      <c r="EQ126" s="507"/>
      <c r="ER126" s="508"/>
      <c r="ES126" s="507"/>
      <c r="ET126" s="508"/>
      <c r="EU126" s="507"/>
      <c r="EV126" s="508"/>
      <c r="EW126" s="507"/>
      <c r="EX126" s="508"/>
      <c r="EY126" s="507"/>
      <c r="EZ126" s="508"/>
      <c r="FA126" s="507"/>
      <c r="FB126" s="508"/>
      <c r="FC126" s="507"/>
      <c r="FD126" s="508"/>
      <c r="FE126" s="507"/>
      <c r="FF126" s="508"/>
      <c r="FG126" s="507"/>
      <c r="FH126" s="508"/>
      <c r="FI126" s="507"/>
      <c r="FJ126" s="508"/>
      <c r="FK126" s="507"/>
      <c r="FL126" s="508"/>
      <c r="FM126" s="507"/>
      <c r="FN126" s="508"/>
      <c r="FO126" s="507"/>
      <c r="FP126" s="508"/>
      <c r="FQ126" s="508"/>
      <c r="FR126" s="507"/>
      <c r="FS126" s="508"/>
      <c r="FT126" s="507"/>
      <c r="FU126" s="508"/>
      <c r="FV126" s="507"/>
      <c r="FW126" s="508"/>
      <c r="FX126" s="507"/>
      <c r="FY126" s="508"/>
      <c r="FZ126" s="507"/>
      <c r="GA126" s="508">
        <v>0</v>
      </c>
      <c r="GB126" s="507"/>
      <c r="GC126" s="508">
        <v>0</v>
      </c>
      <c r="GD126" s="507"/>
      <c r="GE126" s="508">
        <v>0</v>
      </c>
      <c r="GF126" s="507"/>
      <c r="GG126" s="508">
        <v>0</v>
      </c>
      <c r="GH126" s="507"/>
      <c r="GI126" s="508">
        <v>0</v>
      </c>
      <c r="GJ126" s="507"/>
      <c r="GK126" s="508">
        <v>0</v>
      </c>
      <c r="GL126" s="507"/>
      <c r="GM126" s="508">
        <v>0</v>
      </c>
      <c r="GN126" s="507"/>
      <c r="GO126" s="508">
        <v>0</v>
      </c>
      <c r="GP126" s="507"/>
      <c r="GQ126" s="508">
        <v>0</v>
      </c>
      <c r="GR126" s="507"/>
      <c r="GS126" s="508">
        <v>0</v>
      </c>
      <c r="GT126" s="507"/>
      <c r="GU126" s="508">
        <v>0</v>
      </c>
      <c r="GV126" s="507"/>
      <c r="GW126" s="508">
        <v>0</v>
      </c>
      <c r="GX126" s="507"/>
      <c r="GY126" s="508">
        <v>0</v>
      </c>
      <c r="GZ126" s="507"/>
      <c r="HA126" s="508">
        <v>0</v>
      </c>
      <c r="HB126" s="507"/>
      <c r="HC126" s="508">
        <v>0</v>
      </c>
      <c r="HD126" s="507"/>
      <c r="HE126" s="508">
        <v>0</v>
      </c>
      <c r="HF126" s="507"/>
      <c r="HG126" s="508">
        <v>0</v>
      </c>
      <c r="HH126" s="507"/>
      <c r="HI126" s="508">
        <v>0</v>
      </c>
      <c r="HJ126" s="507"/>
      <c r="HK126" s="508">
        <v>0</v>
      </c>
      <c r="HL126" s="507"/>
      <c r="HM126" s="508">
        <v>0</v>
      </c>
      <c r="HN126" s="507"/>
      <c r="HO126" s="508">
        <v>0</v>
      </c>
      <c r="HP126" s="507"/>
      <c r="HQ126" s="508">
        <v>0</v>
      </c>
      <c r="HR126" s="507"/>
      <c r="HS126" s="508">
        <v>0</v>
      </c>
      <c r="HT126" s="507"/>
      <c r="HU126" s="508">
        <v>0</v>
      </c>
      <c r="HV126" s="507"/>
      <c r="HW126" s="508">
        <v>0</v>
      </c>
      <c r="HX126" s="507"/>
      <c r="HY126" s="508">
        <v>0</v>
      </c>
      <c r="HZ126" s="507"/>
      <c r="IA126" s="508">
        <v>0</v>
      </c>
      <c r="IB126" s="507"/>
      <c r="IC126" s="508">
        <v>0</v>
      </c>
      <c r="ID126" s="507"/>
      <c r="IE126" s="508">
        <v>0</v>
      </c>
      <c r="IF126" s="507"/>
      <c r="IG126" s="508">
        <v>0</v>
      </c>
      <c r="IH126" s="507"/>
      <c r="II126" s="508">
        <v>0</v>
      </c>
      <c r="IJ126" s="507"/>
      <c r="IK126" s="508">
        <v>0</v>
      </c>
      <c r="IL126" s="507"/>
      <c r="IM126" s="508">
        <v>0</v>
      </c>
      <c r="IN126" s="507"/>
      <c r="IO126" s="508">
        <v>0</v>
      </c>
      <c r="IP126" s="507"/>
      <c r="IQ126" s="508">
        <v>0</v>
      </c>
      <c r="IR126" s="507"/>
      <c r="IS126" s="508">
        <v>0</v>
      </c>
      <c r="IT126" s="507"/>
      <c r="IU126" s="508">
        <v>0</v>
      </c>
      <c r="IV126" s="507"/>
      <c r="IW126" s="508">
        <v>0</v>
      </c>
      <c r="IX126" s="507"/>
      <c r="IY126" s="508">
        <v>0</v>
      </c>
      <c r="IZ126" s="506"/>
      <c r="JA126" s="507"/>
      <c r="JB126" s="508">
        <v>0</v>
      </c>
      <c r="JC126" s="507"/>
      <c r="JD126" s="508">
        <v>0</v>
      </c>
      <c r="JE126" s="510"/>
      <c r="JF126" s="507"/>
      <c r="JG126" s="508"/>
      <c r="JH126" s="507"/>
      <c r="JI126" s="508"/>
      <c r="JJ126" s="507"/>
      <c r="JK126" s="508"/>
      <c r="JL126" s="507"/>
      <c r="JM126" s="508"/>
      <c r="JN126" s="507"/>
      <c r="JO126" s="508">
        <v>0</v>
      </c>
      <c r="JP126" s="507"/>
      <c r="JQ126" s="508">
        <v>0</v>
      </c>
      <c r="JR126" s="507"/>
      <c r="JS126" s="508">
        <v>0</v>
      </c>
      <c r="JT126" s="507"/>
      <c r="JU126" s="508">
        <v>0</v>
      </c>
      <c r="JV126" s="507"/>
      <c r="JW126" s="508">
        <v>0</v>
      </c>
      <c r="JX126" s="507"/>
      <c r="JY126" s="508">
        <v>0</v>
      </c>
      <c r="JZ126" s="507"/>
      <c r="KA126" s="508">
        <v>0</v>
      </c>
      <c r="KB126" s="507"/>
      <c r="KC126" s="508">
        <v>0</v>
      </c>
      <c r="KD126" s="507"/>
      <c r="KE126" s="508">
        <v>0</v>
      </c>
      <c r="KF126" s="507"/>
      <c r="KG126" s="508">
        <v>0</v>
      </c>
      <c r="KH126" s="507"/>
      <c r="KI126" s="508">
        <v>0</v>
      </c>
      <c r="KJ126" s="507"/>
      <c r="KK126" s="508">
        <v>0</v>
      </c>
      <c r="KL126" s="507"/>
      <c r="KM126" s="508">
        <v>0</v>
      </c>
      <c r="KN126" s="507"/>
      <c r="KO126" s="508">
        <v>0</v>
      </c>
      <c r="KP126" s="507"/>
      <c r="KQ126" s="508">
        <v>0</v>
      </c>
      <c r="KR126" s="507"/>
      <c r="KS126" s="508">
        <v>0</v>
      </c>
      <c r="KT126" s="507"/>
      <c r="KU126" s="508">
        <v>0</v>
      </c>
      <c r="KV126" s="507"/>
      <c r="KW126" s="508">
        <v>0</v>
      </c>
      <c r="KX126" s="507"/>
      <c r="KY126" s="508">
        <v>0</v>
      </c>
      <c r="KZ126" s="507"/>
      <c r="LA126" s="508">
        <v>0</v>
      </c>
      <c r="LB126" s="507"/>
      <c r="LC126" s="508">
        <v>0</v>
      </c>
      <c r="LD126" s="507"/>
      <c r="LE126" s="508">
        <v>0</v>
      </c>
      <c r="LF126" s="507"/>
      <c r="LG126" s="508">
        <v>0</v>
      </c>
      <c r="LH126" s="507"/>
      <c r="LI126" s="508">
        <v>0</v>
      </c>
      <c r="LJ126" s="507"/>
      <c r="LK126" s="508">
        <v>0</v>
      </c>
      <c r="LL126" s="507"/>
      <c r="LM126" s="508">
        <v>0</v>
      </c>
      <c r="LN126" s="507"/>
      <c r="LO126" s="508">
        <v>0</v>
      </c>
      <c r="LP126" s="507"/>
      <c r="LQ126" s="508">
        <v>0</v>
      </c>
      <c r="LR126" s="507"/>
      <c r="LS126" s="508">
        <v>0</v>
      </c>
      <c r="LT126" s="507"/>
      <c r="LU126" s="508">
        <v>0</v>
      </c>
      <c r="LV126" s="507"/>
      <c r="LW126" s="508">
        <v>0</v>
      </c>
      <c r="LX126" s="507"/>
      <c r="LY126" s="508">
        <v>0</v>
      </c>
      <c r="LZ126" s="507"/>
      <c r="MA126" s="508">
        <v>0</v>
      </c>
      <c r="MB126" s="507"/>
      <c r="MC126" s="508">
        <v>0</v>
      </c>
      <c r="MD126" s="507"/>
      <c r="ME126" s="508">
        <v>0</v>
      </c>
      <c r="MF126" s="507"/>
      <c r="MG126" s="508">
        <v>0</v>
      </c>
      <c r="MH126" s="506"/>
      <c r="MI126" s="507"/>
      <c r="MJ126" s="508"/>
      <c r="MK126" s="507"/>
      <c r="ML126" s="508"/>
      <c r="MM126" s="507"/>
      <c r="MN126" s="508"/>
      <c r="MO126" s="507"/>
      <c r="MP126" s="508"/>
      <c r="MQ126" s="507"/>
      <c r="MR126" s="508">
        <v>0</v>
      </c>
      <c r="MS126" s="507"/>
      <c r="MT126" s="508">
        <v>0</v>
      </c>
      <c r="MU126" s="507"/>
      <c r="MV126" s="508">
        <v>0</v>
      </c>
      <c r="MW126" s="507"/>
      <c r="MX126" s="508">
        <v>0</v>
      </c>
      <c r="MY126" s="507"/>
      <c r="MZ126" s="508">
        <v>0</v>
      </c>
      <c r="NA126" s="507"/>
      <c r="NB126" s="508">
        <v>0</v>
      </c>
      <c r="NC126" s="507"/>
      <c r="ND126" s="508">
        <v>0</v>
      </c>
      <c r="NE126" s="507"/>
      <c r="NF126" s="508">
        <v>0</v>
      </c>
      <c r="NG126" s="507"/>
      <c r="NH126" s="508">
        <v>0</v>
      </c>
      <c r="NI126" s="507"/>
      <c r="NJ126" s="508">
        <v>0</v>
      </c>
      <c r="NK126" s="507"/>
      <c r="NL126" s="508">
        <v>0</v>
      </c>
      <c r="NM126" s="507"/>
      <c r="NN126" s="508">
        <v>0</v>
      </c>
      <c r="NO126" s="507"/>
      <c r="NP126" s="508">
        <v>0</v>
      </c>
      <c r="NQ126" s="507"/>
      <c r="NR126" s="508">
        <v>0</v>
      </c>
      <c r="NS126" s="507"/>
      <c r="NT126" s="508">
        <v>0</v>
      </c>
      <c r="NU126" s="507"/>
      <c r="NV126" s="508">
        <v>0</v>
      </c>
      <c r="NW126" s="507"/>
      <c r="NX126" s="508">
        <v>0</v>
      </c>
      <c r="NY126" s="507"/>
      <c r="NZ126" s="508">
        <v>0</v>
      </c>
      <c r="OA126" s="507"/>
      <c r="OB126" s="508">
        <v>0</v>
      </c>
      <c r="OC126" s="507"/>
      <c r="OD126" s="508">
        <v>0</v>
      </c>
      <c r="OE126" s="507"/>
      <c r="OF126" s="508">
        <v>0</v>
      </c>
      <c r="OG126" s="507"/>
      <c r="OH126" s="508">
        <v>0</v>
      </c>
      <c r="OI126" s="507"/>
      <c r="OJ126" s="508">
        <v>0</v>
      </c>
      <c r="OK126" s="507"/>
      <c r="OL126" s="508">
        <v>0</v>
      </c>
      <c r="OM126" s="507"/>
      <c r="ON126" s="508">
        <v>0</v>
      </c>
      <c r="OO126" s="507"/>
      <c r="OP126" s="508">
        <v>0</v>
      </c>
      <c r="OQ126" s="507"/>
      <c r="OR126" s="508">
        <v>0</v>
      </c>
      <c r="OS126" s="507"/>
      <c r="OT126" s="508">
        <v>0</v>
      </c>
      <c r="OU126" s="507"/>
      <c r="OV126" s="508">
        <v>0</v>
      </c>
      <c r="OW126" s="507"/>
      <c r="OX126" s="508">
        <v>0</v>
      </c>
      <c r="OY126" s="507"/>
      <c r="OZ126" s="508">
        <v>0</v>
      </c>
      <c r="PA126" s="507"/>
      <c r="PB126" s="508">
        <v>0</v>
      </c>
      <c r="PC126" s="507"/>
      <c r="PD126" s="508">
        <v>0</v>
      </c>
      <c r="PE126" s="507"/>
      <c r="PF126" s="508">
        <v>0</v>
      </c>
      <c r="PG126" s="507"/>
      <c r="PH126" s="508">
        <v>0</v>
      </c>
      <c r="PI126" s="507"/>
      <c r="PJ126" s="508">
        <v>0</v>
      </c>
      <c r="PK126" s="507"/>
      <c r="PL126" s="508">
        <v>0</v>
      </c>
      <c r="PM126" s="507"/>
      <c r="PN126" s="508">
        <v>0</v>
      </c>
      <c r="PO126" s="507"/>
      <c r="PP126" s="508">
        <v>0</v>
      </c>
      <c r="PQ126" s="511"/>
      <c r="PR126" s="507"/>
      <c r="PS126" s="508">
        <v>0</v>
      </c>
      <c r="PT126" s="507"/>
      <c r="PU126" s="508">
        <v>0</v>
      </c>
      <c r="PV126" s="507"/>
      <c r="PW126" s="508">
        <v>0</v>
      </c>
      <c r="PX126" s="507"/>
      <c r="PY126" s="508">
        <v>0</v>
      </c>
      <c r="PZ126" s="507"/>
      <c r="QA126" s="508">
        <v>0</v>
      </c>
      <c r="QB126" s="507"/>
      <c r="QC126" s="508">
        <v>0</v>
      </c>
      <c r="QD126" s="511"/>
      <c r="QE126" s="511"/>
      <c r="QF126" s="507"/>
      <c r="QG126" s="508">
        <v>0</v>
      </c>
      <c r="QH126" s="507"/>
      <c r="QI126" s="508">
        <v>0</v>
      </c>
      <c r="QJ126" s="507"/>
      <c r="QK126" s="508">
        <v>0</v>
      </c>
      <c r="QL126" s="507"/>
      <c r="QM126" s="508">
        <v>0</v>
      </c>
      <c r="QN126" s="507"/>
      <c r="QO126" s="508">
        <v>0</v>
      </c>
      <c r="QP126" s="507"/>
      <c r="QQ126" s="508">
        <v>0</v>
      </c>
    </row>
    <row r="127" spans="1:459" x14ac:dyDescent="0.45">
      <c r="A127" s="871"/>
      <c r="B127" s="180"/>
      <c r="C127" s="181"/>
      <c r="D127" s="199"/>
      <c r="E127" s="177"/>
      <c r="F127" s="285"/>
      <c r="G127" s="357"/>
      <c r="H127" s="285"/>
      <c r="I127" s="357"/>
      <c r="J127" s="285"/>
      <c r="K127" s="357"/>
      <c r="L127" s="285"/>
      <c r="M127" s="357"/>
      <c r="N127" s="285"/>
      <c r="O127" s="357"/>
      <c r="P127" s="285"/>
      <c r="Q127" s="357"/>
      <c r="R127" s="285"/>
      <c r="S127" s="357"/>
      <c r="T127" s="285"/>
      <c r="U127" s="357"/>
      <c r="V127" s="285"/>
      <c r="W127" s="357"/>
      <c r="X127" s="285"/>
      <c r="Y127" s="357"/>
      <c r="Z127" s="285"/>
      <c r="AA127" s="357"/>
      <c r="AB127" s="285"/>
      <c r="AC127" s="357"/>
      <c r="AD127" s="285"/>
      <c r="AE127" s="357"/>
      <c r="AF127" s="285"/>
      <c r="AG127" s="357"/>
      <c r="AH127" s="285"/>
      <c r="AI127" s="357"/>
      <c r="AJ127" s="285"/>
      <c r="AK127" s="357"/>
      <c r="AL127" s="285"/>
      <c r="AM127" s="357"/>
      <c r="AN127" s="285"/>
      <c r="AO127" s="357"/>
      <c r="AP127" s="285"/>
      <c r="AQ127" s="357"/>
      <c r="AR127" s="285"/>
      <c r="AS127" s="357"/>
      <c r="AT127" s="285"/>
      <c r="AU127" s="357"/>
      <c r="AV127" s="285"/>
      <c r="AW127" s="357"/>
      <c r="AX127" s="285"/>
      <c r="AY127" s="357"/>
      <c r="AZ127" s="285"/>
      <c r="BA127" s="357"/>
      <c r="BB127" s="285"/>
      <c r="BC127" s="357"/>
      <c r="BD127" s="285"/>
      <c r="BE127" s="357"/>
      <c r="BF127" s="285"/>
      <c r="BG127" s="357"/>
      <c r="BH127" s="285"/>
      <c r="BI127" s="357"/>
      <c r="BJ127" s="285"/>
      <c r="BK127" s="357"/>
      <c r="BL127" s="285"/>
      <c r="BM127" s="357"/>
      <c r="BN127" s="285"/>
      <c r="BO127" s="357"/>
      <c r="BP127" s="285"/>
      <c r="BQ127" s="357"/>
      <c r="BR127" s="285"/>
      <c r="BS127" s="357"/>
      <c r="BT127" s="285"/>
      <c r="BU127" s="357"/>
      <c r="BV127" s="285"/>
      <c r="BW127" s="357"/>
      <c r="BX127" s="285"/>
      <c r="BY127" s="357"/>
      <c r="BZ127" s="285"/>
      <c r="CA127" s="357"/>
      <c r="CB127" s="285"/>
      <c r="CC127" s="357"/>
      <c r="CD127" s="285"/>
      <c r="CE127" s="357"/>
      <c r="CF127" s="285"/>
      <c r="CG127" s="357"/>
      <c r="CH127" s="285"/>
      <c r="CI127" s="357"/>
      <c r="CJ127" s="285"/>
      <c r="CK127" s="357"/>
      <c r="CL127" s="285"/>
      <c r="CM127" s="357"/>
      <c r="CN127" s="285"/>
      <c r="CO127" s="357"/>
      <c r="CP127" s="285"/>
      <c r="CQ127" s="357"/>
      <c r="CR127" s="285"/>
      <c r="CS127" s="357"/>
      <c r="CT127" s="201"/>
      <c r="CU127" s="285"/>
      <c r="CV127" s="357"/>
      <c r="CW127" s="285"/>
      <c r="CX127" s="357"/>
      <c r="CY127" s="285"/>
      <c r="CZ127" s="357"/>
      <c r="DA127" s="285"/>
      <c r="DB127" s="357"/>
      <c r="DC127" s="285"/>
      <c r="DD127" s="357"/>
      <c r="DE127" s="285"/>
      <c r="DF127" s="357"/>
      <c r="DG127" s="285"/>
      <c r="DH127" s="357"/>
      <c r="DI127" s="285"/>
      <c r="DJ127" s="357"/>
      <c r="DK127" s="285"/>
      <c r="DL127" s="357"/>
      <c r="DM127" s="285"/>
      <c r="DN127" s="357"/>
      <c r="DO127" s="285"/>
      <c r="DP127" s="357"/>
      <c r="DQ127" s="285"/>
      <c r="DR127" s="357"/>
      <c r="DS127" s="285"/>
      <c r="DT127" s="357"/>
      <c r="DU127" s="285"/>
      <c r="DV127" s="357"/>
      <c r="DW127" s="285"/>
      <c r="DX127" s="357"/>
      <c r="DY127" s="285"/>
      <c r="DZ127" s="357"/>
      <c r="EA127" s="285"/>
      <c r="EB127" s="357"/>
      <c r="EC127" s="285"/>
      <c r="ED127" s="357"/>
      <c r="EE127" s="285"/>
      <c r="EF127" s="357"/>
      <c r="EG127" s="285"/>
      <c r="EH127" s="357"/>
      <c r="EI127" s="285"/>
      <c r="EJ127" s="357"/>
      <c r="EK127" s="285"/>
      <c r="EL127" s="357"/>
      <c r="EM127" s="285"/>
      <c r="EN127" s="357"/>
      <c r="EO127" s="285"/>
      <c r="EP127" s="357"/>
      <c r="EQ127" s="285"/>
      <c r="ER127" s="357"/>
      <c r="ES127" s="285"/>
      <c r="ET127" s="357"/>
      <c r="EU127" s="285"/>
      <c r="EV127" s="357"/>
      <c r="EW127" s="285"/>
      <c r="EX127" s="357"/>
      <c r="EY127" s="285"/>
      <c r="EZ127" s="357"/>
      <c r="FA127" s="285"/>
      <c r="FB127" s="357"/>
      <c r="FC127" s="285"/>
      <c r="FD127" s="357"/>
      <c r="FE127" s="285"/>
      <c r="FF127" s="357"/>
      <c r="FG127" s="285"/>
      <c r="FH127" s="357"/>
      <c r="FI127" s="285"/>
      <c r="FJ127" s="357"/>
      <c r="FK127" s="285"/>
      <c r="FL127" s="357"/>
      <c r="FM127" s="285"/>
      <c r="FN127" s="357"/>
      <c r="FO127" s="285"/>
      <c r="FP127" s="357"/>
      <c r="FQ127" s="357"/>
      <c r="FR127" s="285"/>
      <c r="FS127" s="357"/>
      <c r="FT127" s="285"/>
      <c r="FU127" s="357"/>
      <c r="FV127" s="285"/>
      <c r="FW127" s="357"/>
      <c r="FX127" s="285"/>
      <c r="FY127" s="357"/>
      <c r="FZ127" s="285"/>
      <c r="GA127" s="357"/>
      <c r="GB127" s="285"/>
      <c r="GC127" s="357"/>
      <c r="GD127" s="285"/>
      <c r="GE127" s="357"/>
      <c r="GF127" s="285"/>
      <c r="GG127" s="357"/>
      <c r="GH127" s="285"/>
      <c r="GI127" s="357"/>
      <c r="GJ127" s="285"/>
      <c r="GK127" s="357"/>
      <c r="GL127" s="285"/>
      <c r="GM127" s="357"/>
      <c r="GN127" s="285"/>
      <c r="GO127" s="357"/>
      <c r="GP127" s="285"/>
      <c r="GQ127" s="357"/>
      <c r="GR127" s="285"/>
      <c r="GS127" s="357"/>
      <c r="GT127" s="285"/>
      <c r="GU127" s="357"/>
      <c r="GV127" s="285"/>
      <c r="GW127" s="357"/>
      <c r="GX127" s="285"/>
      <c r="GY127" s="357"/>
      <c r="GZ127" s="285"/>
      <c r="HA127" s="357"/>
      <c r="HB127" s="285"/>
      <c r="HC127" s="357"/>
      <c r="HD127" s="285"/>
      <c r="HE127" s="357"/>
      <c r="HF127" s="285"/>
      <c r="HG127" s="357"/>
      <c r="HH127" s="285"/>
      <c r="HI127" s="357"/>
      <c r="HJ127" s="285"/>
      <c r="HK127" s="357"/>
      <c r="HL127" s="285"/>
      <c r="HM127" s="357"/>
      <c r="HN127" s="285"/>
      <c r="HO127" s="357"/>
      <c r="HP127" s="285"/>
      <c r="HQ127" s="357"/>
      <c r="HR127" s="285"/>
      <c r="HS127" s="357"/>
      <c r="HT127" s="285"/>
      <c r="HU127" s="357"/>
      <c r="HV127" s="285"/>
      <c r="HW127" s="357"/>
      <c r="HX127" s="285"/>
      <c r="HY127" s="357"/>
      <c r="HZ127" s="285"/>
      <c r="IA127" s="357"/>
      <c r="IB127" s="285"/>
      <c r="IC127" s="357"/>
      <c r="ID127" s="285"/>
      <c r="IE127" s="357"/>
      <c r="IF127" s="285"/>
      <c r="IG127" s="357"/>
      <c r="IH127" s="285"/>
      <c r="II127" s="357"/>
      <c r="IJ127" s="285"/>
      <c r="IK127" s="357"/>
      <c r="IL127" s="285"/>
      <c r="IM127" s="357"/>
      <c r="IN127" s="285"/>
      <c r="IO127" s="357"/>
      <c r="IP127" s="285"/>
      <c r="IQ127" s="357"/>
      <c r="IR127" s="285"/>
      <c r="IS127" s="357"/>
      <c r="IT127" s="285"/>
      <c r="IU127" s="357"/>
      <c r="IV127" s="285"/>
      <c r="IW127" s="357"/>
      <c r="IX127" s="285"/>
      <c r="IY127" s="357"/>
      <c r="IZ127" s="177"/>
      <c r="JA127" s="285"/>
      <c r="JB127" s="357"/>
      <c r="JC127" s="285"/>
      <c r="JD127" s="357"/>
      <c r="JE127" s="485"/>
      <c r="JF127" s="285"/>
      <c r="JG127" s="357"/>
      <c r="JH127" s="285"/>
      <c r="JI127" s="357"/>
      <c r="JJ127" s="285"/>
      <c r="JK127" s="357"/>
      <c r="JL127" s="285"/>
      <c r="JM127" s="357"/>
      <c r="JN127" s="285"/>
      <c r="JO127" s="357"/>
      <c r="JP127" s="285"/>
      <c r="JQ127" s="357"/>
      <c r="JR127" s="285"/>
      <c r="JS127" s="357"/>
      <c r="JT127" s="285"/>
      <c r="JU127" s="357"/>
      <c r="JV127" s="285"/>
      <c r="JW127" s="357"/>
      <c r="JX127" s="285"/>
      <c r="JY127" s="357"/>
      <c r="JZ127" s="285"/>
      <c r="KA127" s="357"/>
      <c r="KB127" s="285"/>
      <c r="KC127" s="357"/>
      <c r="KD127" s="285"/>
      <c r="KE127" s="357"/>
      <c r="KF127" s="285"/>
      <c r="KG127" s="357"/>
      <c r="KH127" s="285"/>
      <c r="KI127" s="357"/>
      <c r="KJ127" s="285"/>
      <c r="KK127" s="357"/>
      <c r="KL127" s="285"/>
      <c r="KM127" s="357"/>
      <c r="KN127" s="285"/>
      <c r="KO127" s="357"/>
      <c r="KP127" s="285"/>
      <c r="KQ127" s="357"/>
      <c r="KR127" s="285"/>
      <c r="KS127" s="357"/>
      <c r="KT127" s="285"/>
      <c r="KU127" s="357"/>
      <c r="KV127" s="285"/>
      <c r="KW127" s="357"/>
      <c r="KX127" s="285"/>
      <c r="KY127" s="357"/>
      <c r="KZ127" s="285"/>
      <c r="LA127" s="357"/>
      <c r="LB127" s="285"/>
      <c r="LC127" s="357"/>
      <c r="LD127" s="285"/>
      <c r="LE127" s="357"/>
      <c r="LF127" s="285"/>
      <c r="LG127" s="357"/>
      <c r="LH127" s="285"/>
      <c r="LI127" s="357"/>
      <c r="LJ127" s="285"/>
      <c r="LK127" s="357"/>
      <c r="LL127" s="285"/>
      <c r="LM127" s="357"/>
      <c r="LN127" s="285"/>
      <c r="LO127" s="357"/>
      <c r="LP127" s="285"/>
      <c r="LQ127" s="357"/>
      <c r="LR127" s="285"/>
      <c r="LS127" s="357"/>
      <c r="LT127" s="285"/>
      <c r="LU127" s="357"/>
      <c r="LV127" s="285"/>
      <c r="LW127" s="357"/>
      <c r="LX127" s="285"/>
      <c r="LY127" s="357"/>
      <c r="LZ127" s="285"/>
      <c r="MA127" s="357"/>
      <c r="MB127" s="285"/>
      <c r="MC127" s="357"/>
      <c r="MD127" s="285"/>
      <c r="ME127" s="357"/>
      <c r="MF127" s="285"/>
      <c r="MG127" s="357"/>
      <c r="MH127" s="177"/>
      <c r="MI127" s="285"/>
      <c r="MJ127" s="357"/>
      <c r="MK127" s="285"/>
      <c r="ML127" s="357"/>
      <c r="MM127" s="285"/>
      <c r="MN127" s="357"/>
      <c r="MO127" s="285"/>
      <c r="MP127" s="357"/>
      <c r="MQ127" s="285"/>
      <c r="MR127" s="357"/>
      <c r="MS127" s="285"/>
      <c r="MT127" s="357"/>
      <c r="MU127" s="285"/>
      <c r="MV127" s="357"/>
      <c r="MW127" s="285"/>
      <c r="MX127" s="357"/>
      <c r="MY127" s="285"/>
      <c r="MZ127" s="357"/>
      <c r="NA127" s="285"/>
      <c r="NB127" s="357"/>
      <c r="NC127" s="285"/>
      <c r="ND127" s="357"/>
      <c r="NE127" s="285"/>
      <c r="NF127" s="357"/>
      <c r="NG127" s="285"/>
      <c r="NH127" s="357"/>
      <c r="NI127" s="285"/>
      <c r="NJ127" s="357"/>
      <c r="NK127" s="285"/>
      <c r="NL127" s="357"/>
      <c r="NM127" s="285"/>
      <c r="NN127" s="357"/>
      <c r="NO127" s="285"/>
      <c r="NP127" s="357"/>
      <c r="NQ127" s="285"/>
      <c r="NR127" s="357"/>
      <c r="NS127" s="285"/>
      <c r="NT127" s="357"/>
      <c r="NU127" s="285"/>
      <c r="NV127" s="357"/>
      <c r="NW127" s="285"/>
      <c r="NX127" s="357"/>
      <c r="NY127" s="285"/>
      <c r="NZ127" s="357"/>
      <c r="OA127" s="285"/>
      <c r="OB127" s="357"/>
      <c r="OC127" s="285"/>
      <c r="OD127" s="357"/>
      <c r="OE127" s="285"/>
      <c r="OF127" s="357"/>
      <c r="OG127" s="285"/>
      <c r="OH127" s="357"/>
      <c r="OI127" s="285"/>
      <c r="OJ127" s="357"/>
      <c r="OK127" s="285"/>
      <c r="OL127" s="357"/>
      <c r="OM127" s="285"/>
      <c r="ON127" s="357"/>
      <c r="OO127" s="285"/>
      <c r="OP127" s="357"/>
      <c r="OQ127" s="285"/>
      <c r="OR127" s="357"/>
      <c r="OS127" s="285"/>
      <c r="OT127" s="357"/>
      <c r="OU127" s="285"/>
      <c r="OV127" s="357"/>
      <c r="OW127" s="285"/>
      <c r="OX127" s="357"/>
      <c r="OY127" s="285"/>
      <c r="OZ127" s="357"/>
      <c r="PA127" s="285"/>
      <c r="PB127" s="357"/>
      <c r="PC127" s="285"/>
      <c r="PD127" s="357"/>
      <c r="PE127" s="285"/>
      <c r="PF127" s="357"/>
      <c r="PG127" s="285"/>
      <c r="PH127" s="357"/>
      <c r="PI127" s="285"/>
      <c r="PJ127" s="357"/>
      <c r="PK127" s="285"/>
      <c r="PL127" s="357"/>
      <c r="PM127" s="285"/>
      <c r="PN127" s="357"/>
      <c r="PO127" s="285"/>
      <c r="PP127" s="357"/>
      <c r="PR127" s="285"/>
      <c r="PS127" s="357"/>
      <c r="PT127" s="285"/>
      <c r="PU127" s="357"/>
      <c r="PV127" s="285"/>
      <c r="PW127" s="357"/>
      <c r="PX127" s="285"/>
      <c r="PY127" s="357"/>
      <c r="PZ127" s="285"/>
      <c r="QA127" s="357"/>
      <c r="QB127" s="285"/>
      <c r="QC127" s="357"/>
      <c r="QF127" s="285"/>
      <c r="QG127" s="357"/>
      <c r="QH127" s="285"/>
      <c r="QI127" s="357"/>
      <c r="QJ127" s="285"/>
      <c r="QK127" s="357"/>
      <c r="QL127" s="285"/>
      <c r="QM127" s="357"/>
      <c r="QN127" s="285"/>
      <c r="QO127" s="357"/>
      <c r="QP127" s="285"/>
      <c r="QQ127" s="357"/>
    </row>
    <row r="128" spans="1:459" x14ac:dyDescent="0.45">
      <c r="A128" s="871"/>
      <c r="B128" s="180" t="s">
        <v>424</v>
      </c>
      <c r="C128" s="512"/>
      <c r="D128" s="513"/>
      <c r="E128" s="514"/>
      <c r="F128" s="289"/>
      <c r="G128" s="515">
        <f>G105+G125+G126</f>
        <v>0</v>
      </c>
      <c r="H128" s="289"/>
      <c r="I128" s="515">
        <f>I105+I125+I126</f>
        <v>0</v>
      </c>
      <c r="J128" s="289"/>
      <c r="K128" s="515">
        <f>K105+K125+K126</f>
        <v>0</v>
      </c>
      <c r="L128" s="289"/>
      <c r="M128" s="515">
        <f>M105+M125+M126</f>
        <v>0</v>
      </c>
      <c r="N128" s="289"/>
      <c r="O128" s="515">
        <f>O105+O125+O126</f>
        <v>0</v>
      </c>
      <c r="P128" s="289"/>
      <c r="Q128" s="515">
        <f>Q105+Q125+Q126</f>
        <v>0.84473204378831745</v>
      </c>
      <c r="R128" s="289"/>
      <c r="S128" s="515">
        <f>S105+S125+S126</f>
        <v>-0.22135416666666666</v>
      </c>
      <c r="T128" s="289"/>
      <c r="U128" s="515">
        <f>U105+U125+U126</f>
        <v>0</v>
      </c>
      <c r="V128" s="289"/>
      <c r="W128" s="515">
        <f>W105+W125+W126</f>
        <v>0</v>
      </c>
      <c r="X128" s="289"/>
      <c r="Y128" s="515">
        <f>Y105+Y125+Y126</f>
        <v>2.3697916666666666E-2</v>
      </c>
      <c r="Z128" s="289"/>
      <c r="AA128" s="515">
        <f>AA105+AA125+AA126</f>
        <v>0</v>
      </c>
      <c r="AB128" s="289"/>
      <c r="AC128" s="515">
        <f>AC105+AC125+AC126</f>
        <v>0.40900711331821721</v>
      </c>
      <c r="AD128" s="289"/>
      <c r="AE128" s="515">
        <f>AE105+AE125+AE126</f>
        <v>0.56470366379310244</v>
      </c>
      <c r="AF128" s="289"/>
      <c r="AG128" s="515">
        <f>AG105+AG125+AG126</f>
        <v>1.8732280704704776</v>
      </c>
      <c r="AH128" s="289"/>
      <c r="AI128" s="515">
        <f>AI105+AI125+AI126</f>
        <v>1.7626054267473112</v>
      </c>
      <c r="AJ128" s="289"/>
      <c r="AK128" s="515">
        <f>AK105+AK125+AK126</f>
        <v>2.0166171959676129</v>
      </c>
      <c r="AL128" s="289"/>
      <c r="AM128" s="515">
        <f>AM105+AM125+AM126</f>
        <v>1.8855099656575107</v>
      </c>
      <c r="AN128" s="289"/>
      <c r="AO128" s="515">
        <f>AO105+AO125+AO126</f>
        <v>1.7644046045385737</v>
      </c>
      <c r="AP128" s="289"/>
      <c r="AQ128" s="515">
        <f>AQ105+AQ125+AQ126</f>
        <v>1.5655387156804832</v>
      </c>
      <c r="AR128" s="289"/>
      <c r="AS128" s="516">
        <f>AS105+AS125+AS126</f>
        <v>1.3638594841672287</v>
      </c>
      <c r="AT128" s="289"/>
      <c r="AU128" s="516">
        <f>AU105+AU125+AU126</f>
        <v>1.3638594841672289</v>
      </c>
      <c r="AV128" s="289"/>
      <c r="AW128" s="516">
        <f>AW105+AW125+AW126</f>
        <v>1.6962231853453185</v>
      </c>
      <c r="AX128" s="289"/>
      <c r="AY128" s="516">
        <f>AY105+AY125+AY126</f>
        <v>2.00548675767496</v>
      </c>
      <c r="AZ128" s="289"/>
      <c r="BA128" s="516">
        <f>BA105+BA125+BA126</f>
        <v>2.0825881329354763</v>
      </c>
      <c r="BB128" s="289"/>
      <c r="BC128" s="516">
        <f>BC105+BC125+BC126</f>
        <v>2.0685004651618457</v>
      </c>
      <c r="BD128" s="289"/>
      <c r="BE128" s="516">
        <f>BE105+BE125+BE126</f>
        <v>2.0289853938750535</v>
      </c>
      <c r="BF128" s="289"/>
      <c r="BG128" s="516">
        <f>BG105+BG125+BG126</f>
        <v>2.2637553739752176</v>
      </c>
      <c r="BH128" s="289"/>
      <c r="BI128" s="516">
        <f>BI105+BI125+BI126</f>
        <v>2.471214472946031</v>
      </c>
      <c r="BJ128" s="289"/>
      <c r="BK128" s="516">
        <f>BK105+BK125+BK126</f>
        <v>2.4585860717494428</v>
      </c>
      <c r="BL128" s="289"/>
      <c r="BM128" s="516">
        <f>BM105+BM125+BM126</f>
        <v>2.0293907592778853</v>
      </c>
      <c r="BN128" s="289"/>
      <c r="BO128" s="516">
        <f>BO105+BO125+BO126</f>
        <v>2.0854151868391684</v>
      </c>
      <c r="BP128" s="289"/>
      <c r="BQ128" s="516">
        <f>BQ105+BQ125+BQ126</f>
        <v>1.9484760108457249</v>
      </c>
      <c r="BR128" s="289"/>
      <c r="BS128" s="516">
        <f>BS105+BS125+BS126</f>
        <v>2.3030667109948437</v>
      </c>
      <c r="BT128" s="289"/>
      <c r="BU128" s="516">
        <f>BU105+BU125+BU126</f>
        <v>2.1102105915229679</v>
      </c>
      <c r="BV128" s="289"/>
      <c r="BW128" s="516">
        <f>BW105+BW125+BW126</f>
        <v>2.0869084458393017</v>
      </c>
      <c r="BX128" s="289"/>
      <c r="BY128" s="516">
        <f>BY105+BY125+BY126</f>
        <v>2.3404274510466738</v>
      </c>
      <c r="BZ128" s="289"/>
      <c r="CA128" s="516">
        <f>CA105+CA125+CA126</f>
        <v>1.9604159581437717</v>
      </c>
      <c r="CB128" s="289"/>
      <c r="CC128" s="516">
        <f>CC105+CC125+CC126</f>
        <v>2.4438361686175663</v>
      </c>
      <c r="CD128" s="289"/>
      <c r="CE128" s="516">
        <f>CE105+CE125+CE126</f>
        <v>2.3151608882038639</v>
      </c>
      <c r="CF128" s="289"/>
      <c r="CG128" s="516">
        <f>CG105+CG125+CG126</f>
        <v>1.9125919779865763</v>
      </c>
      <c r="CH128" s="289"/>
      <c r="CI128" s="516">
        <f>CI105+CI125+CI126</f>
        <v>1.9892486412351611</v>
      </c>
      <c r="CJ128" s="289"/>
      <c r="CK128" s="516">
        <f>CK105+CK125+CK126</f>
        <v>2.0548141025287778</v>
      </c>
      <c r="CL128" s="289"/>
      <c r="CM128" s="516">
        <f>CM105+CM125+CM126</f>
        <v>2.1296043111199929</v>
      </c>
      <c r="CN128" s="289"/>
      <c r="CO128" s="516">
        <f>CO105+CO125+CO126</f>
        <v>0.97560892675078825</v>
      </c>
      <c r="CP128" s="289"/>
      <c r="CQ128" s="516">
        <f>CQ105+CQ125+CQ126</f>
        <v>1.2529884358182968</v>
      </c>
      <c r="CR128" s="289"/>
      <c r="CS128" s="516">
        <f>CS105+CS125+CS126</f>
        <v>1.5213217691516303</v>
      </c>
      <c r="CT128" s="517"/>
      <c r="CU128" s="289"/>
      <c r="CV128" s="515">
        <f>CV105+CV125+CV126</f>
        <v>1.1190426692454429</v>
      </c>
      <c r="CW128" s="289"/>
      <c r="CX128" s="515">
        <f>CX105+CX125+CX126</f>
        <v>1.4884482436041102</v>
      </c>
      <c r="CY128" s="289"/>
      <c r="CZ128" s="515">
        <f>CZ105+CZ125+CZ126</f>
        <v>1.7884482436041091</v>
      </c>
      <c r="DA128" s="289"/>
      <c r="DB128" s="515">
        <f>DB105+DB125+DB126</f>
        <v>-0.15614891450744597</v>
      </c>
      <c r="DC128" s="289"/>
      <c r="DD128" s="515">
        <f>DD105+DD125+DD126</f>
        <v>0.60426346734466763</v>
      </c>
      <c r="DE128" s="289"/>
      <c r="DF128" s="515">
        <f>DF105+DF125+DF126</f>
        <v>2.5849860374553213</v>
      </c>
      <c r="DG128" s="289"/>
      <c r="DH128" s="515">
        <f>DH105+DH125+DH126</f>
        <v>2.1076390934767617</v>
      </c>
      <c r="DI128" s="289"/>
      <c r="DJ128" s="515">
        <f>DJ105+DJ125+DJ126</f>
        <v>2.8753971355319923</v>
      </c>
      <c r="DK128" s="289"/>
      <c r="DL128" s="515">
        <f>DL105+DL125+DL126</f>
        <v>2.5026371144911144</v>
      </c>
      <c r="DM128" s="289"/>
      <c r="DN128" s="515">
        <f>DN105+DN125+DN126</f>
        <v>2.536321902757396</v>
      </c>
      <c r="DO128" s="289"/>
      <c r="DP128" s="515">
        <f>DP105+DP125+DP126</f>
        <v>2.5371794529800953</v>
      </c>
      <c r="DQ128" s="289"/>
      <c r="DR128" s="516">
        <f>DR105+DR125+DR126</f>
        <v>1.8523284168556691</v>
      </c>
      <c r="DS128" s="289"/>
      <c r="DT128" s="516">
        <f>DT105+DT125+DT126</f>
        <v>1.8523284168556691</v>
      </c>
      <c r="DU128" s="289"/>
      <c r="DV128" s="516">
        <f>DV105+DV125+DV126</f>
        <v>2.3852085895899098</v>
      </c>
      <c r="DW128" s="289"/>
      <c r="DX128" s="516">
        <f>DX105+DX125+DX126</f>
        <v>2.531674444678691</v>
      </c>
      <c r="DY128" s="289"/>
      <c r="DZ128" s="516">
        <f>DZ105+DZ125+DZ126</f>
        <v>2.8106077593925103</v>
      </c>
      <c r="EA128" s="289"/>
      <c r="EB128" s="516">
        <f>EB105+EB125+EB126</f>
        <v>2.5955983288694529</v>
      </c>
      <c r="EC128" s="289"/>
      <c r="ED128" s="516">
        <f>ED105+ED125+ED126</f>
        <v>2.7957036196758969</v>
      </c>
      <c r="EE128" s="289"/>
      <c r="EF128" s="516">
        <f>EF105+EF125+EF126</f>
        <v>2.9744144712167313</v>
      </c>
      <c r="EG128" s="289"/>
      <c r="EH128" s="516">
        <f>EH105+EH125+EH126</f>
        <v>2.9246493538484177</v>
      </c>
      <c r="EI128" s="289"/>
      <c r="EJ128" s="516">
        <f>EJ105+EJ125+EJ126</f>
        <v>2.8095609878207086</v>
      </c>
      <c r="EK128" s="289"/>
      <c r="EL128" s="516">
        <f>EL105+EL125+EL126</f>
        <v>3.1813327957648352</v>
      </c>
      <c r="EM128" s="289"/>
      <c r="EN128" s="516">
        <f>EN105+EN125+EN126</f>
        <v>3.8591444719611303</v>
      </c>
      <c r="EO128" s="289"/>
      <c r="EP128" s="516">
        <f>EP105+EP125+EP126</f>
        <v>3.1646920176384046</v>
      </c>
      <c r="EQ128" s="289"/>
      <c r="ER128" s="516">
        <f>ER105+ER125+ER126</f>
        <v>3.8471728665754936</v>
      </c>
      <c r="ES128" s="289"/>
      <c r="ET128" s="516">
        <f>ET105+ET125+ET126</f>
        <v>3.5995127416230064</v>
      </c>
      <c r="EU128" s="289"/>
      <c r="EV128" s="516">
        <f>EV105+EV125+EV126</f>
        <v>3.6941019634957355</v>
      </c>
      <c r="EW128" s="289"/>
      <c r="EX128" s="516">
        <f>EX105+EX125+EX126</f>
        <v>3.782680923011176</v>
      </c>
      <c r="EY128" s="289"/>
      <c r="EZ128" s="516">
        <f>EZ105+EZ125+EZ126</f>
        <v>3.2048463050750939</v>
      </c>
      <c r="FA128" s="289"/>
      <c r="FB128" s="516">
        <f>FB105+FB125+FB126</f>
        <v>3.1662477192801082</v>
      </c>
      <c r="FC128" s="289"/>
      <c r="FD128" s="516">
        <f>FD105+FD125+FD126</f>
        <v>3.3837640036350325</v>
      </c>
      <c r="FE128" s="289"/>
      <c r="FF128" s="516">
        <f>FF105+FF125+FF126</f>
        <v>4.0857949684473027</v>
      </c>
      <c r="FG128" s="289"/>
      <c r="FH128" s="516">
        <f>FH105+FH125+FH126</f>
        <v>3.7975943653119932</v>
      </c>
      <c r="FI128" s="289"/>
      <c r="FJ128" s="516">
        <f>FJ105+FJ125+FJ126</f>
        <v>3.659042266097984</v>
      </c>
      <c r="FK128" s="289"/>
      <c r="FL128" s="516">
        <f>FL105+FL125+FL126</f>
        <v>3.637447938577945</v>
      </c>
      <c r="FM128" s="289"/>
      <c r="FN128" s="516">
        <f>FN105+FN125+FN126</f>
        <v>3.5900305240568411</v>
      </c>
      <c r="FO128" s="289"/>
      <c r="FP128" s="516">
        <f>FP105+FP125+FP126</f>
        <v>3.195702629728947</v>
      </c>
      <c r="FQ128" s="515"/>
      <c r="FR128" s="289"/>
      <c r="FS128" s="515">
        <f>FS105+FS125+FS126</f>
        <v>0</v>
      </c>
      <c r="FT128" s="289"/>
      <c r="FU128" s="515">
        <f>FU105+FU125+FU126</f>
        <v>0</v>
      </c>
      <c r="FV128" s="289"/>
      <c r="FW128" s="515">
        <f>FW105+FW125+FW126</f>
        <v>-6.5080339397283637E-2</v>
      </c>
      <c r="FX128" s="289"/>
      <c r="FY128" s="515">
        <f>FY105+FY125+FY126</f>
        <v>-0.22135416666666666</v>
      </c>
      <c r="FZ128" s="289"/>
      <c r="GA128" s="515">
        <f>GA105+GA125+GA126</f>
        <v>0</v>
      </c>
      <c r="GB128" s="289"/>
      <c r="GC128" s="515">
        <f>GC105+GC125+GC126</f>
        <v>0</v>
      </c>
      <c r="GD128" s="289"/>
      <c r="GE128" s="515">
        <f>GE105+GE125+GE126</f>
        <v>2.3697916666666666E-2</v>
      </c>
      <c r="GF128" s="289"/>
      <c r="GG128" s="515">
        <f>GG105+GG125+GG126</f>
        <v>0</v>
      </c>
      <c r="GH128" s="289"/>
      <c r="GI128" s="515">
        <f>GI105+GI125+GI126</f>
        <v>0.12089522520632849</v>
      </c>
      <c r="GJ128" s="289"/>
      <c r="GK128" s="515">
        <f>GK105+GK125+GK126</f>
        <v>0.2941864224137925</v>
      </c>
      <c r="GL128" s="289"/>
      <c r="GM128" s="515">
        <f>GM105+GM125+GM126</f>
        <v>1.6672777943413926</v>
      </c>
      <c r="GN128" s="289"/>
      <c r="GO128" s="515">
        <f>GO105+GO125+GO126</f>
        <v>1.5293296370967744</v>
      </c>
      <c r="GP128" s="289"/>
      <c r="GQ128" s="515">
        <f>GQ105+GQ125+GQ126</f>
        <v>1.8101817036575154</v>
      </c>
      <c r="GR128" s="289"/>
      <c r="GS128" s="515">
        <f>GS105+GS125+GS126</f>
        <v>1.6605358287767198</v>
      </c>
      <c r="GT128" s="289"/>
      <c r="GU128" s="515">
        <f>GU105+GU125+GU126</f>
        <v>1.7101617909389901</v>
      </c>
      <c r="GV128" s="289"/>
      <c r="GW128" s="515">
        <f>GW105+GW125+GW126</f>
        <v>0.82952827125695583</v>
      </c>
      <c r="GX128" s="289"/>
      <c r="GY128" s="516">
        <f>GY105+GY125+GY126</f>
        <v>0.99134877873563232</v>
      </c>
      <c r="GZ128" s="289"/>
      <c r="HA128" s="516">
        <f>HA105+HA125+HA126</f>
        <v>0.99134877873563254</v>
      </c>
      <c r="HB128" s="289"/>
      <c r="HC128" s="516">
        <f>HC105+HC125+HC126</f>
        <v>1.0546974859195353</v>
      </c>
      <c r="HD128" s="289"/>
      <c r="HE128" s="516">
        <f>HE105+HE125+HE126</f>
        <v>1.8177621856381443</v>
      </c>
      <c r="HF128" s="289"/>
      <c r="HG128" s="516">
        <f>HG105+HG125+HG126</f>
        <v>1.7598630895595304</v>
      </c>
      <c r="HH128" s="289"/>
      <c r="HI128" s="516">
        <f>HI105+HI125+HI126</f>
        <v>1.8158299703918965</v>
      </c>
      <c r="HJ128" s="289"/>
      <c r="HK128" s="516">
        <f>HK105+HK125+HK126</f>
        <v>1.8327815905682947</v>
      </c>
      <c r="HL128" s="289"/>
      <c r="HM128" s="516">
        <f>HM105+HM125+HM126</f>
        <v>2.031696513380747</v>
      </c>
      <c r="HN128" s="289"/>
      <c r="HO128" s="516">
        <f>HO105+HO125+HO126</f>
        <v>2.0045547822375922</v>
      </c>
      <c r="HP128" s="289"/>
      <c r="HQ128" s="516">
        <f>HQ105+HQ125+HQ126</f>
        <v>1.9117727756830223</v>
      </c>
      <c r="HR128" s="289"/>
      <c r="HS128" s="516">
        <f>HS105+HS125+HS126</f>
        <v>2.0048131878245186</v>
      </c>
      <c r="HT128" s="289"/>
      <c r="HU128" s="516">
        <f>HU105+HU125+HU126</f>
        <v>2.2367040763539463</v>
      </c>
      <c r="HV128" s="289"/>
      <c r="HW128" s="516">
        <f>HW105+HW125+HW126</f>
        <v>2.0549097384132935</v>
      </c>
      <c r="HX128" s="289"/>
      <c r="HY128" s="516">
        <f>HY105+HY125+HY126</f>
        <v>1.3957964128099822</v>
      </c>
      <c r="HZ128" s="289"/>
      <c r="IA128" s="516">
        <f>IA105+IA125+IA126</f>
        <v>1.265735534455976</v>
      </c>
      <c r="IB128" s="289"/>
      <c r="IC128" s="516">
        <f>IC105+IC125+IC126</f>
        <v>2.2595980619816785</v>
      </c>
      <c r="ID128" s="289"/>
      <c r="IE128" s="516">
        <f>IE105+IE125+IE126</f>
        <v>2.3525395986857074</v>
      </c>
      <c r="IF128" s="289"/>
      <c r="IG128" s="516">
        <f>IG105+IG125+IG126</f>
        <v>2.0730913786608185</v>
      </c>
      <c r="IH128" s="289"/>
      <c r="II128" s="516">
        <f>II105+II125+II126</f>
        <v>2.1640583305655707</v>
      </c>
      <c r="IJ128" s="289"/>
      <c r="IK128" s="516">
        <f>IK105+IK125+IK126</f>
        <v>2.0008091187643813</v>
      </c>
      <c r="IL128" s="289"/>
      <c r="IM128" s="516">
        <f>IM105+IM125+IM126</f>
        <v>2.0920456228934725</v>
      </c>
      <c r="IN128" s="289"/>
      <c r="IO128" s="516">
        <f>IO105+IO125+IO126</f>
        <v>2.1798020844320707</v>
      </c>
      <c r="IP128" s="289"/>
      <c r="IQ128" s="516">
        <f>IQ105+IQ125+IQ126</f>
        <v>2.2548613504950241</v>
      </c>
      <c r="IR128" s="289"/>
      <c r="IS128" s="516">
        <f>IS105+IS125+IS126</f>
        <v>2.1906408780410693</v>
      </c>
      <c r="IT128" s="289"/>
      <c r="IU128" s="516">
        <f>IU105+IU125+IU126</f>
        <v>2.0410993817994365</v>
      </c>
      <c r="IV128" s="289"/>
      <c r="IW128" s="516">
        <f>IW105+IW125+IW126</f>
        <v>1.1350264865670034</v>
      </c>
      <c r="IX128" s="289"/>
      <c r="IY128" s="516">
        <f>IY105+IY125+IY126</f>
        <v>1.3605004697649903</v>
      </c>
      <c r="IZ128" s="514"/>
      <c r="JA128" s="289"/>
      <c r="JB128" s="516">
        <f>JB105+JB125+JB126</f>
        <v>0.83627611675288382</v>
      </c>
      <c r="JC128" s="289"/>
      <c r="JD128" s="516">
        <f>JD105+JD125+JD126</f>
        <v>1.2603507383966244</v>
      </c>
      <c r="JE128" s="501"/>
      <c r="JF128" s="289"/>
      <c r="JG128" s="515">
        <f>JG105+JG125+JG126</f>
        <v>0</v>
      </c>
      <c r="JH128" s="289"/>
      <c r="JI128" s="515">
        <f>JI105+JI125+JI126</f>
        <v>0</v>
      </c>
      <c r="JJ128" s="289"/>
      <c r="JK128" s="515">
        <f>JK105+JK125+JK126</f>
        <v>0.5324515511302681</v>
      </c>
      <c r="JL128" s="289"/>
      <c r="JM128" s="515">
        <f>JM105+JM125+JM126</f>
        <v>-0.17857142857142858</v>
      </c>
      <c r="JN128" s="289"/>
      <c r="JO128" s="515">
        <f>JO105+JO125+JO126</f>
        <v>0</v>
      </c>
      <c r="JP128" s="289"/>
      <c r="JQ128" s="515">
        <f>JQ105+JQ125+JQ126</f>
        <v>0</v>
      </c>
      <c r="JR128" s="289"/>
      <c r="JS128" s="515">
        <f>JS105+JS125+JS126</f>
        <v>7.9393395396258198E-2</v>
      </c>
      <c r="JT128" s="289"/>
      <c r="JU128" s="515">
        <f>JU105+JU125+JU126</f>
        <v>0.33411330049261101</v>
      </c>
      <c r="JV128" s="289"/>
      <c r="JW128" s="515">
        <f>JW105+JW125+JW126</f>
        <v>1.2701847730927665</v>
      </c>
      <c r="JX128" s="289"/>
      <c r="JY128" s="515">
        <f>JY105+JY125+JY126</f>
        <v>0.91537494763301175</v>
      </c>
      <c r="JZ128" s="289"/>
      <c r="KA128" s="515">
        <f>KA105+KA125+KA126</f>
        <v>1.2824675821650016</v>
      </c>
      <c r="KB128" s="289"/>
      <c r="KC128" s="515">
        <f>KC105+KC125+KC126</f>
        <v>1.2026674418881771</v>
      </c>
      <c r="KD128" s="289"/>
      <c r="KE128" s="515">
        <f>KE105+KE125+KE126</f>
        <v>1.2338163662816957</v>
      </c>
      <c r="KF128" s="289"/>
      <c r="KG128" s="515">
        <f>KG105+KG125+KG126</f>
        <v>0.72065175091305644</v>
      </c>
      <c r="KH128" s="289"/>
      <c r="KI128" s="516">
        <f>KI105+KI125+KI126</f>
        <v>0.75569189431258366</v>
      </c>
      <c r="KJ128" s="289"/>
      <c r="KK128" s="516">
        <f>KK105+KK125+KK126</f>
        <v>0.75569189431258366</v>
      </c>
      <c r="KL128" s="289"/>
      <c r="KM128" s="516">
        <f>KM105+KM125+KM126</f>
        <v>0.90831971400435896</v>
      </c>
      <c r="KN128" s="289"/>
      <c r="KO128" s="516">
        <f>KO105+KO125+KO126</f>
        <v>1.2082884368623186</v>
      </c>
      <c r="KP128" s="289"/>
      <c r="KQ128" s="516">
        <f>KQ105+KQ125+KQ126</f>
        <v>1.026020997996874</v>
      </c>
      <c r="KR128" s="289"/>
      <c r="KS128" s="516">
        <f>KS105+KS125+KS126</f>
        <v>1.2479838925580027</v>
      </c>
      <c r="KT128" s="289"/>
      <c r="KU128" s="516">
        <f>KU105+KU125+KU126</f>
        <v>1.2202071963036738</v>
      </c>
      <c r="KV128" s="289"/>
      <c r="KW128" s="516">
        <f>KW105+KW125+KW126</f>
        <v>1.391736531830198</v>
      </c>
      <c r="KX128" s="289"/>
      <c r="KY128" s="516">
        <f>KY105+KY125+KY126</f>
        <v>1.5386042928201817</v>
      </c>
      <c r="KZ128" s="289"/>
      <c r="LA128" s="516">
        <f>LA105+LA125+LA126</f>
        <v>1.6202276858638263</v>
      </c>
      <c r="LB128" s="289"/>
      <c r="LC128" s="516">
        <f>LC105+LC125+LC126</f>
        <v>1.0327694371069553</v>
      </c>
      <c r="LD128" s="289"/>
      <c r="LE128" s="516">
        <f>LE105+LE125+LE126</f>
        <v>1.1421186672642556</v>
      </c>
      <c r="LF128" s="289"/>
      <c r="LG128" s="516">
        <f>LG105+LG125+LG126</f>
        <v>0.67989437702563915</v>
      </c>
      <c r="LH128" s="289"/>
      <c r="LI128" s="516">
        <f>LI105+LI125+LI126</f>
        <v>1.2920161078695664</v>
      </c>
      <c r="LJ128" s="289"/>
      <c r="LK128" s="516">
        <f>LK105+LK125+LK126</f>
        <v>0.99246432760217096</v>
      </c>
      <c r="LL128" s="289"/>
      <c r="LM128" s="516">
        <f>LM105+LM125+LM126</f>
        <v>1.3106472001797096</v>
      </c>
      <c r="LN128" s="289"/>
      <c r="LO128" s="516">
        <f>LO105+LO125+LO126</f>
        <v>1.4012093431304349</v>
      </c>
      <c r="LP128" s="289"/>
      <c r="LQ128" s="516">
        <f>LQ105+LQ125+LQ126</f>
        <v>1.0218117574289221</v>
      </c>
      <c r="LR128" s="289"/>
      <c r="LS128" s="516">
        <f>LS105+LS125+LS126</f>
        <v>1.0535221405356974</v>
      </c>
      <c r="LT128" s="289"/>
      <c r="LU128" s="516">
        <f>LU105+LU125+LU126</f>
        <v>0.91129303478691082</v>
      </c>
      <c r="LV128" s="289"/>
      <c r="LW128" s="516">
        <f>LW105+LW125+LW126</f>
        <v>0.98854475916241724</v>
      </c>
      <c r="LX128" s="289"/>
      <c r="LY128" s="516">
        <f>LY105+LY125+LY126</f>
        <v>1.0650369188602631</v>
      </c>
      <c r="LZ128" s="289"/>
      <c r="MA128" s="516">
        <f>MA105+MA125+MA126</f>
        <v>1.1304616780840069</v>
      </c>
      <c r="MB128" s="289"/>
      <c r="MC128" s="516">
        <f>MC105+MC125+MC126</f>
        <v>1.0846242506861112</v>
      </c>
      <c r="MD128" s="289"/>
      <c r="ME128" s="516">
        <f>ME105+ME125+ME126</f>
        <v>1.3895830088829131</v>
      </c>
      <c r="MF128" s="289"/>
      <c r="MG128" s="516">
        <f>MG105+MG125+MG126</f>
        <v>0.28930976430976407</v>
      </c>
      <c r="MH128" s="514"/>
      <c r="MI128" s="289"/>
      <c r="MJ128" s="515">
        <f>MJ105+MJ125+MJ126</f>
        <v>0.3822473250590257</v>
      </c>
      <c r="MK128" s="289"/>
      <c r="ML128" s="515">
        <f>ML105+ML125+ML126</f>
        <v>0.41413449892432652</v>
      </c>
      <c r="MM128" s="289"/>
      <c r="MN128" s="515">
        <f>MN105+MN125+MN126</f>
        <v>-0.18147528697901225</v>
      </c>
      <c r="MO128" s="289"/>
      <c r="MP128" s="515">
        <f>MP105+MP125+MP126</f>
        <v>-0.17031916909992406</v>
      </c>
      <c r="MQ128" s="289"/>
      <c r="MR128" s="515">
        <f>MR105+MR125+MR126</f>
        <v>0.39428948427878208</v>
      </c>
      <c r="MS128" s="289"/>
      <c r="MT128" s="515">
        <f>MT105+MT125+MT126</f>
        <v>0.32340258105845909</v>
      </c>
      <c r="MU128" s="289"/>
      <c r="MV128" s="515">
        <f>MV105+MV125+MV126</f>
        <v>-0.43696947847581907</v>
      </c>
      <c r="MW128" s="289"/>
      <c r="MX128" s="515">
        <f>MX105+MX125+MX126</f>
        <v>0.42519638576433638</v>
      </c>
      <c r="MY128" s="289"/>
      <c r="MZ128" s="515">
        <f>MZ105+MZ125+MZ126</f>
        <v>1.4208250707997792</v>
      </c>
      <c r="NA128" s="289"/>
      <c r="NB128" s="515">
        <f>NB105+NB125+NB126</f>
        <v>1.1778038797497139</v>
      </c>
      <c r="NC128" s="289"/>
      <c r="ND128" s="515">
        <f>ND105+ND125+ND126</f>
        <v>1.4465883196740057</v>
      </c>
      <c r="NE128" s="289"/>
      <c r="NF128" s="515">
        <f>NF105+NF125+NF126</f>
        <v>1.4718707419222761</v>
      </c>
      <c r="NG128" s="289"/>
      <c r="NH128" s="515">
        <f>NH105+NH125+NH126</f>
        <v>1.4593968399028379</v>
      </c>
      <c r="NI128" s="289"/>
      <c r="NJ128" s="515">
        <f>NJ105+NJ125+NJ126</f>
        <v>1.0646063624973976</v>
      </c>
      <c r="NK128" s="289"/>
      <c r="NL128" s="516">
        <f>NL105+NL125+NL126</f>
        <v>0.96739744857760712</v>
      </c>
      <c r="NM128" s="289"/>
      <c r="NN128" s="516">
        <f>NN105+NN125+NN126</f>
        <v>0.96739744857760712</v>
      </c>
      <c r="NO128" s="289"/>
      <c r="NP128" s="516">
        <f>NP105+NP125+NP126</f>
        <v>1.2149033840412864</v>
      </c>
      <c r="NQ128" s="289"/>
      <c r="NR128" s="516">
        <f>NR105+NR125+NR126</f>
        <v>1.5141463117458518</v>
      </c>
      <c r="NS128" s="289"/>
      <c r="NT128" s="516">
        <f>NT105+NT125+NT126</f>
        <v>1.5810331970343576</v>
      </c>
      <c r="NU128" s="289"/>
      <c r="NV128" s="516">
        <f>NV105+NV125+NV126</f>
        <v>1.0037722543307115</v>
      </c>
      <c r="NW128" s="289"/>
      <c r="NX128" s="516">
        <f>NX105+NX125+NX126</f>
        <v>1.492408342020197</v>
      </c>
      <c r="NY128" s="289"/>
      <c r="NZ128" s="516">
        <f>NZ105+NZ125+NZ126</f>
        <v>1.3042620803619707</v>
      </c>
      <c r="OA128" s="289"/>
      <c r="OB128" s="516">
        <f>OB105+OB125+OB126</f>
        <v>1.725731544675654</v>
      </c>
      <c r="OC128" s="289"/>
      <c r="OD128" s="516">
        <f>OD105+OD125+OD126</f>
        <v>1.7278369132680684</v>
      </c>
      <c r="OE128" s="289"/>
      <c r="OF128" s="516">
        <f>OF105+OF125+OF126</f>
        <v>1.4190998533336561</v>
      </c>
      <c r="OG128" s="289"/>
      <c r="OH128" s="516">
        <f>OH105+OH125+OH126</f>
        <v>1.4750399360105566</v>
      </c>
      <c r="OI128" s="289"/>
      <c r="OJ128" s="516">
        <f>OJ105+OJ125+OJ126</f>
        <v>1.2917107101595946</v>
      </c>
      <c r="OK128" s="289"/>
      <c r="OL128" s="516">
        <f>OL105+OL125+OL126</f>
        <v>1.5013692329372674</v>
      </c>
      <c r="OM128" s="289"/>
      <c r="ON128" s="516">
        <f>ON105+ON125+ON126</f>
        <v>1.2773891746193786</v>
      </c>
      <c r="OO128" s="289"/>
      <c r="OP128" s="516">
        <f>OP105+OP125+OP126</f>
        <v>1.423054314330398</v>
      </c>
      <c r="OQ128" s="289"/>
      <c r="OR128" s="516">
        <f>OR105+OR125+OR126</f>
        <v>1.4466145105345805</v>
      </c>
      <c r="OS128" s="289"/>
      <c r="OT128" s="516">
        <f>OT105+OT125+OT126</f>
        <v>1.1396349111194066</v>
      </c>
      <c r="OU128" s="289"/>
      <c r="OV128" s="516">
        <f>OV105+OV125+OV126</f>
        <v>0.79513327910778941</v>
      </c>
      <c r="OW128" s="289"/>
      <c r="OX128" s="516">
        <f>OX105+OX125+OX126</f>
        <v>0.6543728514194187</v>
      </c>
      <c r="OY128" s="289"/>
      <c r="OZ128" s="516">
        <f>OZ105+OZ125+OZ126</f>
        <v>0.73082686345522885</v>
      </c>
      <c r="PA128" s="289"/>
      <c r="PB128" s="516">
        <f>PB105+PB125+PB126</f>
        <v>0.80652915418672921</v>
      </c>
      <c r="PC128" s="289"/>
      <c r="PD128" s="516">
        <f>PD105+PD125+PD126</f>
        <v>0.87127832800216898</v>
      </c>
      <c r="PE128" s="289"/>
      <c r="PF128" s="516">
        <f>PF105+PF125+PF126</f>
        <v>1.1204658473314268</v>
      </c>
      <c r="PG128" s="289"/>
      <c r="PH128" s="516">
        <f>PH105+PH125+PH126</f>
        <v>1.4996853885906143</v>
      </c>
      <c r="PI128" s="289"/>
      <c r="PJ128" s="516">
        <f>PJ105+PJ125+PJ126</f>
        <v>1.5891926053184278</v>
      </c>
      <c r="PK128" s="289"/>
      <c r="PL128" s="516">
        <f>PL105+PL125+PL126</f>
        <v>1.5240534567458994</v>
      </c>
      <c r="PM128" s="289"/>
      <c r="PN128" s="516">
        <f>PN105+PN125+PN126</f>
        <v>0.98736098357310442</v>
      </c>
      <c r="PO128" s="289"/>
      <c r="PP128" s="516">
        <f>PP105+PP125+PP126</f>
        <v>-7.4792638206185841E-2</v>
      </c>
      <c r="PQ128" s="518"/>
      <c r="PR128" s="289"/>
      <c r="PS128" s="516">
        <f>PS105+PS125+PS126</f>
        <v>2.4708541169436993</v>
      </c>
      <c r="PT128" s="289"/>
      <c r="PU128" s="516">
        <f>PU105+PU125+PU126</f>
        <v>2.7643784589186895</v>
      </c>
      <c r="PV128" s="289"/>
      <c r="PW128" s="516">
        <f>PW105+PW125+PW126</f>
        <v>1.670854116943699</v>
      </c>
      <c r="PX128" s="289"/>
      <c r="PY128" s="516">
        <f>PY105+PY125+PY126</f>
        <v>1.9643784589186892</v>
      </c>
      <c r="PZ128" s="289"/>
      <c r="QA128" s="516">
        <f>QA105+QA125+QA126</f>
        <v>0.12791436237101367</v>
      </c>
      <c r="QB128" s="289"/>
      <c r="QC128" s="516">
        <f>QC105+QC125+QC126</f>
        <v>0.42510775862069033</v>
      </c>
      <c r="QD128" s="518"/>
      <c r="QE128" s="518"/>
      <c r="QF128" s="289"/>
      <c r="QG128" s="516">
        <f>QG105+QG125+QG126</f>
        <v>2.6680821626223929</v>
      </c>
      <c r="QH128" s="289"/>
      <c r="QI128" s="516">
        <f>QI105+QI125+QI126</f>
        <v>2.9396871008939978</v>
      </c>
      <c r="QJ128" s="289"/>
      <c r="QK128" s="516">
        <f>QK105+QK125+QK126</f>
        <v>1.8680821626223929</v>
      </c>
      <c r="QL128" s="289"/>
      <c r="QM128" s="516">
        <f>QM105+QM125+QM126</f>
        <v>2.1396871008939975</v>
      </c>
      <c r="QN128" s="289"/>
      <c r="QO128" s="516">
        <f>QO105+QO125+QO126</f>
        <v>1.8680821626223922</v>
      </c>
      <c r="QP128" s="289"/>
      <c r="QQ128" s="516">
        <f>QQ105+QQ125+QQ126</f>
        <v>2.1396871008939971</v>
      </c>
    </row>
    <row r="129" spans="1:459" x14ac:dyDescent="0.45">
      <c r="A129" s="871"/>
      <c r="B129" s="457" t="s">
        <v>425</v>
      </c>
      <c r="C129" s="519"/>
      <c r="D129" s="520"/>
      <c r="E129" s="521"/>
      <c r="F129" s="522"/>
      <c r="G129" s="523">
        <f>G128/G69</f>
        <v>0</v>
      </c>
      <c r="H129" s="522"/>
      <c r="I129" s="523">
        <f>I128/I69</f>
        <v>0</v>
      </c>
      <c r="J129" s="522"/>
      <c r="K129" s="523">
        <f>K128/K69</f>
        <v>0</v>
      </c>
      <c r="L129" s="522"/>
      <c r="M129" s="523">
        <f>M128/M69</f>
        <v>0</v>
      </c>
      <c r="N129" s="522"/>
      <c r="O129" s="523">
        <f>O128/O69</f>
        <v>0</v>
      </c>
      <c r="P129" s="522"/>
      <c r="Q129" s="523">
        <f>Q128/Q69</f>
        <v>0.12798970360429052</v>
      </c>
      <c r="R129" s="522"/>
      <c r="S129" s="523">
        <f>S128/S69</f>
        <v>-3.3538510101010104E-2</v>
      </c>
      <c r="T129" s="522"/>
      <c r="U129" s="523">
        <f>U128/U69</f>
        <v>0</v>
      </c>
      <c r="V129" s="522"/>
      <c r="W129" s="523">
        <f>W128/W69</f>
        <v>0</v>
      </c>
      <c r="X129" s="522"/>
      <c r="Y129" s="523">
        <f>Y128/Y69</f>
        <v>3.5905934343434345E-3</v>
      </c>
      <c r="Z129" s="522"/>
      <c r="AA129" s="523">
        <f>AA128/AA69</f>
        <v>0</v>
      </c>
      <c r="AB129" s="522"/>
      <c r="AC129" s="523">
        <f>AC128/AC69</f>
        <v>6.0593646417513664E-2</v>
      </c>
      <c r="AD129" s="522"/>
      <c r="AE129" s="523">
        <f>AE128/AE69</f>
        <v>8.0099810467106736E-2</v>
      </c>
      <c r="AF129" s="522"/>
      <c r="AG129" s="523">
        <f>AG128/AG69</f>
        <v>0.26570610928659255</v>
      </c>
      <c r="AH129" s="522"/>
      <c r="AI129" s="523">
        <f>AI128/AI69</f>
        <v>0.25001495414855479</v>
      </c>
      <c r="AJ129" s="522"/>
      <c r="AK129" s="523">
        <f>AK128/AK69</f>
        <v>0.28604499233583164</v>
      </c>
      <c r="AL129" s="522"/>
      <c r="AM129" s="523">
        <f>AM128/AM69</f>
        <v>0.26744822207907953</v>
      </c>
      <c r="AN129" s="522"/>
      <c r="AO129" s="523">
        <f>AO128/AO69</f>
        <v>0.25027015667213814</v>
      </c>
      <c r="AP129" s="522"/>
      <c r="AQ129" s="523">
        <f>AQ128/AQ69</f>
        <v>0.22206222917453664</v>
      </c>
      <c r="AR129" s="522"/>
      <c r="AS129" s="523">
        <f>AS128/AS69</f>
        <v>0.1934552459811672</v>
      </c>
      <c r="AT129" s="522"/>
      <c r="AU129" s="523">
        <f>AU128/AU69</f>
        <v>0.18555911349213999</v>
      </c>
      <c r="AV129" s="522"/>
      <c r="AW129" s="523">
        <f>AW128/AW69</f>
        <v>0.23077866467283245</v>
      </c>
      <c r="AX129" s="522"/>
      <c r="AY129" s="523">
        <f>AY128/AY69</f>
        <v>0.27285534118026666</v>
      </c>
      <c r="AZ129" s="522"/>
      <c r="BA129" s="523">
        <f>BA128/BA69</f>
        <v>0.28334532420890834</v>
      </c>
      <c r="BB129" s="522"/>
      <c r="BC129" s="523">
        <f>BC128/BC69</f>
        <v>0.28142863471589741</v>
      </c>
      <c r="BD129" s="522"/>
      <c r="BE129" s="523">
        <f>BE128/BE69</f>
        <v>0.27605243454082362</v>
      </c>
      <c r="BF129" s="522"/>
      <c r="BG129" s="523">
        <f>BG128/BG69</f>
        <v>0.30799392843200241</v>
      </c>
      <c r="BH129" s="522"/>
      <c r="BI129" s="523">
        <f>BI128/BI69</f>
        <v>0.33621965618313349</v>
      </c>
      <c r="BJ129" s="522"/>
      <c r="BK129" s="523">
        <f>BK128/BK69</f>
        <v>0.33450150636046844</v>
      </c>
      <c r="BL129" s="522"/>
      <c r="BM129" s="523">
        <f>BM128/BM69</f>
        <v>0.27610758629631094</v>
      </c>
      <c r="BN129" s="522"/>
      <c r="BO129" s="523">
        <f>BO128/BO69</f>
        <v>0.28372995739308415</v>
      </c>
      <c r="BP129" s="522"/>
      <c r="BQ129" s="523">
        <f>BQ128/BQ69</f>
        <v>0.26509877698581291</v>
      </c>
      <c r="BR129" s="522"/>
      <c r="BS129" s="523">
        <f>BS128/BS69</f>
        <v>0.31334240965916244</v>
      </c>
      <c r="BT129" s="522"/>
      <c r="BU129" s="523">
        <f>BU128/BU69</f>
        <v>0.28710348183985956</v>
      </c>
      <c r="BV129" s="522"/>
      <c r="BW129" s="523">
        <f>BW128/BW69</f>
        <v>0.28393312188289821</v>
      </c>
      <c r="BX129" s="522"/>
      <c r="BY129" s="523">
        <f>BY128/BY69</f>
        <v>0.31842550354376514</v>
      </c>
      <c r="BZ129" s="522"/>
      <c r="CA129" s="523">
        <f>CA128/CA69</f>
        <v>0.26672325961139753</v>
      </c>
      <c r="CB129" s="522"/>
      <c r="CC129" s="523">
        <f>CC128/CC69</f>
        <v>0.33249471681871651</v>
      </c>
      <c r="CD129" s="522"/>
      <c r="CE129" s="523">
        <f>CE128/CE69</f>
        <v>0.31498787594610395</v>
      </c>
      <c r="CF129" s="522"/>
      <c r="CG129" s="523">
        <f>CG128/CG69</f>
        <v>0.26021659564443217</v>
      </c>
      <c r="CH129" s="522"/>
      <c r="CI129" s="523">
        <f>CI128/CI69</f>
        <v>0.27064607363743692</v>
      </c>
      <c r="CJ129" s="522"/>
      <c r="CK129" s="523">
        <f>CK128/CK69</f>
        <v>0.27956654456173852</v>
      </c>
      <c r="CL129" s="522"/>
      <c r="CM129" s="523">
        <f>CM128/CM69</f>
        <v>0.28974208314557726</v>
      </c>
      <c r="CN129" s="522"/>
      <c r="CO129" s="523">
        <f>CO128/CO69</f>
        <v>0.13273590840146779</v>
      </c>
      <c r="CP129" s="522"/>
      <c r="CQ129" s="523">
        <f>CQ128/CQ69</f>
        <v>0.17047461711813564</v>
      </c>
      <c r="CR129" s="522"/>
      <c r="CS129" s="523">
        <f>CS128/CS69</f>
        <v>0.20698255362607215</v>
      </c>
      <c r="CT129" s="524"/>
      <c r="CU129" s="522"/>
      <c r="CV129" s="523">
        <f>CV128/CV69</f>
        <v>0.11477360710209671</v>
      </c>
      <c r="CW129" s="522"/>
      <c r="CX129" s="523">
        <f>CX128/CX69</f>
        <v>0.15266135831837027</v>
      </c>
      <c r="CY129" s="522"/>
      <c r="CZ129" s="523">
        <f>CZ128/CZ69</f>
        <v>0.18249471873511316</v>
      </c>
      <c r="DA129" s="522"/>
      <c r="DB129" s="523">
        <f>DB128/DB69</f>
        <v>-1.5933562704841423E-2</v>
      </c>
      <c r="DC129" s="522"/>
      <c r="DD129" s="523">
        <f>DD128/DD69</f>
        <v>5.810225647544881E-2</v>
      </c>
      <c r="DE129" s="522"/>
      <c r="DF129" s="523">
        <f>DF128/DF69</f>
        <v>0.24855634975531934</v>
      </c>
      <c r="DG129" s="522"/>
      <c r="DH129" s="523">
        <f>DH128/DH69</f>
        <v>0.20265760514199632</v>
      </c>
      <c r="DI129" s="522"/>
      <c r="DJ129" s="523">
        <f>DJ128/DJ69</f>
        <v>0.27648049380115308</v>
      </c>
      <c r="DK129" s="522"/>
      <c r="DL129" s="523">
        <f>DL128/DL69</f>
        <v>0.24063818408568408</v>
      </c>
      <c r="DM129" s="522"/>
      <c r="DN129" s="523">
        <f>DN128/DN69</f>
        <v>0.24387710603436499</v>
      </c>
      <c r="DO129" s="522"/>
      <c r="DP129" s="523">
        <f>DP128/DP69</f>
        <v>0.24395956278654762</v>
      </c>
      <c r="DQ129" s="522"/>
      <c r="DR129" s="523">
        <f>DR128/DR69</f>
        <v>0.17810850162073741</v>
      </c>
      <c r="DS129" s="522"/>
      <c r="DT129" s="523">
        <f>DT128/DT69</f>
        <v>0.16916241249823463</v>
      </c>
      <c r="DU129" s="522"/>
      <c r="DV129" s="523">
        <f>DV128/DV69</f>
        <v>0.21782726845569952</v>
      </c>
      <c r="DW129" s="522"/>
      <c r="DX129" s="523">
        <f>DX128/DX69</f>
        <v>0.23120314563275718</v>
      </c>
      <c r="DY129" s="522"/>
      <c r="DZ129" s="523">
        <f>DZ128/DZ69</f>
        <v>0.25667650770707856</v>
      </c>
      <c r="EA129" s="522"/>
      <c r="EB129" s="523">
        <f>EB128/EB69</f>
        <v>0.23704094327574912</v>
      </c>
      <c r="EC129" s="522"/>
      <c r="ED129" s="523">
        <f>ED128/ED69</f>
        <v>0.25531539905715955</v>
      </c>
      <c r="EE129" s="522"/>
      <c r="EF129" s="523">
        <f>EF128/EF69</f>
        <v>0.27163602476865129</v>
      </c>
      <c r="EG129" s="522"/>
      <c r="EH129" s="523">
        <f>EH128/EH69</f>
        <v>0.26709126519163634</v>
      </c>
      <c r="EI129" s="522"/>
      <c r="EJ129" s="523">
        <f>EJ128/EJ69</f>
        <v>0.2565809121297451</v>
      </c>
      <c r="EK129" s="522"/>
      <c r="EL129" s="523">
        <f>EL128/EL69</f>
        <v>0.29053267541231376</v>
      </c>
      <c r="EM129" s="522"/>
      <c r="EN129" s="523">
        <f>EN128/EN69</f>
        <v>0.35243328511060551</v>
      </c>
      <c r="EO129" s="522"/>
      <c r="EP129" s="523">
        <f>EP128/EP69</f>
        <v>0.28901296964734291</v>
      </c>
      <c r="EQ129" s="522"/>
      <c r="ER129" s="523">
        <f>ER128/ER69</f>
        <v>0.35133998781511361</v>
      </c>
      <c r="ES129" s="522"/>
      <c r="ET129" s="523">
        <f>ET128/ET69</f>
        <v>0.32872262480575404</v>
      </c>
      <c r="EU129" s="522"/>
      <c r="EV129" s="523">
        <f>EV128/EV69</f>
        <v>0.33736090990828638</v>
      </c>
      <c r="EW129" s="522"/>
      <c r="EX129" s="523">
        <f>EX128/EX69</f>
        <v>0.34545031260376041</v>
      </c>
      <c r="EY129" s="522"/>
      <c r="EZ129" s="523">
        <f>EZ128/EZ69</f>
        <v>0.29268002786073921</v>
      </c>
      <c r="FA129" s="522"/>
      <c r="FB129" s="523">
        <f>FB128/FB69</f>
        <v>0.28915504285663091</v>
      </c>
      <c r="FC129" s="522"/>
      <c r="FD129" s="523">
        <f>FD128/FD69</f>
        <v>0.30901954371096191</v>
      </c>
      <c r="FE129" s="522"/>
      <c r="FF129" s="523">
        <f>FF128/FF69</f>
        <v>0.37313196058879478</v>
      </c>
      <c r="FG129" s="522"/>
      <c r="FH129" s="523">
        <f>FH128/FH69</f>
        <v>0.34681227080474825</v>
      </c>
      <c r="FI129" s="522"/>
      <c r="FJ129" s="523">
        <f>FJ128/FJ69</f>
        <v>0.33415911105917662</v>
      </c>
      <c r="FK129" s="522"/>
      <c r="FL129" s="523">
        <f>FL128/FL69</f>
        <v>0.33218702635415026</v>
      </c>
      <c r="FM129" s="522"/>
      <c r="FN129" s="523">
        <f>FN128/FN69</f>
        <v>0.32785666886363846</v>
      </c>
      <c r="FO129" s="522"/>
      <c r="FP129" s="523">
        <f>FP128/FP69</f>
        <v>0.2918449890163422</v>
      </c>
      <c r="FQ129" s="523"/>
      <c r="FR129" s="522"/>
      <c r="FS129" s="523">
        <f>FS128/FS69</f>
        <v>0</v>
      </c>
      <c r="FT129" s="522"/>
      <c r="FU129" s="523">
        <f>FU128/FU69</f>
        <v>0</v>
      </c>
      <c r="FV129" s="522"/>
      <c r="FW129" s="523">
        <f>FW128/FW60</f>
        <v>-9.4319332459831349E-3</v>
      </c>
      <c r="FX129" s="522"/>
      <c r="FY129" s="523">
        <f>FY128/FY69</f>
        <v>-3.3538510101010104E-2</v>
      </c>
      <c r="FZ129" s="522"/>
      <c r="GA129" s="523">
        <f>GA128/GA69</f>
        <v>0</v>
      </c>
      <c r="GB129" s="522"/>
      <c r="GC129" s="523">
        <f>GC128/GC69</f>
        <v>0</v>
      </c>
      <c r="GD129" s="522"/>
      <c r="GE129" s="523">
        <f>GE128/GE69</f>
        <v>3.5905934343434345E-3</v>
      </c>
      <c r="GF129" s="522"/>
      <c r="GG129" s="523">
        <f>GG128/GG69</f>
        <v>0</v>
      </c>
      <c r="GH129" s="522"/>
      <c r="GI129" s="523">
        <f>GI128/GI69</f>
        <v>1.7910403734270889E-2</v>
      </c>
      <c r="GJ129" s="522"/>
      <c r="GK129" s="523">
        <f>GK128/GK69</f>
        <v>3.7238787647315502E-2</v>
      </c>
      <c r="GL129" s="522"/>
      <c r="GM129" s="523">
        <f>GM128/GM69</f>
        <v>0.2110478220685307</v>
      </c>
      <c r="GN129" s="522"/>
      <c r="GO129" s="523">
        <f>GO128/GO69</f>
        <v>0.19358603001224992</v>
      </c>
      <c r="GP129" s="522"/>
      <c r="GQ129" s="523">
        <f>GQ128/GQ69</f>
        <v>0.22913692451360954</v>
      </c>
      <c r="GR129" s="522"/>
      <c r="GS129" s="523">
        <f>GS128/GS69</f>
        <v>0.21019440870591388</v>
      </c>
      <c r="GT129" s="522"/>
      <c r="GU129" s="523">
        <f>GU128/GU69</f>
        <v>0.21647617606822658</v>
      </c>
      <c r="GV129" s="522"/>
      <c r="GW129" s="523">
        <f>GW128/GW69</f>
        <v>0.10500357864012098</v>
      </c>
      <c r="GX129" s="522"/>
      <c r="GY129" s="523">
        <f>GY128/GY69</f>
        <v>0.12548718718172561</v>
      </c>
      <c r="GZ129" s="522"/>
      <c r="HA129" s="523">
        <f>HA128/HA69</f>
        <v>0.12016348833159182</v>
      </c>
      <c r="HB129" s="522"/>
      <c r="HC129" s="523">
        <f>HC128/HC69</f>
        <v>0.12784211950539823</v>
      </c>
      <c r="HD129" s="522"/>
      <c r="HE129" s="523">
        <f>HE128/HE69</f>
        <v>0.22033481038038114</v>
      </c>
      <c r="HF129" s="522"/>
      <c r="HG129" s="523">
        <f>HG128/HG69</f>
        <v>0.21331673812842794</v>
      </c>
      <c r="HH129" s="522"/>
      <c r="HI129" s="523">
        <f>HI128/HI69</f>
        <v>0.22010060247174504</v>
      </c>
      <c r="HJ129" s="522"/>
      <c r="HK129" s="523">
        <f>HK128/HK69</f>
        <v>0.22215534431130846</v>
      </c>
      <c r="HL129" s="522"/>
      <c r="HM129" s="523">
        <f>HM128/HM69</f>
        <v>0.24626624404615116</v>
      </c>
      <c r="HN129" s="522"/>
      <c r="HO129" s="523">
        <f>HO128/HO69</f>
        <v>0.24297633724092027</v>
      </c>
      <c r="HP129" s="522"/>
      <c r="HQ129" s="523">
        <f>HQ128/HQ69</f>
        <v>0.23173003341612392</v>
      </c>
      <c r="HR129" s="522"/>
      <c r="HS129" s="523">
        <f>HS128/HS69</f>
        <v>0.24300765913024466</v>
      </c>
      <c r="HT129" s="522"/>
      <c r="HU129" s="523">
        <f>HU128/HU69</f>
        <v>0.27111564561866014</v>
      </c>
      <c r="HV129" s="522"/>
      <c r="HW129" s="523">
        <f>HW128/HW69</f>
        <v>0.24907996829252044</v>
      </c>
      <c r="HX129" s="522"/>
      <c r="HY129" s="523">
        <f>HY128/HY69</f>
        <v>0.16918744397696756</v>
      </c>
      <c r="HZ129" s="522"/>
      <c r="IA129" s="523">
        <f>IA128/IA69</f>
        <v>0.15342248902496677</v>
      </c>
      <c r="IB129" s="522"/>
      <c r="IC129" s="523">
        <f>IC128/IC69</f>
        <v>0.27389067417959739</v>
      </c>
      <c r="ID129" s="522"/>
      <c r="IE129" s="523">
        <f>IE128/IE69</f>
        <v>0.28515631499220695</v>
      </c>
      <c r="IF129" s="522"/>
      <c r="IG129" s="523">
        <f>IG128/IG69</f>
        <v>0.25128380347403861</v>
      </c>
      <c r="IH129" s="522"/>
      <c r="II129" s="523">
        <f>II128/II69</f>
        <v>0.26231010067461463</v>
      </c>
      <c r="IJ129" s="522"/>
      <c r="IK129" s="523">
        <f>IK128/IK69</f>
        <v>0.24252231742598562</v>
      </c>
      <c r="IL129" s="522"/>
      <c r="IM129" s="523">
        <f>IM128/IM69</f>
        <v>0.25358128762345122</v>
      </c>
      <c r="IN129" s="522"/>
      <c r="IO129" s="523">
        <f>IO128/IO69</f>
        <v>0.26421843447661464</v>
      </c>
      <c r="IP129" s="522"/>
      <c r="IQ129" s="523">
        <f>IQ128/IQ69</f>
        <v>0.27331652733273021</v>
      </c>
      <c r="IR129" s="522"/>
      <c r="IS129" s="523">
        <f>IS128/IS69</f>
        <v>0.26553222764134171</v>
      </c>
      <c r="IT129" s="522"/>
      <c r="IU129" s="523">
        <f>IU128/IU69</f>
        <v>0.24740598567265898</v>
      </c>
      <c r="IV129" s="522"/>
      <c r="IW129" s="523">
        <f>IW128/IW69</f>
        <v>0.13757896806872769</v>
      </c>
      <c r="IX129" s="522"/>
      <c r="IY129" s="523">
        <f>IY128/IY69</f>
        <v>0.16490914785030186</v>
      </c>
      <c r="IZ129" s="521"/>
      <c r="JA129" s="522"/>
      <c r="JB129" s="523">
        <f>JB128/JB69</f>
        <v>0.10136680203065258</v>
      </c>
      <c r="JC129" s="522"/>
      <c r="JD129" s="523">
        <f>JD128/JD69</f>
        <v>0.15276978647231809</v>
      </c>
      <c r="JE129" s="525"/>
      <c r="JF129" s="522"/>
      <c r="JG129" s="523">
        <f>JG128/JG69</f>
        <v>0</v>
      </c>
      <c r="JH129" s="522"/>
      <c r="JI129" s="523">
        <f>JI128/JI69</f>
        <v>0</v>
      </c>
      <c r="JJ129" s="522"/>
      <c r="JK129" s="523">
        <f>JK128/JK69</f>
        <v>8.8741925188378021E-2</v>
      </c>
      <c r="JL129" s="522"/>
      <c r="JM129" s="523">
        <f>JM128/JM69</f>
        <v>-2.9761904761904764E-2</v>
      </c>
      <c r="JN129" s="522"/>
      <c r="JO129" s="523">
        <f>JO128/JO69</f>
        <v>0</v>
      </c>
      <c r="JP129" s="522"/>
      <c r="JQ129" s="523">
        <f>JQ128/JQ69</f>
        <v>0</v>
      </c>
      <c r="JR129" s="522"/>
      <c r="JS129" s="523">
        <f>JS128/JS69</f>
        <v>1.2602126253374318E-2</v>
      </c>
      <c r="JT129" s="522"/>
      <c r="JU129" s="523">
        <f>JU128/JU69</f>
        <v>5.303385722104937E-2</v>
      </c>
      <c r="JV129" s="522"/>
      <c r="JW129" s="523">
        <f>JW128/JW69</f>
        <v>0.20161663064964547</v>
      </c>
      <c r="JX129" s="522"/>
      <c r="JY129" s="523">
        <f>JY128/JY69</f>
        <v>0.14529761073539871</v>
      </c>
      <c r="JZ129" s="522"/>
      <c r="KA129" s="523">
        <f>KA128/KA69</f>
        <v>0.20356628288333359</v>
      </c>
      <c r="KB129" s="522"/>
      <c r="KC129" s="523">
        <f>KC128/KC69</f>
        <v>0.19089959395050429</v>
      </c>
      <c r="KD129" s="522"/>
      <c r="KE129" s="523">
        <f>KE128/KE69</f>
        <v>0.19584386766376122</v>
      </c>
      <c r="KF129" s="522"/>
      <c r="KG129" s="523">
        <f>KG128/KG69</f>
        <v>0.11438916681159626</v>
      </c>
      <c r="KH129" s="522"/>
      <c r="KI129" s="523">
        <f>KI128/KI69</f>
        <v>0.11995109433533074</v>
      </c>
      <c r="KJ129" s="522"/>
      <c r="KK129" s="523">
        <f>KK128/KK69</f>
        <v>0.11449877186554298</v>
      </c>
      <c r="KL129" s="522"/>
      <c r="KM129" s="523">
        <f>KM128/KM69</f>
        <v>0.13762419909156956</v>
      </c>
      <c r="KN129" s="522"/>
      <c r="KO129" s="523">
        <f>KO128/KO69</f>
        <v>0.18307400558519979</v>
      </c>
      <c r="KP129" s="522"/>
      <c r="KQ129" s="523">
        <f>KQ128/KQ69</f>
        <v>0.15545772696922333</v>
      </c>
      <c r="KR129" s="522"/>
      <c r="KS129" s="523">
        <f>KS128/KS69</f>
        <v>0.18908846856939435</v>
      </c>
      <c r="KT129" s="522"/>
      <c r="KU129" s="523">
        <f>KU128/KU69</f>
        <v>0.18487987822782936</v>
      </c>
      <c r="KV129" s="522"/>
      <c r="KW129" s="523">
        <f>KW128/KW69</f>
        <v>0.21086917148942394</v>
      </c>
      <c r="KX129" s="522"/>
      <c r="KY129" s="523">
        <f>KY128/KY69</f>
        <v>0.23312186254851239</v>
      </c>
      <c r="KZ129" s="522"/>
      <c r="LA129" s="523">
        <f>LA128/LA69</f>
        <v>0.24548904331270097</v>
      </c>
      <c r="LB129" s="522"/>
      <c r="LC129" s="523">
        <f>LC128/LC69</f>
        <v>0.15648021774347809</v>
      </c>
      <c r="LD129" s="522"/>
      <c r="LE129" s="523">
        <f>LE128/LE69</f>
        <v>0.17304828291882662</v>
      </c>
      <c r="LF129" s="522"/>
      <c r="LG129" s="523">
        <f>LG128/LG69</f>
        <v>0.10301429954933927</v>
      </c>
      <c r="LH129" s="522"/>
      <c r="LI129" s="523">
        <f>LI128/LI69</f>
        <v>0.19576001634387372</v>
      </c>
      <c r="LJ129" s="522"/>
      <c r="LK129" s="523">
        <f>LK128/LK69</f>
        <v>0.15037338297002592</v>
      </c>
      <c r="LL129" s="522"/>
      <c r="LM129" s="523">
        <f>LM128/LM69</f>
        <v>0.19858290911813783</v>
      </c>
      <c r="LN129" s="522"/>
      <c r="LO129" s="523">
        <f>LO128/LO69</f>
        <v>0.21230444592885378</v>
      </c>
      <c r="LP129" s="522"/>
      <c r="LQ129" s="523">
        <f>LQ128/LQ69</f>
        <v>0.15481996324680639</v>
      </c>
      <c r="LR129" s="522"/>
      <c r="LS129" s="523">
        <f>LS128/LS69</f>
        <v>0.15962456674783293</v>
      </c>
      <c r="LT129" s="522"/>
      <c r="LU129" s="523">
        <f>LU128/LU69</f>
        <v>0.13807470224044105</v>
      </c>
      <c r="LV129" s="522"/>
      <c r="LW129" s="523">
        <f>LW128/LW69</f>
        <v>0.14977950896400263</v>
      </c>
      <c r="LX129" s="522"/>
      <c r="LY129" s="523">
        <f>LY128/LY69</f>
        <v>0.16136923013034291</v>
      </c>
      <c r="LZ129" s="522"/>
      <c r="MA129" s="523">
        <f>MA128/MA69</f>
        <v>0.17128207243697074</v>
      </c>
      <c r="MB129" s="522"/>
      <c r="MC129" s="523">
        <f>MC128/MC69</f>
        <v>0.16433700767971382</v>
      </c>
      <c r="MD129" s="522"/>
      <c r="ME129" s="523">
        <f>ME128/ME69</f>
        <v>0.21054288013377473</v>
      </c>
      <c r="MF129" s="522"/>
      <c r="MG129" s="523">
        <f>MG128/MG69</f>
        <v>4.3834812774206679E-2</v>
      </c>
      <c r="MH129" s="521"/>
      <c r="MI129" s="522"/>
      <c r="MJ129" s="523">
        <f>MJ128/MJ69</f>
        <v>7.0786541677597348E-2</v>
      </c>
      <c r="MK129" s="522"/>
      <c r="ML129" s="523">
        <f>ML128/ML69</f>
        <v>7.6691573874875282E-2</v>
      </c>
      <c r="MM129" s="522"/>
      <c r="MN129" s="523">
        <f>MN128/MN69</f>
        <v>-3.3606534625743006E-2</v>
      </c>
      <c r="MO129" s="522"/>
      <c r="MP129" s="523">
        <f>MP128/MP69</f>
        <v>-3.1540586870356303E-2</v>
      </c>
      <c r="MQ129" s="522"/>
      <c r="MR129" s="523">
        <f>MR128/MR69</f>
        <v>7.0408836478353942E-2</v>
      </c>
      <c r="MS129" s="522"/>
      <c r="MT129" s="523">
        <f>MT128/MT69</f>
        <v>5.8800469283356201E-2</v>
      </c>
      <c r="MU129" s="522"/>
      <c r="MV129" s="523">
        <f>MV128/MV69</f>
        <v>-7.803026401353913E-2</v>
      </c>
      <c r="MW129" s="522"/>
      <c r="MX129" s="523">
        <f>MX128/MX69</f>
        <v>6.7491489803862922E-2</v>
      </c>
      <c r="MY129" s="522"/>
      <c r="MZ129" s="523">
        <f>MZ128/MZ69</f>
        <v>0.22552778901583798</v>
      </c>
      <c r="NA129" s="522"/>
      <c r="NB129" s="523">
        <f>NB128/NB69</f>
        <v>0.18695299678566887</v>
      </c>
      <c r="NC129" s="522"/>
      <c r="ND129" s="523">
        <f>ND128/ND69</f>
        <v>0.22961719359904853</v>
      </c>
      <c r="NE129" s="522"/>
      <c r="NF129" s="523">
        <f>NF128/NF69</f>
        <v>0.23363027649559939</v>
      </c>
      <c r="NG129" s="522"/>
      <c r="NH129" s="523">
        <f>NH128/NH69</f>
        <v>0.2316502920480695</v>
      </c>
      <c r="NI129" s="522"/>
      <c r="NJ129" s="523">
        <f>NJ128/NJ69</f>
        <v>0.16898513690434883</v>
      </c>
      <c r="NK129" s="522"/>
      <c r="NL129" s="523">
        <f>NL128/NL69</f>
        <v>0.15355515056787414</v>
      </c>
      <c r="NM129" s="522"/>
      <c r="NN129" s="523">
        <f>NN128/NN69</f>
        <v>0.14657537099660714</v>
      </c>
      <c r="NO129" s="522"/>
      <c r="NP129" s="523">
        <f>NP128/NP69</f>
        <v>0.18407627030928583</v>
      </c>
      <c r="NQ129" s="522"/>
      <c r="NR129" s="523">
        <f>NR128/NR69</f>
        <v>0.22941610784028058</v>
      </c>
      <c r="NS129" s="522"/>
      <c r="NT129" s="523">
        <f>NT128/NT69</f>
        <v>0.23955048439914511</v>
      </c>
      <c r="NU129" s="522"/>
      <c r="NV129" s="523">
        <f>NV128/NV69</f>
        <v>0.15208670520162296</v>
      </c>
      <c r="NW129" s="522"/>
      <c r="NX129" s="523">
        <f>NX128/NX69</f>
        <v>0.22612247606366623</v>
      </c>
      <c r="NY129" s="522"/>
      <c r="NZ129" s="523">
        <f>NZ128/NZ69</f>
        <v>0.19761546672151073</v>
      </c>
      <c r="OA129" s="522"/>
      <c r="OB129" s="523">
        <f>OB128/OB69</f>
        <v>0.26147447646600819</v>
      </c>
      <c r="OC129" s="522"/>
      <c r="OD129" s="523">
        <f>OD128/OD69</f>
        <v>0.26179347170728312</v>
      </c>
      <c r="OE129" s="522"/>
      <c r="OF129" s="523">
        <f>OF128/OF69</f>
        <v>0.2150151292929782</v>
      </c>
      <c r="OG129" s="522"/>
      <c r="OH129" s="523">
        <f>OH128/OH69</f>
        <v>0.2234908993955389</v>
      </c>
      <c r="OI129" s="522"/>
      <c r="OJ129" s="523">
        <f>OJ128/OJ69</f>
        <v>0.19571374396357494</v>
      </c>
      <c r="OK129" s="522"/>
      <c r="OL129" s="523">
        <f>OL128/OL69</f>
        <v>0.2274801868086769</v>
      </c>
      <c r="OM129" s="522"/>
      <c r="ON129" s="523">
        <f>ON128/ON69</f>
        <v>0.19354381433626949</v>
      </c>
      <c r="OO129" s="522"/>
      <c r="OP129" s="523">
        <f>OP128/OP69</f>
        <v>0.2156142900500603</v>
      </c>
      <c r="OQ129" s="522"/>
      <c r="OR129" s="523">
        <f>OR128/OR69</f>
        <v>0.21918401674766372</v>
      </c>
      <c r="OS129" s="522"/>
      <c r="OT129" s="523">
        <f>OT128/OT69</f>
        <v>0.17267195623021314</v>
      </c>
      <c r="OU129" s="522"/>
      <c r="OV129" s="523">
        <f>OV128/OV69</f>
        <v>0.12047473925875597</v>
      </c>
      <c r="OW129" s="522"/>
      <c r="OX129" s="523">
        <f>OX128/OX69</f>
        <v>9.9147401730214954E-2</v>
      </c>
      <c r="OY129" s="522"/>
      <c r="OZ129" s="523">
        <f>OZ128/OZ69</f>
        <v>0.11073134294776195</v>
      </c>
      <c r="PA129" s="522"/>
      <c r="PB129" s="523">
        <f>PB128/PB69</f>
        <v>0.12220138699798928</v>
      </c>
      <c r="PC129" s="522"/>
      <c r="PD129" s="523">
        <f>PD128/PD69</f>
        <v>0.13201186787911651</v>
      </c>
      <c r="PE129" s="522"/>
      <c r="PF129" s="523">
        <f>PF128/PF69</f>
        <v>0.16976755262597376</v>
      </c>
      <c r="PG129" s="522"/>
      <c r="PH129" s="523">
        <f>PH128/PH69</f>
        <v>0.22722505887736583</v>
      </c>
      <c r="PI129" s="522"/>
      <c r="PJ129" s="523">
        <f>PJ128/PJ69</f>
        <v>0.24078675838157998</v>
      </c>
      <c r="PK129" s="522"/>
      <c r="PL129" s="523">
        <f>PL128/PL69</f>
        <v>0.23091719041604539</v>
      </c>
      <c r="PM129" s="522"/>
      <c r="PN129" s="523">
        <f>PN128/PN69</f>
        <v>0.14960014902622795</v>
      </c>
      <c r="PO129" s="522"/>
      <c r="PP129" s="523">
        <f>PP128/PP69</f>
        <v>-1.1332217910028159E-2</v>
      </c>
      <c r="PQ129" s="526"/>
      <c r="PR129" s="522"/>
      <c r="PS129" s="523">
        <f>PS128/PS69</f>
        <v>0.32089014505762326</v>
      </c>
      <c r="PT129" s="522"/>
      <c r="PU129" s="523">
        <f>PU128/PU69</f>
        <v>0.35901018946995966</v>
      </c>
      <c r="PV129" s="522"/>
      <c r="PW129" s="523">
        <f>PW128/PW69</f>
        <v>0.21699404116151935</v>
      </c>
      <c r="PX129" s="522"/>
      <c r="PY129" s="523">
        <f>PY128/PY69</f>
        <v>0.25511408557385573</v>
      </c>
      <c r="PZ129" s="522"/>
      <c r="QA129" s="523">
        <f>QA128/QA69</f>
        <v>1.6612254853378399E-2</v>
      </c>
      <c r="QB129" s="522"/>
      <c r="QC129" s="523">
        <f>QC128/QC69</f>
        <v>5.5208799820868876E-2</v>
      </c>
      <c r="QD129" s="526"/>
      <c r="QE129" s="526"/>
      <c r="QF129" s="522"/>
      <c r="QG129" s="523">
        <f>QG128/QG69</f>
        <v>0.34650417696394714</v>
      </c>
      <c r="QH129" s="522"/>
      <c r="QI129" s="523">
        <f>QI128/QI69</f>
        <v>0.38177754557064902</v>
      </c>
      <c r="QJ129" s="522"/>
      <c r="QK129" s="523">
        <f>QK128/QK69</f>
        <v>0.24260807306784324</v>
      </c>
      <c r="QL129" s="522"/>
      <c r="QM129" s="523">
        <f>QM128/QM69</f>
        <v>0.27788144167454515</v>
      </c>
      <c r="QN129" s="522"/>
      <c r="QO129" s="523">
        <f>QO128/QO69</f>
        <v>0.27073654530759306</v>
      </c>
      <c r="QP129" s="522"/>
      <c r="QQ129" s="523">
        <f>QQ128/QQ69</f>
        <v>0.3100995798397097</v>
      </c>
    </row>
    <row r="130" spans="1:459" x14ac:dyDescent="0.45">
      <c r="A130" s="871"/>
      <c r="B130" s="527"/>
      <c r="C130" s="528"/>
      <c r="D130" s="529"/>
      <c r="E130" s="530"/>
      <c r="F130" s="531"/>
      <c r="G130" s="532"/>
      <c r="H130" s="531"/>
      <c r="I130" s="532"/>
      <c r="J130" s="531"/>
      <c r="K130" s="532"/>
      <c r="L130" s="531"/>
      <c r="M130" s="532"/>
      <c r="N130" s="531"/>
      <c r="O130" s="532"/>
      <c r="P130" s="531"/>
      <c r="Q130" s="532"/>
      <c r="R130" s="531"/>
      <c r="S130" s="532"/>
      <c r="T130" s="531"/>
      <c r="U130" s="532"/>
      <c r="V130" s="531"/>
      <c r="W130" s="532"/>
      <c r="X130" s="531"/>
      <c r="Y130" s="532"/>
      <c r="Z130" s="531"/>
      <c r="AA130" s="532"/>
      <c r="AB130" s="531"/>
      <c r="AC130" s="532"/>
      <c r="AD130" s="531"/>
      <c r="AE130" s="532"/>
      <c r="AF130" s="531"/>
      <c r="AG130" s="532"/>
      <c r="AH130" s="531"/>
      <c r="AI130" s="532"/>
      <c r="AJ130" s="531"/>
      <c r="AK130" s="532"/>
      <c r="AL130" s="531"/>
      <c r="AM130" s="532"/>
      <c r="AN130" s="531"/>
      <c r="AO130" s="532"/>
      <c r="AP130" s="531"/>
      <c r="AQ130" s="532"/>
      <c r="AR130" s="531"/>
      <c r="AS130" s="532"/>
      <c r="AT130" s="531"/>
      <c r="AU130" s="532"/>
      <c r="AV130" s="531"/>
      <c r="AW130" s="532"/>
      <c r="AX130" s="531"/>
      <c r="AY130" s="532"/>
      <c r="AZ130" s="531"/>
      <c r="BA130" s="532"/>
      <c r="BB130" s="531"/>
      <c r="BC130" s="532"/>
      <c r="BD130" s="531"/>
      <c r="BE130" s="532"/>
      <c r="BF130" s="531"/>
      <c r="BG130" s="532"/>
      <c r="BH130" s="531"/>
      <c r="BI130" s="532"/>
      <c r="BJ130" s="531"/>
      <c r="BK130" s="532"/>
      <c r="BL130" s="531"/>
      <c r="BM130" s="532"/>
      <c r="BN130" s="531"/>
      <c r="BO130" s="532"/>
      <c r="BP130" s="531"/>
      <c r="BQ130" s="532"/>
      <c r="BR130" s="531"/>
      <c r="BS130" s="532"/>
      <c r="BT130" s="531"/>
      <c r="BU130" s="532"/>
      <c r="BV130" s="531"/>
      <c r="BW130" s="532"/>
      <c r="BX130" s="531"/>
      <c r="BY130" s="532"/>
      <c r="BZ130" s="531"/>
      <c r="CA130" s="532"/>
      <c r="CB130" s="531"/>
      <c r="CC130" s="532"/>
      <c r="CD130" s="531"/>
      <c r="CE130" s="532"/>
      <c r="CF130" s="531"/>
      <c r="CG130" s="532"/>
      <c r="CH130" s="531"/>
      <c r="CI130" s="532"/>
      <c r="CJ130" s="531"/>
      <c r="CK130" s="532"/>
      <c r="CL130" s="531"/>
      <c r="CM130" s="532"/>
      <c r="CN130" s="531"/>
      <c r="CO130" s="532"/>
      <c r="CP130" s="531"/>
      <c r="CQ130" s="532"/>
      <c r="CR130" s="531"/>
      <c r="CS130" s="532"/>
      <c r="CT130" s="533"/>
      <c r="CU130" s="531"/>
      <c r="CV130" s="532"/>
      <c r="CW130" s="531"/>
      <c r="CX130" s="532"/>
      <c r="CY130" s="531"/>
      <c r="CZ130" s="532"/>
      <c r="DA130" s="531"/>
      <c r="DB130" s="532"/>
      <c r="DC130" s="531"/>
      <c r="DD130" s="532"/>
      <c r="DE130" s="531"/>
      <c r="DF130" s="532"/>
      <c r="DG130" s="531"/>
      <c r="DH130" s="532"/>
      <c r="DI130" s="531"/>
      <c r="DJ130" s="532"/>
      <c r="DK130" s="531"/>
      <c r="DL130" s="532"/>
      <c r="DM130" s="531"/>
      <c r="DN130" s="532"/>
      <c r="DO130" s="531"/>
      <c r="DP130" s="532"/>
      <c r="DQ130" s="531"/>
      <c r="DR130" s="532"/>
      <c r="DS130" s="531"/>
      <c r="DT130" s="532"/>
      <c r="DU130" s="531"/>
      <c r="DV130" s="532"/>
      <c r="DW130" s="531"/>
      <c r="DX130" s="532"/>
      <c r="DY130" s="531"/>
      <c r="DZ130" s="532"/>
      <c r="EA130" s="531"/>
      <c r="EB130" s="532"/>
      <c r="EC130" s="531"/>
      <c r="ED130" s="532"/>
      <c r="EE130" s="531"/>
      <c r="EF130" s="532"/>
      <c r="EG130" s="531"/>
      <c r="EH130" s="532"/>
      <c r="EI130" s="531"/>
      <c r="EJ130" s="532"/>
      <c r="EK130" s="531"/>
      <c r="EL130" s="532"/>
      <c r="EM130" s="531"/>
      <c r="EN130" s="532"/>
      <c r="EO130" s="531"/>
      <c r="EP130" s="532"/>
      <c r="EQ130" s="531"/>
      <c r="ER130" s="532"/>
      <c r="ES130" s="531"/>
      <c r="ET130" s="532"/>
      <c r="EU130" s="531"/>
      <c r="EV130" s="532"/>
      <c r="EW130" s="531"/>
      <c r="EX130" s="532"/>
      <c r="EY130" s="531"/>
      <c r="EZ130" s="532"/>
      <c r="FA130" s="531"/>
      <c r="FB130" s="532"/>
      <c r="FC130" s="531"/>
      <c r="FD130" s="532"/>
      <c r="FE130" s="531"/>
      <c r="FF130" s="532"/>
      <c r="FG130" s="531"/>
      <c r="FH130" s="532"/>
      <c r="FI130" s="531"/>
      <c r="FJ130" s="532"/>
      <c r="FK130" s="531"/>
      <c r="FL130" s="532"/>
      <c r="FM130" s="531"/>
      <c r="FN130" s="532"/>
      <c r="FO130" s="531"/>
      <c r="FP130" s="532"/>
      <c r="FQ130" s="534"/>
      <c r="FR130" s="531"/>
      <c r="FS130" s="532"/>
      <c r="FT130" s="531"/>
      <c r="FU130" s="532"/>
      <c r="FV130" s="531"/>
      <c r="FW130" s="532"/>
      <c r="FX130" s="531"/>
      <c r="FY130" s="532"/>
      <c r="FZ130" s="531"/>
      <c r="GA130" s="532"/>
      <c r="GB130" s="531"/>
      <c r="GC130" s="532"/>
      <c r="GD130" s="531"/>
      <c r="GE130" s="532"/>
      <c r="GF130" s="531"/>
      <c r="GG130" s="532"/>
      <c r="GH130" s="531"/>
      <c r="GI130" s="532"/>
      <c r="GJ130" s="531"/>
      <c r="GK130" s="532"/>
      <c r="GL130" s="531"/>
      <c r="GM130" s="532"/>
      <c r="GN130" s="531"/>
      <c r="GO130" s="532"/>
      <c r="GP130" s="531"/>
      <c r="GQ130" s="532"/>
      <c r="GR130" s="531"/>
      <c r="GS130" s="532"/>
      <c r="GT130" s="531"/>
      <c r="GU130" s="532"/>
      <c r="GV130" s="531"/>
      <c r="GW130" s="532"/>
      <c r="GX130" s="531"/>
      <c r="GY130" s="532"/>
      <c r="GZ130" s="531"/>
      <c r="HA130" s="532"/>
      <c r="HB130" s="531"/>
      <c r="HC130" s="532"/>
      <c r="HD130" s="531"/>
      <c r="HE130" s="532"/>
      <c r="HF130" s="531"/>
      <c r="HG130" s="532"/>
      <c r="HH130" s="531"/>
      <c r="HI130" s="532"/>
      <c r="HJ130" s="531"/>
      <c r="HK130" s="532"/>
      <c r="HL130" s="531"/>
      <c r="HM130" s="532"/>
      <c r="HN130" s="531"/>
      <c r="HO130" s="532"/>
      <c r="HP130" s="531"/>
      <c r="HQ130" s="532"/>
      <c r="HR130" s="531"/>
      <c r="HS130" s="532"/>
      <c r="HT130" s="531"/>
      <c r="HU130" s="532"/>
      <c r="HV130" s="531"/>
      <c r="HW130" s="532"/>
      <c r="HX130" s="531"/>
      <c r="HY130" s="532"/>
      <c r="HZ130" s="531"/>
      <c r="IA130" s="532"/>
      <c r="IB130" s="531"/>
      <c r="IC130" s="532"/>
      <c r="ID130" s="531"/>
      <c r="IE130" s="532"/>
      <c r="IF130" s="531"/>
      <c r="IG130" s="532"/>
      <c r="IH130" s="531"/>
      <c r="II130" s="532"/>
      <c r="IJ130" s="531"/>
      <c r="IK130" s="532"/>
      <c r="IL130" s="531"/>
      <c r="IM130" s="532"/>
      <c r="IN130" s="531"/>
      <c r="IO130" s="532"/>
      <c r="IP130" s="531"/>
      <c r="IQ130" s="532"/>
      <c r="IR130" s="531"/>
      <c r="IS130" s="532"/>
      <c r="IT130" s="531"/>
      <c r="IU130" s="532"/>
      <c r="IV130" s="531"/>
      <c r="IW130" s="532"/>
      <c r="IX130" s="531"/>
      <c r="IY130" s="532"/>
      <c r="IZ130" s="530"/>
      <c r="JA130" s="531"/>
      <c r="JB130" s="532"/>
      <c r="JC130" s="531"/>
      <c r="JD130" s="532"/>
      <c r="JE130" s="530"/>
      <c r="JF130" s="531"/>
      <c r="JG130" s="532"/>
      <c r="JH130" s="531"/>
      <c r="JI130" s="532"/>
      <c r="JJ130" s="531"/>
      <c r="JK130" s="532"/>
      <c r="JL130" s="531"/>
      <c r="JM130" s="532"/>
      <c r="JN130" s="531"/>
      <c r="JO130" s="532"/>
      <c r="JP130" s="531"/>
      <c r="JQ130" s="532"/>
      <c r="JR130" s="531"/>
      <c r="JS130" s="532"/>
      <c r="JT130" s="531"/>
      <c r="JU130" s="532"/>
      <c r="JV130" s="531"/>
      <c r="JW130" s="532"/>
      <c r="JX130" s="531"/>
      <c r="JY130" s="532"/>
      <c r="JZ130" s="531"/>
      <c r="KA130" s="532"/>
      <c r="KB130" s="531"/>
      <c r="KC130" s="532"/>
      <c r="KD130" s="531"/>
      <c r="KE130" s="532"/>
      <c r="KF130" s="531"/>
      <c r="KG130" s="532"/>
      <c r="KH130" s="531"/>
      <c r="KI130" s="532"/>
      <c r="KJ130" s="531"/>
      <c r="KK130" s="532"/>
      <c r="KL130" s="531"/>
      <c r="KM130" s="532"/>
      <c r="KN130" s="531"/>
      <c r="KO130" s="532"/>
      <c r="KP130" s="531"/>
      <c r="KQ130" s="532"/>
      <c r="KR130" s="531"/>
      <c r="KS130" s="532"/>
      <c r="KT130" s="531"/>
      <c r="KU130" s="532"/>
      <c r="KV130" s="531"/>
      <c r="KW130" s="532"/>
      <c r="KX130" s="531"/>
      <c r="KY130" s="532"/>
      <c r="KZ130" s="531"/>
      <c r="LA130" s="532"/>
      <c r="LB130" s="531"/>
      <c r="LC130" s="532"/>
      <c r="LD130" s="531"/>
      <c r="LE130" s="532"/>
      <c r="LF130" s="531"/>
      <c r="LG130" s="532"/>
      <c r="LH130" s="531"/>
      <c r="LI130" s="532"/>
      <c r="LJ130" s="531"/>
      <c r="LK130" s="532"/>
      <c r="LL130" s="531"/>
      <c r="LM130" s="532"/>
      <c r="LN130" s="531"/>
      <c r="LO130" s="532"/>
      <c r="LP130" s="531"/>
      <c r="LQ130" s="532"/>
      <c r="LR130" s="531"/>
      <c r="LS130" s="532"/>
      <c r="LT130" s="531"/>
      <c r="LU130" s="532"/>
      <c r="LV130" s="531"/>
      <c r="LW130" s="532"/>
      <c r="LX130" s="531"/>
      <c r="LY130" s="532"/>
      <c r="LZ130" s="531"/>
      <c r="MA130" s="532"/>
      <c r="MB130" s="531"/>
      <c r="MC130" s="532"/>
      <c r="MD130" s="531"/>
      <c r="ME130" s="532"/>
      <c r="MF130" s="531"/>
      <c r="MG130" s="532"/>
      <c r="MH130" s="530"/>
      <c r="MI130" s="531"/>
      <c r="MJ130" s="532"/>
      <c r="MK130" s="531"/>
      <c r="ML130" s="532"/>
      <c r="MM130" s="531"/>
      <c r="MN130" s="532"/>
      <c r="MO130" s="531"/>
      <c r="MP130" s="532"/>
      <c r="MQ130" s="531"/>
      <c r="MR130" s="532"/>
      <c r="MS130" s="531"/>
      <c r="MT130" s="532"/>
      <c r="MU130" s="531"/>
      <c r="MV130" s="532"/>
      <c r="MW130" s="531"/>
      <c r="MX130" s="532"/>
      <c r="MY130" s="531"/>
      <c r="MZ130" s="532"/>
      <c r="NA130" s="531"/>
      <c r="NB130" s="532"/>
      <c r="NC130" s="531"/>
      <c r="ND130" s="532"/>
      <c r="NE130" s="531"/>
      <c r="NF130" s="532"/>
      <c r="NG130" s="531"/>
      <c r="NH130" s="532"/>
      <c r="NI130" s="531"/>
      <c r="NJ130" s="532"/>
      <c r="NK130" s="531"/>
      <c r="NL130" s="532"/>
      <c r="NM130" s="531"/>
      <c r="NN130" s="532"/>
      <c r="NO130" s="531"/>
      <c r="NP130" s="532"/>
      <c r="NQ130" s="531"/>
      <c r="NR130" s="532"/>
      <c r="NS130" s="531"/>
      <c r="NT130" s="532"/>
      <c r="NU130" s="531"/>
      <c r="NV130" s="532"/>
      <c r="NW130" s="531"/>
      <c r="NX130" s="532"/>
      <c r="NY130" s="531"/>
      <c r="NZ130" s="532"/>
      <c r="OA130" s="531"/>
      <c r="OB130" s="532"/>
      <c r="OC130" s="531"/>
      <c r="OD130" s="532"/>
      <c r="OE130" s="531"/>
      <c r="OF130" s="532"/>
      <c r="OG130" s="531"/>
      <c r="OH130" s="532"/>
      <c r="OI130" s="531"/>
      <c r="OJ130" s="532"/>
      <c r="OK130" s="531"/>
      <c r="OL130" s="532"/>
      <c r="OM130" s="531"/>
      <c r="ON130" s="532"/>
      <c r="OO130" s="531"/>
      <c r="OP130" s="532"/>
      <c r="OQ130" s="531"/>
      <c r="OR130" s="532"/>
      <c r="OS130" s="531"/>
      <c r="OT130" s="532"/>
      <c r="OU130" s="531"/>
      <c r="OV130" s="532"/>
      <c r="OW130" s="531"/>
      <c r="OX130" s="532"/>
      <c r="OY130" s="531"/>
      <c r="OZ130" s="532"/>
      <c r="PA130" s="531"/>
      <c r="PB130" s="532"/>
      <c r="PC130" s="531"/>
      <c r="PD130" s="532"/>
      <c r="PE130" s="531"/>
      <c r="PF130" s="532"/>
      <c r="PG130" s="531"/>
      <c r="PH130" s="532"/>
      <c r="PI130" s="531"/>
      <c r="PJ130" s="532"/>
      <c r="PK130" s="531"/>
      <c r="PL130" s="532"/>
      <c r="PM130" s="531"/>
      <c r="PN130" s="532"/>
      <c r="PO130" s="531"/>
      <c r="PP130" s="532"/>
      <c r="PQ130" s="535"/>
      <c r="PR130" s="531"/>
      <c r="PS130" s="532"/>
      <c r="PT130" s="531"/>
      <c r="PU130" s="532"/>
      <c r="PV130" s="531"/>
      <c r="PW130" s="532"/>
      <c r="PX130" s="531"/>
      <c r="PY130" s="532"/>
      <c r="PZ130" s="531"/>
      <c r="QA130" s="532"/>
      <c r="QB130" s="531"/>
      <c r="QC130" s="532"/>
      <c r="QD130" s="535"/>
      <c r="QE130" s="535"/>
      <c r="QF130" s="531"/>
      <c r="QG130" s="532"/>
      <c r="QH130" s="531"/>
      <c r="QI130" s="532"/>
      <c r="QJ130" s="531"/>
      <c r="QK130" s="532"/>
      <c r="QL130" s="531"/>
      <c r="QM130" s="532"/>
      <c r="QN130" s="531"/>
      <c r="QO130" s="532"/>
      <c r="QP130" s="531"/>
      <c r="QQ130" s="532"/>
    </row>
    <row r="131" spans="1:459" x14ac:dyDescent="0.45">
      <c r="A131" s="871"/>
      <c r="B131" s="536" t="s">
        <v>426</v>
      </c>
      <c r="C131" s="528"/>
      <c r="D131" s="529"/>
      <c r="E131" s="530"/>
      <c r="F131" s="531"/>
      <c r="G131" s="532"/>
      <c r="H131" s="531"/>
      <c r="I131" s="532"/>
      <c r="J131" s="531"/>
      <c r="K131" s="532"/>
      <c r="L131" s="531"/>
      <c r="M131" s="532"/>
      <c r="N131" s="531"/>
      <c r="O131" s="532"/>
      <c r="P131" s="531"/>
      <c r="Q131" s="532"/>
      <c r="R131" s="531"/>
      <c r="S131" s="532">
        <v>0.1</v>
      </c>
      <c r="T131" s="531"/>
      <c r="U131" s="532">
        <v>0.1</v>
      </c>
      <c r="V131" s="531"/>
      <c r="W131" s="532">
        <v>0.1</v>
      </c>
      <c r="X131" s="531"/>
      <c r="Y131" s="532">
        <v>0.1</v>
      </c>
      <c r="Z131" s="531"/>
      <c r="AA131" s="532">
        <v>0.1</v>
      </c>
      <c r="AB131" s="531"/>
      <c r="AC131" s="532">
        <v>0.1</v>
      </c>
      <c r="AD131" s="531"/>
      <c r="AE131" s="532">
        <v>0.1</v>
      </c>
      <c r="AF131" s="531"/>
      <c r="AG131" s="532">
        <v>0.1</v>
      </c>
      <c r="AH131" s="531"/>
      <c r="AI131" s="532">
        <v>0.1</v>
      </c>
      <c r="AJ131" s="531"/>
      <c r="AK131" s="532">
        <v>0.1</v>
      </c>
      <c r="AL131" s="531"/>
      <c r="AM131" s="532">
        <v>0.1</v>
      </c>
      <c r="AN131" s="531"/>
      <c r="AO131" s="532">
        <v>0.1</v>
      </c>
      <c r="AP131" s="531"/>
      <c r="AQ131" s="532">
        <v>0.1</v>
      </c>
      <c r="AR131" s="531"/>
      <c r="AS131" s="532">
        <v>0.1</v>
      </c>
      <c r="AT131" s="531"/>
      <c r="AU131" s="532">
        <v>0.1</v>
      </c>
      <c r="AV131" s="531"/>
      <c r="AW131" s="532">
        <v>0.1</v>
      </c>
      <c r="AX131" s="531"/>
      <c r="AY131" s="532">
        <v>0.1</v>
      </c>
      <c r="AZ131" s="531"/>
      <c r="BA131" s="532">
        <v>0.1</v>
      </c>
      <c r="BB131" s="531"/>
      <c r="BC131" s="532">
        <v>0.1</v>
      </c>
      <c r="BD131" s="531"/>
      <c r="BE131" s="532">
        <v>0.1</v>
      </c>
      <c r="BF131" s="531"/>
      <c r="BG131" s="532">
        <v>0.1</v>
      </c>
      <c r="BH131" s="531"/>
      <c r="BI131" s="532">
        <v>0.1</v>
      </c>
      <c r="BJ131" s="531"/>
      <c r="BK131" s="532">
        <v>0.1</v>
      </c>
      <c r="BL131" s="531"/>
      <c r="BM131" s="532">
        <v>0.1</v>
      </c>
      <c r="BN131" s="531"/>
      <c r="BO131" s="532">
        <v>0.1</v>
      </c>
      <c r="BP131" s="531"/>
      <c r="BQ131" s="532">
        <v>0.1</v>
      </c>
      <c r="BR131" s="531"/>
      <c r="BS131" s="532">
        <v>0.1</v>
      </c>
      <c r="BT131" s="531"/>
      <c r="BU131" s="532">
        <v>0.1</v>
      </c>
      <c r="BV131" s="531"/>
      <c r="BW131" s="532">
        <v>0.1</v>
      </c>
      <c r="BX131" s="531"/>
      <c r="BY131" s="532">
        <v>0.1</v>
      </c>
      <c r="BZ131" s="531"/>
      <c r="CA131" s="532">
        <v>0.1</v>
      </c>
      <c r="CB131" s="531"/>
      <c r="CC131" s="532">
        <v>0.1</v>
      </c>
      <c r="CD131" s="531"/>
      <c r="CE131" s="532">
        <v>0.1</v>
      </c>
      <c r="CF131" s="531"/>
      <c r="CG131" s="532">
        <v>0.1</v>
      </c>
      <c r="CH131" s="531"/>
      <c r="CI131" s="532">
        <v>0.1</v>
      </c>
      <c r="CJ131" s="531"/>
      <c r="CK131" s="532">
        <v>0.1</v>
      </c>
      <c r="CL131" s="531"/>
      <c r="CM131" s="532">
        <v>0.1</v>
      </c>
      <c r="CN131" s="531"/>
      <c r="CO131" s="532">
        <v>0.1</v>
      </c>
      <c r="CP131" s="531"/>
      <c r="CQ131" s="532">
        <v>0.1</v>
      </c>
      <c r="CR131" s="531"/>
      <c r="CS131" s="532">
        <v>0.1</v>
      </c>
      <c r="CT131" s="533"/>
      <c r="CU131" s="531"/>
      <c r="CV131" s="532"/>
      <c r="CW131" s="531"/>
      <c r="CX131" s="532">
        <v>0.1</v>
      </c>
      <c r="CY131" s="531"/>
      <c r="CZ131" s="532">
        <v>0.1</v>
      </c>
      <c r="DA131" s="531"/>
      <c r="DB131" s="532">
        <v>0.1</v>
      </c>
      <c r="DC131" s="531"/>
      <c r="DD131" s="532">
        <v>0.1</v>
      </c>
      <c r="DE131" s="531"/>
      <c r="DF131" s="532">
        <v>0.1</v>
      </c>
      <c r="DG131" s="531"/>
      <c r="DH131" s="532">
        <v>0.1</v>
      </c>
      <c r="DI131" s="531"/>
      <c r="DJ131" s="532">
        <v>0.1</v>
      </c>
      <c r="DK131" s="531"/>
      <c r="DL131" s="532">
        <v>0.1</v>
      </c>
      <c r="DM131" s="531"/>
      <c r="DN131" s="532">
        <v>0.1</v>
      </c>
      <c r="DO131" s="531"/>
      <c r="DP131" s="532">
        <v>0.1</v>
      </c>
      <c r="DQ131" s="531"/>
      <c r="DR131" s="532">
        <v>0.1</v>
      </c>
      <c r="DS131" s="531"/>
      <c r="DT131" s="532">
        <v>0.1</v>
      </c>
      <c r="DU131" s="531"/>
      <c r="DV131" s="532">
        <v>0.1</v>
      </c>
      <c r="DW131" s="531"/>
      <c r="DX131" s="532">
        <v>0.1</v>
      </c>
      <c r="DY131" s="531"/>
      <c r="DZ131" s="532">
        <v>0.1</v>
      </c>
      <c r="EA131" s="531"/>
      <c r="EB131" s="532">
        <v>0.1</v>
      </c>
      <c r="EC131" s="531"/>
      <c r="ED131" s="532">
        <v>0.1</v>
      </c>
      <c r="EE131" s="531"/>
      <c r="EF131" s="532">
        <v>0.1</v>
      </c>
      <c r="EG131" s="531"/>
      <c r="EH131" s="532">
        <v>0.1</v>
      </c>
      <c r="EI131" s="531"/>
      <c r="EJ131" s="532">
        <v>0.1</v>
      </c>
      <c r="EK131" s="531"/>
      <c r="EL131" s="532">
        <v>0.1</v>
      </c>
      <c r="EM131" s="531"/>
      <c r="EN131" s="532">
        <v>0.1</v>
      </c>
      <c r="EO131" s="531"/>
      <c r="EP131" s="532">
        <v>0.1</v>
      </c>
      <c r="EQ131" s="531"/>
      <c r="ER131" s="532">
        <v>0.1</v>
      </c>
      <c r="ES131" s="531"/>
      <c r="ET131" s="532">
        <v>0.1</v>
      </c>
      <c r="EU131" s="531"/>
      <c r="EV131" s="532">
        <v>0.1</v>
      </c>
      <c r="EW131" s="531"/>
      <c r="EX131" s="532">
        <v>0.1</v>
      </c>
      <c r="EY131" s="531"/>
      <c r="EZ131" s="532">
        <v>0.1</v>
      </c>
      <c r="FA131" s="531"/>
      <c r="FB131" s="532">
        <v>0.1</v>
      </c>
      <c r="FC131" s="531"/>
      <c r="FD131" s="532">
        <v>0.1</v>
      </c>
      <c r="FE131" s="531"/>
      <c r="FF131" s="532">
        <v>0.1</v>
      </c>
      <c r="FG131" s="531"/>
      <c r="FH131" s="532">
        <v>0.1</v>
      </c>
      <c r="FI131" s="531"/>
      <c r="FJ131" s="532">
        <v>0.1</v>
      </c>
      <c r="FK131" s="531"/>
      <c r="FL131" s="532">
        <v>0.1</v>
      </c>
      <c r="FM131" s="531"/>
      <c r="FN131" s="532">
        <v>0.1</v>
      </c>
      <c r="FO131" s="531"/>
      <c r="FP131" s="532">
        <v>0.1</v>
      </c>
      <c r="FQ131" s="534"/>
      <c r="FR131" s="531"/>
      <c r="FS131" s="532"/>
      <c r="FT131" s="531"/>
      <c r="FU131" s="532"/>
      <c r="FV131" s="531"/>
      <c r="FW131" s="532"/>
      <c r="FX131" s="531"/>
      <c r="FY131" s="532">
        <v>0.1</v>
      </c>
      <c r="FZ131" s="531"/>
      <c r="GA131" s="532">
        <v>0.1</v>
      </c>
      <c r="GB131" s="531"/>
      <c r="GC131" s="532">
        <v>0.1</v>
      </c>
      <c r="GD131" s="531"/>
      <c r="GE131" s="532">
        <v>0.1</v>
      </c>
      <c r="GF131" s="531"/>
      <c r="GG131" s="532">
        <v>0.1</v>
      </c>
      <c r="GH131" s="531"/>
      <c r="GI131" s="532">
        <v>0.1</v>
      </c>
      <c r="GJ131" s="531"/>
      <c r="GK131" s="532">
        <v>0.1</v>
      </c>
      <c r="GL131" s="531"/>
      <c r="GM131" s="532">
        <v>0.1</v>
      </c>
      <c r="GN131" s="531"/>
      <c r="GO131" s="532">
        <v>0.1</v>
      </c>
      <c r="GP131" s="531"/>
      <c r="GQ131" s="532">
        <v>0.1</v>
      </c>
      <c r="GR131" s="531"/>
      <c r="GS131" s="532">
        <v>0.1</v>
      </c>
      <c r="GT131" s="531"/>
      <c r="GU131" s="532">
        <v>0.1</v>
      </c>
      <c r="GV131" s="531"/>
      <c r="GW131" s="532">
        <v>0.1</v>
      </c>
      <c r="GX131" s="531"/>
      <c r="GY131" s="532">
        <v>0.1</v>
      </c>
      <c r="GZ131" s="531"/>
      <c r="HA131" s="532">
        <v>0.1</v>
      </c>
      <c r="HB131" s="531"/>
      <c r="HC131" s="532">
        <v>0.1</v>
      </c>
      <c r="HD131" s="531"/>
      <c r="HE131" s="532">
        <v>0.1</v>
      </c>
      <c r="HF131" s="531"/>
      <c r="HG131" s="532">
        <v>0.1</v>
      </c>
      <c r="HH131" s="531"/>
      <c r="HI131" s="532">
        <v>0.1</v>
      </c>
      <c r="HJ131" s="531"/>
      <c r="HK131" s="532">
        <v>0.1</v>
      </c>
      <c r="HL131" s="531"/>
      <c r="HM131" s="532">
        <v>0.1</v>
      </c>
      <c r="HN131" s="531"/>
      <c r="HO131" s="532">
        <v>0.1</v>
      </c>
      <c r="HP131" s="531"/>
      <c r="HQ131" s="532">
        <v>0.1</v>
      </c>
      <c r="HR131" s="531"/>
      <c r="HS131" s="532">
        <v>0.1</v>
      </c>
      <c r="HT131" s="531"/>
      <c r="HU131" s="532">
        <v>0.1</v>
      </c>
      <c r="HV131" s="531"/>
      <c r="HW131" s="532">
        <v>0.1</v>
      </c>
      <c r="HX131" s="531"/>
      <c r="HY131" s="532">
        <v>0.1</v>
      </c>
      <c r="HZ131" s="531"/>
      <c r="IA131" s="532">
        <v>0.1</v>
      </c>
      <c r="IB131" s="531"/>
      <c r="IC131" s="532">
        <v>0.1</v>
      </c>
      <c r="ID131" s="531"/>
      <c r="IE131" s="532">
        <v>0.1</v>
      </c>
      <c r="IF131" s="531"/>
      <c r="IG131" s="532">
        <v>0.1</v>
      </c>
      <c r="IH131" s="531"/>
      <c r="II131" s="532">
        <v>0.1</v>
      </c>
      <c r="IJ131" s="531"/>
      <c r="IK131" s="532">
        <v>0.1</v>
      </c>
      <c r="IL131" s="531"/>
      <c r="IM131" s="532">
        <v>0.1</v>
      </c>
      <c r="IN131" s="531"/>
      <c r="IO131" s="532">
        <v>0.1</v>
      </c>
      <c r="IP131" s="531"/>
      <c r="IQ131" s="532">
        <v>0.1</v>
      </c>
      <c r="IR131" s="531"/>
      <c r="IS131" s="532">
        <v>0.1</v>
      </c>
      <c r="IT131" s="531"/>
      <c r="IU131" s="532">
        <v>0.1</v>
      </c>
      <c r="IV131" s="531"/>
      <c r="IW131" s="532">
        <v>0.1</v>
      </c>
      <c r="IX131" s="531"/>
      <c r="IY131" s="532">
        <v>0.1</v>
      </c>
      <c r="IZ131" s="530"/>
      <c r="JA131" s="531"/>
      <c r="JB131" s="532">
        <v>0.1</v>
      </c>
      <c r="JC131" s="531"/>
      <c r="JD131" s="532">
        <v>0.1</v>
      </c>
      <c r="JE131" s="530"/>
      <c r="JF131" s="531"/>
      <c r="JG131" s="532"/>
      <c r="JH131" s="531"/>
      <c r="JI131" s="532"/>
      <c r="JJ131" s="531"/>
      <c r="JK131" s="532"/>
      <c r="JL131" s="531"/>
      <c r="JM131" s="532">
        <v>0.1</v>
      </c>
      <c r="JN131" s="531"/>
      <c r="JO131" s="532">
        <v>0.1</v>
      </c>
      <c r="JP131" s="531"/>
      <c r="JQ131" s="532">
        <v>0.1</v>
      </c>
      <c r="JR131" s="531"/>
      <c r="JS131" s="532">
        <v>0.1</v>
      </c>
      <c r="JT131" s="531"/>
      <c r="JU131" s="532">
        <v>0.1</v>
      </c>
      <c r="JV131" s="531"/>
      <c r="JW131" s="532">
        <v>0.1</v>
      </c>
      <c r="JX131" s="531"/>
      <c r="JY131" s="532">
        <v>0.1</v>
      </c>
      <c r="JZ131" s="531"/>
      <c r="KA131" s="532">
        <v>0.1</v>
      </c>
      <c r="KB131" s="531"/>
      <c r="KC131" s="532">
        <v>0.1</v>
      </c>
      <c r="KD131" s="531"/>
      <c r="KE131" s="532">
        <v>0.1</v>
      </c>
      <c r="KF131" s="531"/>
      <c r="KG131" s="532">
        <v>0.1</v>
      </c>
      <c r="KH131" s="531"/>
      <c r="KI131" s="532">
        <v>0.1</v>
      </c>
      <c r="KJ131" s="531"/>
      <c r="KK131" s="532">
        <v>0.1</v>
      </c>
      <c r="KL131" s="531"/>
      <c r="KM131" s="532">
        <v>0.1</v>
      </c>
      <c r="KN131" s="531"/>
      <c r="KO131" s="532">
        <v>0.1</v>
      </c>
      <c r="KP131" s="531"/>
      <c r="KQ131" s="532">
        <v>0.1</v>
      </c>
      <c r="KR131" s="531"/>
      <c r="KS131" s="532">
        <v>0.1</v>
      </c>
      <c r="KT131" s="531"/>
      <c r="KU131" s="532">
        <v>0.1</v>
      </c>
      <c r="KV131" s="531"/>
      <c r="KW131" s="532">
        <v>0.1</v>
      </c>
      <c r="KX131" s="531"/>
      <c r="KY131" s="532">
        <v>0.1</v>
      </c>
      <c r="KZ131" s="531"/>
      <c r="LA131" s="532">
        <v>0.1</v>
      </c>
      <c r="LB131" s="531"/>
      <c r="LC131" s="532">
        <v>0.1</v>
      </c>
      <c r="LD131" s="531"/>
      <c r="LE131" s="532">
        <v>0.1</v>
      </c>
      <c r="LF131" s="531"/>
      <c r="LG131" s="532">
        <v>0.1</v>
      </c>
      <c r="LH131" s="531"/>
      <c r="LI131" s="532">
        <v>0.1</v>
      </c>
      <c r="LJ131" s="531"/>
      <c r="LK131" s="532">
        <v>0.1</v>
      </c>
      <c r="LL131" s="531"/>
      <c r="LM131" s="532">
        <v>0.1</v>
      </c>
      <c r="LN131" s="531"/>
      <c r="LO131" s="532">
        <v>0.1</v>
      </c>
      <c r="LP131" s="531"/>
      <c r="LQ131" s="532">
        <v>0.1</v>
      </c>
      <c r="LR131" s="531"/>
      <c r="LS131" s="532">
        <v>0.1</v>
      </c>
      <c r="LT131" s="531"/>
      <c r="LU131" s="532">
        <v>0.1</v>
      </c>
      <c r="LV131" s="531"/>
      <c r="LW131" s="532">
        <v>0.1</v>
      </c>
      <c r="LX131" s="531"/>
      <c r="LY131" s="532">
        <v>0.1</v>
      </c>
      <c r="LZ131" s="531"/>
      <c r="MA131" s="532">
        <v>0.1</v>
      </c>
      <c r="MB131" s="531"/>
      <c r="MC131" s="532">
        <v>0.1</v>
      </c>
      <c r="MD131" s="531"/>
      <c r="ME131" s="532">
        <v>0.1</v>
      </c>
      <c r="MF131" s="531"/>
      <c r="MG131" s="532">
        <v>0.1</v>
      </c>
      <c r="MH131" s="530"/>
      <c r="MI131" s="531"/>
      <c r="MJ131" s="532"/>
      <c r="MK131" s="531"/>
      <c r="ML131" s="532"/>
      <c r="MM131" s="531"/>
      <c r="MN131" s="532"/>
      <c r="MO131" s="531"/>
      <c r="MP131" s="532">
        <v>0.05</v>
      </c>
      <c r="MQ131" s="531"/>
      <c r="MR131" s="532">
        <v>0.05</v>
      </c>
      <c r="MS131" s="531"/>
      <c r="MT131" s="532">
        <v>0.05</v>
      </c>
      <c r="MU131" s="531"/>
      <c r="MV131" s="532">
        <v>0.05</v>
      </c>
      <c r="MW131" s="531"/>
      <c r="MX131" s="532">
        <v>0.05</v>
      </c>
      <c r="MY131" s="531"/>
      <c r="MZ131" s="532">
        <v>0.05</v>
      </c>
      <c r="NA131" s="531"/>
      <c r="NB131" s="532">
        <v>0.05</v>
      </c>
      <c r="NC131" s="531"/>
      <c r="ND131" s="532">
        <v>0.05</v>
      </c>
      <c r="NE131" s="531"/>
      <c r="NF131" s="532">
        <v>0.05</v>
      </c>
      <c r="NG131" s="531"/>
      <c r="NH131" s="532">
        <v>0.05</v>
      </c>
      <c r="NI131" s="531"/>
      <c r="NJ131" s="532">
        <v>0.05</v>
      </c>
      <c r="NK131" s="531"/>
      <c r="NL131" s="532">
        <v>0.05</v>
      </c>
      <c r="NM131" s="531"/>
      <c r="NN131" s="532">
        <v>0.05</v>
      </c>
      <c r="NO131" s="531"/>
      <c r="NP131" s="532">
        <v>0.05</v>
      </c>
      <c r="NQ131" s="531"/>
      <c r="NR131" s="532">
        <v>0.05</v>
      </c>
      <c r="NS131" s="531"/>
      <c r="NT131" s="532">
        <v>0.05</v>
      </c>
      <c r="NU131" s="531"/>
      <c r="NV131" s="532">
        <v>0.05</v>
      </c>
      <c r="NW131" s="531"/>
      <c r="NX131" s="532">
        <v>0.05</v>
      </c>
      <c r="NY131" s="531"/>
      <c r="NZ131" s="532">
        <v>0.05</v>
      </c>
      <c r="OA131" s="531"/>
      <c r="OB131" s="532">
        <v>0.05</v>
      </c>
      <c r="OC131" s="531"/>
      <c r="OD131" s="532">
        <v>0.05</v>
      </c>
      <c r="OE131" s="531"/>
      <c r="OF131" s="532">
        <v>0.05</v>
      </c>
      <c r="OG131" s="531"/>
      <c r="OH131" s="532">
        <v>0.05</v>
      </c>
      <c r="OI131" s="531"/>
      <c r="OJ131" s="532">
        <v>0.05</v>
      </c>
      <c r="OK131" s="531"/>
      <c r="OL131" s="532">
        <v>0.05</v>
      </c>
      <c r="OM131" s="531"/>
      <c r="ON131" s="532">
        <v>0.05</v>
      </c>
      <c r="OO131" s="531"/>
      <c r="OP131" s="532">
        <v>0.05</v>
      </c>
      <c r="OQ131" s="531"/>
      <c r="OR131" s="532">
        <v>0.05</v>
      </c>
      <c r="OS131" s="531"/>
      <c r="OT131" s="532">
        <v>0.05</v>
      </c>
      <c r="OU131" s="531"/>
      <c r="OV131" s="532">
        <v>0.05</v>
      </c>
      <c r="OW131" s="531"/>
      <c r="OX131" s="532">
        <v>0.05</v>
      </c>
      <c r="OY131" s="531"/>
      <c r="OZ131" s="532">
        <v>0.05</v>
      </c>
      <c r="PA131" s="531"/>
      <c r="PB131" s="532">
        <v>0.05</v>
      </c>
      <c r="PC131" s="531"/>
      <c r="PD131" s="532">
        <v>0.05</v>
      </c>
      <c r="PE131" s="531"/>
      <c r="PF131" s="532">
        <v>0.05</v>
      </c>
      <c r="PG131" s="531"/>
      <c r="PH131" s="532">
        <v>0.05</v>
      </c>
      <c r="PI131" s="531"/>
      <c r="PJ131" s="532">
        <v>0.05</v>
      </c>
      <c r="PK131" s="531"/>
      <c r="PL131" s="532">
        <v>0.05</v>
      </c>
      <c r="PM131" s="531"/>
      <c r="PN131" s="532">
        <v>0.05</v>
      </c>
      <c r="PO131" s="531"/>
      <c r="PP131" s="532">
        <v>0.05</v>
      </c>
      <c r="PQ131" s="535"/>
      <c r="PR131" s="531"/>
      <c r="PS131" s="532">
        <v>0.05</v>
      </c>
      <c r="PT131" s="531"/>
      <c r="PU131" s="532">
        <v>0.05</v>
      </c>
      <c r="PV131" s="531"/>
      <c r="PW131" s="532">
        <v>0.05</v>
      </c>
      <c r="PX131" s="531"/>
      <c r="PY131" s="532">
        <v>0.05</v>
      </c>
      <c r="PZ131" s="531"/>
      <c r="QA131" s="532">
        <v>0.05</v>
      </c>
      <c r="QB131" s="531"/>
      <c r="QC131" s="532">
        <v>0.05</v>
      </c>
      <c r="QD131" s="535"/>
      <c r="QE131" s="535"/>
      <c r="QF131" s="531"/>
      <c r="QG131" s="532">
        <v>0.05</v>
      </c>
      <c r="QH131" s="531"/>
      <c r="QI131" s="532">
        <v>0.05</v>
      </c>
      <c r="QJ131" s="531"/>
      <c r="QK131" s="532">
        <v>0.05</v>
      </c>
      <c r="QL131" s="531"/>
      <c r="QM131" s="532">
        <v>0.05</v>
      </c>
      <c r="QN131" s="531"/>
      <c r="QO131" s="532">
        <v>0.05</v>
      </c>
      <c r="QP131" s="531"/>
      <c r="QQ131" s="532">
        <v>0.05</v>
      </c>
    </row>
    <row r="132" spans="1:459" x14ac:dyDescent="0.45">
      <c r="A132" s="871"/>
      <c r="B132" s="536" t="s">
        <v>427</v>
      </c>
      <c r="C132" s="528"/>
      <c r="D132" s="529"/>
      <c r="E132" s="530"/>
      <c r="F132" s="531"/>
      <c r="G132" s="532"/>
      <c r="H132" s="531"/>
      <c r="I132" s="532"/>
      <c r="J132" s="531"/>
      <c r="K132" s="532"/>
      <c r="L132" s="531"/>
      <c r="M132" s="532"/>
      <c r="N132" s="531"/>
      <c r="O132" s="532"/>
      <c r="P132" s="531"/>
      <c r="Q132" s="532"/>
      <c r="R132" s="531"/>
      <c r="S132" s="537">
        <f>S131*S69</f>
        <v>0.66</v>
      </c>
      <c r="T132" s="538"/>
      <c r="U132" s="537">
        <f>U131*U69</f>
        <v>0.67</v>
      </c>
      <c r="V132" s="538"/>
      <c r="W132" s="537">
        <f>W131*W69</f>
        <v>0.67</v>
      </c>
      <c r="X132" s="538"/>
      <c r="Y132" s="537">
        <f>Y131*Y69</f>
        <v>0.66</v>
      </c>
      <c r="Z132" s="538"/>
      <c r="AA132" s="537">
        <f>AA131*AA69</f>
        <v>0.67500000000000004</v>
      </c>
      <c r="AB132" s="538"/>
      <c r="AC132" s="537">
        <f>AC131*AC69</f>
        <v>0.67500000000000004</v>
      </c>
      <c r="AD132" s="538"/>
      <c r="AE132" s="537">
        <f>AE131*AE69</f>
        <v>0.70500000000000007</v>
      </c>
      <c r="AF132" s="538"/>
      <c r="AG132" s="537">
        <f>AG131*AG69</f>
        <v>0.70500000000000007</v>
      </c>
      <c r="AH132" s="538"/>
      <c r="AI132" s="537">
        <f>AI131*AI69</f>
        <v>0.70500000000000007</v>
      </c>
      <c r="AJ132" s="538"/>
      <c r="AK132" s="537">
        <f>AK131*AK69</f>
        <v>0.70500000000000007</v>
      </c>
      <c r="AL132" s="538"/>
      <c r="AM132" s="537">
        <f>AM131*AM69</f>
        <v>0.70500000000000007</v>
      </c>
      <c r="AN132" s="538"/>
      <c r="AO132" s="537">
        <f>AO131*AO69</f>
        <v>0.70500000000000007</v>
      </c>
      <c r="AP132" s="538"/>
      <c r="AQ132" s="537">
        <f>AQ131*AQ69</f>
        <v>0.70500000000000007</v>
      </c>
      <c r="AR132" s="538"/>
      <c r="AS132" s="537">
        <f>AS131*AS69</f>
        <v>0.70500000000000007</v>
      </c>
      <c r="AT132" s="538"/>
      <c r="AU132" s="537">
        <f>AU131*AU69</f>
        <v>0.73499999999999999</v>
      </c>
      <c r="AV132" s="538"/>
      <c r="AW132" s="537">
        <f>AW131*AW69</f>
        <v>0.73499999999999999</v>
      </c>
      <c r="AX132" s="538"/>
      <c r="AY132" s="537">
        <f>AY131*AY69</f>
        <v>0.73499999999999999</v>
      </c>
      <c r="AZ132" s="538"/>
      <c r="BA132" s="537">
        <f>BA131*BA69</f>
        <v>0.73499999999999999</v>
      </c>
      <c r="BB132" s="538"/>
      <c r="BC132" s="537">
        <f>BC131*BC69</f>
        <v>0.73499999999999999</v>
      </c>
      <c r="BD132" s="538"/>
      <c r="BE132" s="537">
        <f>BE131*BE69</f>
        <v>0.73499999999999999</v>
      </c>
      <c r="BF132" s="538"/>
      <c r="BG132" s="537">
        <f>BG131*BG69</f>
        <v>0.73499999999999999</v>
      </c>
      <c r="BH132" s="538"/>
      <c r="BI132" s="537">
        <f>BI131*BI69</f>
        <v>0.73499999999999999</v>
      </c>
      <c r="BJ132" s="538"/>
      <c r="BK132" s="537">
        <f>BK131*BK69</f>
        <v>0.73499999999999999</v>
      </c>
      <c r="BL132" s="538"/>
      <c r="BM132" s="537">
        <f>BM131*BM69</f>
        <v>0.73499999999999999</v>
      </c>
      <c r="BN132" s="538"/>
      <c r="BO132" s="537">
        <f>BO131*BO69</f>
        <v>0.73499999999999999</v>
      </c>
      <c r="BP132" s="538"/>
      <c r="BQ132" s="537">
        <f>BQ131*BQ69</f>
        <v>0.73499999999999999</v>
      </c>
      <c r="BR132" s="538"/>
      <c r="BS132" s="537">
        <f>BS131*BS69</f>
        <v>0.73499999999999999</v>
      </c>
      <c r="BT132" s="538"/>
      <c r="BU132" s="537">
        <f>BU131*BU69</f>
        <v>0.73499999999999999</v>
      </c>
      <c r="BV132" s="538"/>
      <c r="BW132" s="537">
        <f>BW131*BW69</f>
        <v>0.73499999999999999</v>
      </c>
      <c r="BX132" s="538"/>
      <c r="BY132" s="537">
        <f>BY131*BY69</f>
        <v>0.73499999999999999</v>
      </c>
      <c r="BZ132" s="538"/>
      <c r="CA132" s="537">
        <f>CA131*CA69</f>
        <v>0.73499999999999999</v>
      </c>
      <c r="CB132" s="538"/>
      <c r="CC132" s="537">
        <f>CC131*CC69</f>
        <v>0.73499999999999999</v>
      </c>
      <c r="CD132" s="538"/>
      <c r="CE132" s="537">
        <f>CE131*CE69</f>
        <v>0.73499999999999999</v>
      </c>
      <c r="CF132" s="538"/>
      <c r="CG132" s="537">
        <f>CG131*CG69</f>
        <v>0.73499999999999999</v>
      </c>
      <c r="CH132" s="538"/>
      <c r="CI132" s="537">
        <f>CI131*CI69</f>
        <v>0.73499999999999999</v>
      </c>
      <c r="CJ132" s="538"/>
      <c r="CK132" s="537">
        <f>CK131*CK69</f>
        <v>0.73499999999999999</v>
      </c>
      <c r="CL132" s="538"/>
      <c r="CM132" s="537">
        <f>CM131*CM69</f>
        <v>0.73499999999999999</v>
      </c>
      <c r="CN132" s="538"/>
      <c r="CO132" s="537">
        <f>CO131*CO69</f>
        <v>0.73499999999999999</v>
      </c>
      <c r="CP132" s="538"/>
      <c r="CQ132" s="537">
        <f>CQ131*CQ69</f>
        <v>0.73499999999999999</v>
      </c>
      <c r="CR132" s="538"/>
      <c r="CS132" s="537">
        <f>CS131*CS69</f>
        <v>0.73499999999999999</v>
      </c>
      <c r="CT132" s="533"/>
      <c r="CU132" s="531"/>
      <c r="CV132" s="532"/>
      <c r="CW132" s="531"/>
      <c r="CX132" s="537">
        <f>CX131*CX69</f>
        <v>0.97500000000000009</v>
      </c>
      <c r="CY132" s="531"/>
      <c r="CZ132" s="537">
        <f>CZ131*CZ69</f>
        <v>0.98000000000000009</v>
      </c>
      <c r="DA132" s="531"/>
      <c r="DB132" s="537">
        <f>DB131*DB69</f>
        <v>0.98000000000000009</v>
      </c>
      <c r="DC132" s="531"/>
      <c r="DD132" s="537">
        <f>DD131*DD69</f>
        <v>1.04</v>
      </c>
      <c r="DE132" s="531"/>
      <c r="DF132" s="537">
        <f>DF131*DF69</f>
        <v>1.04</v>
      </c>
      <c r="DG132" s="531"/>
      <c r="DH132" s="537">
        <f>DH131*DH69</f>
        <v>1.04</v>
      </c>
      <c r="DI132" s="531"/>
      <c r="DJ132" s="537">
        <f>DJ131*DJ69</f>
        <v>1.04</v>
      </c>
      <c r="DK132" s="531"/>
      <c r="DL132" s="537">
        <f>DL131*DL69</f>
        <v>1.04</v>
      </c>
      <c r="DM132" s="531"/>
      <c r="DN132" s="537">
        <f>DN131*DN69</f>
        <v>1.04</v>
      </c>
      <c r="DO132" s="531"/>
      <c r="DP132" s="537">
        <f>DP131*DP69</f>
        <v>1.04</v>
      </c>
      <c r="DQ132" s="531"/>
      <c r="DR132" s="537">
        <f>DR131*DR69</f>
        <v>1.04</v>
      </c>
      <c r="DS132" s="531"/>
      <c r="DT132" s="537">
        <f>DT131*DT69</f>
        <v>1.095</v>
      </c>
      <c r="DU132" s="531"/>
      <c r="DV132" s="537">
        <f>DV131*DV69</f>
        <v>1.095</v>
      </c>
      <c r="DW132" s="531"/>
      <c r="DX132" s="537">
        <f>DX131*DX69</f>
        <v>1.095</v>
      </c>
      <c r="DY132" s="531"/>
      <c r="DZ132" s="537">
        <f>DZ131*DZ69</f>
        <v>1.095</v>
      </c>
      <c r="EA132" s="531"/>
      <c r="EB132" s="537">
        <f>EB131*EB69</f>
        <v>1.095</v>
      </c>
      <c r="EC132" s="531"/>
      <c r="ED132" s="537">
        <f>ED131*ED69</f>
        <v>1.095</v>
      </c>
      <c r="EE132" s="531"/>
      <c r="EF132" s="537">
        <f>EF131*EF69</f>
        <v>1.095</v>
      </c>
      <c r="EG132" s="531"/>
      <c r="EH132" s="537">
        <f>EH131*EH69</f>
        <v>1.095</v>
      </c>
      <c r="EI132" s="531"/>
      <c r="EJ132" s="537">
        <f>EJ131*EJ69</f>
        <v>1.095</v>
      </c>
      <c r="EK132" s="531"/>
      <c r="EL132" s="537">
        <f>EL131*EL69</f>
        <v>1.095</v>
      </c>
      <c r="EM132" s="531"/>
      <c r="EN132" s="537">
        <f>EN131*EN69</f>
        <v>1.095</v>
      </c>
      <c r="EO132" s="531"/>
      <c r="EP132" s="537">
        <f>EP131*EP69</f>
        <v>1.095</v>
      </c>
      <c r="EQ132" s="531"/>
      <c r="ER132" s="537">
        <f>ER131*ER69</f>
        <v>1.095</v>
      </c>
      <c r="ES132" s="531"/>
      <c r="ET132" s="537">
        <f>ET131*ET69</f>
        <v>1.095</v>
      </c>
      <c r="EU132" s="531"/>
      <c r="EV132" s="537">
        <f>EV131*EV69</f>
        <v>1.095</v>
      </c>
      <c r="EW132" s="531"/>
      <c r="EX132" s="537">
        <f>EX131*EX69</f>
        <v>1.095</v>
      </c>
      <c r="EY132" s="531"/>
      <c r="EZ132" s="537">
        <f>EZ131*EZ69</f>
        <v>1.095</v>
      </c>
      <c r="FA132" s="531"/>
      <c r="FB132" s="537">
        <f>FB131*FB69</f>
        <v>1.095</v>
      </c>
      <c r="FC132" s="531"/>
      <c r="FD132" s="537">
        <f>FD131*FD69</f>
        <v>1.095</v>
      </c>
      <c r="FE132" s="531"/>
      <c r="FF132" s="537">
        <f>FF131*FF69</f>
        <v>1.095</v>
      </c>
      <c r="FG132" s="531"/>
      <c r="FH132" s="537">
        <f>FH131*FH69</f>
        <v>1.095</v>
      </c>
      <c r="FI132" s="531"/>
      <c r="FJ132" s="537">
        <f>FJ131*FJ69</f>
        <v>1.095</v>
      </c>
      <c r="FK132" s="531"/>
      <c r="FL132" s="537">
        <f>FL131*FL69</f>
        <v>1.095</v>
      </c>
      <c r="FM132" s="531"/>
      <c r="FN132" s="537">
        <f>FN131*FN69</f>
        <v>1.095</v>
      </c>
      <c r="FO132" s="531"/>
      <c r="FP132" s="537">
        <f>FP131*FP69</f>
        <v>1.095</v>
      </c>
      <c r="FQ132" s="534"/>
      <c r="FR132" s="531"/>
      <c r="FS132" s="532"/>
      <c r="FT132" s="531"/>
      <c r="FU132" s="532"/>
      <c r="FV132" s="531"/>
      <c r="FW132" s="532"/>
      <c r="FX132" s="531"/>
      <c r="FY132" s="537">
        <f>FY131*FY69</f>
        <v>0.66</v>
      </c>
      <c r="FZ132" s="538"/>
      <c r="GA132" s="537">
        <f>GA131*GA69</f>
        <v>0.67</v>
      </c>
      <c r="GB132" s="538"/>
      <c r="GC132" s="537">
        <f>GC131*GC69</f>
        <v>0.67</v>
      </c>
      <c r="GD132" s="538"/>
      <c r="GE132" s="537">
        <f>GE131*GE69</f>
        <v>0.66</v>
      </c>
      <c r="GF132" s="538"/>
      <c r="GG132" s="537">
        <f>GG131*GG69</f>
        <v>0.67500000000000004</v>
      </c>
      <c r="GH132" s="538"/>
      <c r="GI132" s="537">
        <f>GI131*GI69</f>
        <v>0.67500000000000004</v>
      </c>
      <c r="GJ132" s="538"/>
      <c r="GK132" s="537">
        <f>GK131*GK69</f>
        <v>0.79</v>
      </c>
      <c r="GL132" s="538"/>
      <c r="GM132" s="537">
        <f>GM131*GM69</f>
        <v>0.79</v>
      </c>
      <c r="GN132" s="538"/>
      <c r="GO132" s="537">
        <f>GO131*GO69</f>
        <v>0.79</v>
      </c>
      <c r="GP132" s="538"/>
      <c r="GQ132" s="537">
        <f>GQ131*GQ69</f>
        <v>0.79</v>
      </c>
      <c r="GR132" s="538"/>
      <c r="GS132" s="537">
        <f>GS131*GS69</f>
        <v>0.79</v>
      </c>
      <c r="GT132" s="538"/>
      <c r="GU132" s="537">
        <f>GU131*GU69</f>
        <v>0.79</v>
      </c>
      <c r="GV132" s="538"/>
      <c r="GW132" s="537">
        <f>GW131*GW69</f>
        <v>0.79</v>
      </c>
      <c r="GX132" s="538"/>
      <c r="GY132" s="537">
        <f>GY131*GY69</f>
        <v>0.79</v>
      </c>
      <c r="GZ132" s="538"/>
      <c r="HA132" s="537">
        <f>HA131*HA69</f>
        <v>0.82500000000000007</v>
      </c>
      <c r="HB132" s="538"/>
      <c r="HC132" s="537">
        <f>HC131*HC69</f>
        <v>0.82500000000000007</v>
      </c>
      <c r="HD132" s="538"/>
      <c r="HE132" s="537">
        <f>HE131*HE69</f>
        <v>0.82500000000000007</v>
      </c>
      <c r="HF132" s="538"/>
      <c r="HG132" s="537">
        <f>HG131*HG69</f>
        <v>0.82500000000000007</v>
      </c>
      <c r="HH132" s="538"/>
      <c r="HI132" s="537">
        <f>HI131*HI69</f>
        <v>0.82500000000000007</v>
      </c>
      <c r="HJ132" s="538"/>
      <c r="HK132" s="537">
        <f>HK131*HK69</f>
        <v>0.82500000000000007</v>
      </c>
      <c r="HL132" s="538"/>
      <c r="HM132" s="537">
        <f>HM131*HM69</f>
        <v>0.82500000000000007</v>
      </c>
      <c r="HN132" s="538"/>
      <c r="HO132" s="537">
        <f>HO131*HO69</f>
        <v>0.82500000000000007</v>
      </c>
      <c r="HP132" s="538"/>
      <c r="HQ132" s="537">
        <f>HQ131*HQ69</f>
        <v>0.82500000000000007</v>
      </c>
      <c r="HR132" s="538"/>
      <c r="HS132" s="537">
        <f>HS131*HS69</f>
        <v>0.82500000000000007</v>
      </c>
      <c r="HT132" s="538"/>
      <c r="HU132" s="537">
        <f>HU131*HU69</f>
        <v>0.82500000000000007</v>
      </c>
      <c r="HV132" s="538"/>
      <c r="HW132" s="537">
        <f>HW131*HW69</f>
        <v>0.82500000000000007</v>
      </c>
      <c r="HX132" s="538"/>
      <c r="HY132" s="537">
        <f>HY131*HY69</f>
        <v>0.82500000000000007</v>
      </c>
      <c r="HZ132" s="538"/>
      <c r="IA132" s="537">
        <f>IA131*IA69</f>
        <v>0.82500000000000007</v>
      </c>
      <c r="IB132" s="538"/>
      <c r="IC132" s="537">
        <f>IC131*IC69</f>
        <v>0.82500000000000007</v>
      </c>
      <c r="ID132" s="538"/>
      <c r="IE132" s="537">
        <f>IE131*IE69</f>
        <v>0.82500000000000007</v>
      </c>
      <c r="IF132" s="538"/>
      <c r="IG132" s="537">
        <f>IG131*IG69</f>
        <v>0.82500000000000007</v>
      </c>
      <c r="IH132" s="538"/>
      <c r="II132" s="537">
        <f>II131*II69</f>
        <v>0.82500000000000007</v>
      </c>
      <c r="IJ132" s="538"/>
      <c r="IK132" s="537">
        <f>IK131*IK69</f>
        <v>0.82500000000000007</v>
      </c>
      <c r="IL132" s="538"/>
      <c r="IM132" s="537">
        <f>IM131*IM69</f>
        <v>0.82500000000000007</v>
      </c>
      <c r="IN132" s="538"/>
      <c r="IO132" s="537">
        <f>IO131*IO69</f>
        <v>0.82500000000000007</v>
      </c>
      <c r="IP132" s="538"/>
      <c r="IQ132" s="537">
        <f>IQ131*IQ69</f>
        <v>0.82500000000000007</v>
      </c>
      <c r="IR132" s="538"/>
      <c r="IS132" s="537">
        <f>IS131*IS69</f>
        <v>0.82500000000000007</v>
      </c>
      <c r="IT132" s="538"/>
      <c r="IU132" s="537">
        <f>IU131*IU69</f>
        <v>0.82500000000000007</v>
      </c>
      <c r="IV132" s="538"/>
      <c r="IW132" s="537">
        <f>IW131*IW69</f>
        <v>0.82500000000000007</v>
      </c>
      <c r="IX132" s="538"/>
      <c r="IY132" s="537">
        <f>IY131*IY69</f>
        <v>0.82500000000000007</v>
      </c>
      <c r="IZ132" s="539"/>
      <c r="JA132" s="538"/>
      <c r="JB132" s="537">
        <f>JB131*JB69</f>
        <v>0.82500000000000007</v>
      </c>
      <c r="JC132" s="538"/>
      <c r="JD132" s="537">
        <f>JD131*JD69</f>
        <v>0.82500000000000007</v>
      </c>
      <c r="JE132" s="530"/>
      <c r="JF132" s="531"/>
      <c r="JG132" s="532"/>
      <c r="JH132" s="531"/>
      <c r="JI132" s="532"/>
      <c r="JJ132" s="531"/>
      <c r="JK132" s="532"/>
      <c r="JL132" s="531"/>
      <c r="JM132" s="532">
        <f>JM131*JM69</f>
        <v>0.60000000000000009</v>
      </c>
      <c r="JN132" s="531"/>
      <c r="JO132" s="532">
        <f>JO131*JO69</f>
        <v>0.63</v>
      </c>
      <c r="JP132" s="531"/>
      <c r="JQ132" s="532">
        <f>JQ131*JQ69</f>
        <v>0.63</v>
      </c>
      <c r="JR132" s="531"/>
      <c r="JS132" s="532">
        <f>JS131*JS69</f>
        <v>0.63</v>
      </c>
      <c r="JT132" s="531"/>
      <c r="JU132" s="532">
        <f>JU131*JU69</f>
        <v>0.63</v>
      </c>
      <c r="JV132" s="531"/>
      <c r="JW132" s="532">
        <f>JW131*JW69</f>
        <v>0.63</v>
      </c>
      <c r="JX132" s="531"/>
      <c r="JY132" s="532">
        <f>JY131*JY69</f>
        <v>0.63</v>
      </c>
      <c r="JZ132" s="531"/>
      <c r="KA132" s="532">
        <f>KA131*KA69</f>
        <v>0.63</v>
      </c>
      <c r="KB132" s="531"/>
      <c r="KC132" s="532">
        <f>KC131*KC69</f>
        <v>0.63</v>
      </c>
      <c r="KD132" s="531"/>
      <c r="KE132" s="532">
        <f>KE131*KE69</f>
        <v>0.63</v>
      </c>
      <c r="KF132" s="531"/>
      <c r="KG132" s="532">
        <f>KG131*KG69</f>
        <v>0.63</v>
      </c>
      <c r="KH132" s="531"/>
      <c r="KI132" s="532">
        <f>KI131*KI69</f>
        <v>0.63</v>
      </c>
      <c r="KJ132" s="531"/>
      <c r="KK132" s="532">
        <f>KK131*KK69</f>
        <v>0.66</v>
      </c>
      <c r="KL132" s="531"/>
      <c r="KM132" s="532">
        <f>KM131*KM69</f>
        <v>0.66</v>
      </c>
      <c r="KN132" s="531"/>
      <c r="KO132" s="532">
        <f>KO131*KO69</f>
        <v>0.66</v>
      </c>
      <c r="KP132" s="531"/>
      <c r="KQ132" s="532">
        <f>KQ131*KQ69</f>
        <v>0.66</v>
      </c>
      <c r="KR132" s="531"/>
      <c r="KS132" s="532">
        <f>KS131*KS69</f>
        <v>0.66</v>
      </c>
      <c r="KT132" s="531"/>
      <c r="KU132" s="532">
        <f>KU131*KU69</f>
        <v>0.66</v>
      </c>
      <c r="KV132" s="531"/>
      <c r="KW132" s="532">
        <f>KW131*KW69</f>
        <v>0.66</v>
      </c>
      <c r="KX132" s="531"/>
      <c r="KY132" s="532">
        <f>KY131*KY69</f>
        <v>0.66</v>
      </c>
      <c r="KZ132" s="531"/>
      <c r="LA132" s="532">
        <f>LA131*LA69</f>
        <v>0.66</v>
      </c>
      <c r="LB132" s="531"/>
      <c r="LC132" s="532">
        <f>LC131*LC69</f>
        <v>0.66</v>
      </c>
      <c r="LD132" s="531"/>
      <c r="LE132" s="532">
        <f>LE131*LE69</f>
        <v>0.66</v>
      </c>
      <c r="LF132" s="531"/>
      <c r="LG132" s="532">
        <f>LG131*LG69</f>
        <v>0.66</v>
      </c>
      <c r="LH132" s="531"/>
      <c r="LI132" s="532">
        <f>LI131*LI69</f>
        <v>0.66</v>
      </c>
      <c r="LJ132" s="531"/>
      <c r="LK132" s="532">
        <f>LK131*LK69</f>
        <v>0.66</v>
      </c>
      <c r="LL132" s="531"/>
      <c r="LM132" s="532">
        <f>LM131*LM69</f>
        <v>0.66</v>
      </c>
      <c r="LN132" s="531"/>
      <c r="LO132" s="532">
        <f>LO131*LO69</f>
        <v>0.66</v>
      </c>
      <c r="LP132" s="531"/>
      <c r="LQ132" s="532">
        <f>LQ131*LQ69</f>
        <v>0.66</v>
      </c>
      <c r="LR132" s="531"/>
      <c r="LS132" s="532">
        <f>LS131*LS69</f>
        <v>0.66</v>
      </c>
      <c r="LT132" s="531"/>
      <c r="LU132" s="532">
        <f>LU131*LU69</f>
        <v>0.66</v>
      </c>
      <c r="LV132" s="531"/>
      <c r="LW132" s="532">
        <f>LW131*LW69</f>
        <v>0.66</v>
      </c>
      <c r="LX132" s="531"/>
      <c r="LY132" s="532">
        <f>LY131*LY69</f>
        <v>0.66</v>
      </c>
      <c r="LZ132" s="531"/>
      <c r="MA132" s="532">
        <f>MA131*MA69</f>
        <v>0.66</v>
      </c>
      <c r="MB132" s="531"/>
      <c r="MC132" s="532">
        <f>MC131*MC69</f>
        <v>0.66</v>
      </c>
      <c r="MD132" s="531"/>
      <c r="ME132" s="532">
        <f>ME131*ME69</f>
        <v>0.66</v>
      </c>
      <c r="MF132" s="531"/>
      <c r="MG132" s="532">
        <f>MG131*MG69</f>
        <v>0.66</v>
      </c>
      <c r="MH132" s="530"/>
      <c r="MI132" s="531"/>
      <c r="MJ132" s="532"/>
      <c r="MK132" s="531"/>
      <c r="ML132" s="532"/>
      <c r="MM132" s="531"/>
      <c r="MN132" s="532"/>
      <c r="MO132" s="531"/>
      <c r="MP132" s="537">
        <f>MP131*MP69</f>
        <v>0.27</v>
      </c>
      <c r="MQ132" s="538"/>
      <c r="MR132" s="537">
        <f>MR131*MR69</f>
        <v>0.27999999999999997</v>
      </c>
      <c r="MS132" s="538"/>
      <c r="MT132" s="537">
        <f>MT131*MT69</f>
        <v>0.27500000000000002</v>
      </c>
      <c r="MU132" s="538"/>
      <c r="MV132" s="537">
        <f>MV131*MV69</f>
        <v>0.27999999999999997</v>
      </c>
      <c r="MW132" s="538"/>
      <c r="MX132" s="537">
        <f>MX131*MX69</f>
        <v>0.315</v>
      </c>
      <c r="MY132" s="538"/>
      <c r="MZ132" s="537">
        <f>MZ131*MZ69</f>
        <v>0.315</v>
      </c>
      <c r="NA132" s="538"/>
      <c r="NB132" s="537">
        <f>NB131*NB69</f>
        <v>0.315</v>
      </c>
      <c r="NC132" s="538"/>
      <c r="ND132" s="537">
        <f>ND131*ND69</f>
        <v>0.315</v>
      </c>
      <c r="NE132" s="538"/>
      <c r="NF132" s="537">
        <f>NF131*NF69</f>
        <v>0.315</v>
      </c>
      <c r="NG132" s="538"/>
      <c r="NH132" s="537">
        <f>NH131*NH69</f>
        <v>0.315</v>
      </c>
      <c r="NI132" s="538"/>
      <c r="NJ132" s="537">
        <f>NJ131*NJ69</f>
        <v>0.315</v>
      </c>
      <c r="NK132" s="538"/>
      <c r="NL132" s="537">
        <f>NL131*NL69</f>
        <v>0.315</v>
      </c>
      <c r="NM132" s="538"/>
      <c r="NN132" s="537">
        <f>NN131*NN69</f>
        <v>0.33</v>
      </c>
      <c r="NO132" s="538"/>
      <c r="NP132" s="537">
        <f>NP131*NP69</f>
        <v>0.33</v>
      </c>
      <c r="NQ132" s="538"/>
      <c r="NR132" s="537">
        <f>NR131*NR69</f>
        <v>0.33</v>
      </c>
      <c r="NS132" s="538"/>
      <c r="NT132" s="537">
        <f>NT131*NT69</f>
        <v>0.33</v>
      </c>
      <c r="NU132" s="538"/>
      <c r="NV132" s="537">
        <f>NV131*NV69</f>
        <v>0.33</v>
      </c>
      <c r="NW132" s="538"/>
      <c r="NX132" s="537">
        <f>NX131*NX69</f>
        <v>0.33</v>
      </c>
      <c r="NY132" s="538"/>
      <c r="NZ132" s="537">
        <f>NZ131*NZ69</f>
        <v>0.33</v>
      </c>
      <c r="OA132" s="538"/>
      <c r="OB132" s="537">
        <f>OB131*OB69</f>
        <v>0.33</v>
      </c>
      <c r="OC132" s="538"/>
      <c r="OD132" s="537">
        <f>OD131*OD69</f>
        <v>0.33</v>
      </c>
      <c r="OE132" s="538"/>
      <c r="OF132" s="537">
        <f>OF131*OF69</f>
        <v>0.33</v>
      </c>
      <c r="OG132" s="538"/>
      <c r="OH132" s="537">
        <f>OH131*OH69</f>
        <v>0.33</v>
      </c>
      <c r="OI132" s="538"/>
      <c r="OJ132" s="537">
        <f>OJ131*OJ69</f>
        <v>0.33</v>
      </c>
      <c r="OK132" s="538"/>
      <c r="OL132" s="537">
        <f>OL131*OL69</f>
        <v>0.33</v>
      </c>
      <c r="OM132" s="538"/>
      <c r="ON132" s="537">
        <f>ON131*ON69</f>
        <v>0.33</v>
      </c>
      <c r="OO132" s="538"/>
      <c r="OP132" s="537">
        <f>OP131*OP69</f>
        <v>0.33</v>
      </c>
      <c r="OQ132" s="538"/>
      <c r="OR132" s="537">
        <f>OR131*OR69</f>
        <v>0.33</v>
      </c>
      <c r="OS132" s="538"/>
      <c r="OT132" s="537">
        <f>OT131*OT69</f>
        <v>0.33</v>
      </c>
      <c r="OU132" s="538"/>
      <c r="OV132" s="537">
        <f>OV131*OV69</f>
        <v>0.33</v>
      </c>
      <c r="OW132" s="538"/>
      <c r="OX132" s="537">
        <f>OX131*OX69</f>
        <v>0.33</v>
      </c>
      <c r="OY132" s="538"/>
      <c r="OZ132" s="537">
        <f>OZ131*OZ69</f>
        <v>0.33</v>
      </c>
      <c r="PA132" s="538"/>
      <c r="PB132" s="537">
        <f>PB131*PB69</f>
        <v>0.33</v>
      </c>
      <c r="PC132" s="538"/>
      <c r="PD132" s="537">
        <f>PD131*PD69</f>
        <v>0.33</v>
      </c>
      <c r="PE132" s="538"/>
      <c r="PF132" s="537">
        <f>PF131*PF69</f>
        <v>0.33</v>
      </c>
      <c r="PG132" s="538"/>
      <c r="PH132" s="537">
        <f>PH131*PH69</f>
        <v>0.33</v>
      </c>
      <c r="PI132" s="538"/>
      <c r="PJ132" s="537">
        <f>PJ131*PJ69</f>
        <v>0.33</v>
      </c>
      <c r="PK132" s="538"/>
      <c r="PL132" s="537">
        <f>PL131*PL69</f>
        <v>0.33</v>
      </c>
      <c r="PM132" s="538"/>
      <c r="PN132" s="537">
        <f>PN131*PN69</f>
        <v>0.33</v>
      </c>
      <c r="PO132" s="538"/>
      <c r="PP132" s="537">
        <f>PP131*PP69</f>
        <v>0.33</v>
      </c>
      <c r="PQ132" s="535"/>
      <c r="PR132" s="538"/>
      <c r="PS132" s="537">
        <f>PS131*PS69</f>
        <v>0.38500000000000001</v>
      </c>
      <c r="PT132" s="538"/>
      <c r="PU132" s="537">
        <f>PU131*PU69</f>
        <v>0.38500000000000001</v>
      </c>
      <c r="PV132" s="538"/>
      <c r="PW132" s="537">
        <f>PW131*PW69</f>
        <v>0.38500000000000001</v>
      </c>
      <c r="PX132" s="538"/>
      <c r="PY132" s="537">
        <f>PY131*PY69</f>
        <v>0.38500000000000001</v>
      </c>
      <c r="PZ132" s="538"/>
      <c r="QA132" s="537">
        <f>QA131*QA69</f>
        <v>0.38500000000000001</v>
      </c>
      <c r="QB132" s="538"/>
      <c r="QC132" s="537">
        <f>QC131*QC69</f>
        <v>0.38500000000000001</v>
      </c>
      <c r="QD132" s="535"/>
      <c r="QE132" s="535"/>
      <c r="QF132" s="538"/>
      <c r="QG132" s="537">
        <f>QG131*QG69</f>
        <v>0.38500000000000001</v>
      </c>
      <c r="QH132" s="538"/>
      <c r="QI132" s="537">
        <f>QI131*QI69</f>
        <v>0.38500000000000001</v>
      </c>
      <c r="QJ132" s="538"/>
      <c r="QK132" s="537">
        <f>QK131*QK69</f>
        <v>0.38500000000000001</v>
      </c>
      <c r="QL132" s="538"/>
      <c r="QM132" s="537">
        <f>QM131*QM69</f>
        <v>0.38500000000000001</v>
      </c>
      <c r="QN132" s="538"/>
      <c r="QO132" s="537">
        <f>QO131*QO69</f>
        <v>0.34500000000000003</v>
      </c>
      <c r="QP132" s="538"/>
      <c r="QQ132" s="537">
        <f>QQ131*QQ69</f>
        <v>0.34500000000000003</v>
      </c>
    </row>
    <row r="133" spans="1:459" x14ac:dyDescent="0.45">
      <c r="A133" s="871"/>
      <c r="B133" s="536" t="s">
        <v>428</v>
      </c>
      <c r="C133" s="528"/>
      <c r="D133" s="529"/>
      <c r="E133" s="530"/>
      <c r="F133" s="531"/>
      <c r="G133" s="532"/>
      <c r="H133" s="531"/>
      <c r="I133" s="532"/>
      <c r="J133" s="531"/>
      <c r="K133" s="532"/>
      <c r="L133" s="531"/>
      <c r="M133" s="532"/>
      <c r="N133" s="531"/>
      <c r="O133" s="532"/>
      <c r="P133" s="531"/>
      <c r="Q133" s="532"/>
      <c r="R133" s="531"/>
      <c r="S133" s="537">
        <f>S128-S132</f>
        <v>-0.88135416666666666</v>
      </c>
      <c r="T133" s="538"/>
      <c r="U133" s="537">
        <f>U128-U132</f>
        <v>-0.67</v>
      </c>
      <c r="V133" s="538"/>
      <c r="W133" s="537">
        <f>W128-W132</f>
        <v>-0.67</v>
      </c>
      <c r="X133" s="538"/>
      <c r="Y133" s="537">
        <f>Y128-Y132</f>
        <v>-0.63630208333333338</v>
      </c>
      <c r="Z133" s="538"/>
      <c r="AA133" s="537">
        <f>AA128-AA132</f>
        <v>-0.67500000000000004</v>
      </c>
      <c r="AB133" s="538"/>
      <c r="AC133" s="537">
        <f>AC128-AC132</f>
        <v>-0.26599288668178284</v>
      </c>
      <c r="AD133" s="538"/>
      <c r="AE133" s="537">
        <f>AE128-AE132</f>
        <v>-0.14029633620689763</v>
      </c>
      <c r="AF133" s="538"/>
      <c r="AG133" s="537">
        <f>AG128-AG132</f>
        <v>1.1682280704704775</v>
      </c>
      <c r="AH133" s="538"/>
      <c r="AI133" s="537">
        <f>AI128-AI132</f>
        <v>1.0576054267473112</v>
      </c>
      <c r="AJ133" s="538"/>
      <c r="AK133" s="537">
        <f>AK128-AK132</f>
        <v>1.3116171959676128</v>
      </c>
      <c r="AL133" s="538"/>
      <c r="AM133" s="537">
        <f>AM128-AM132</f>
        <v>1.1805099656575107</v>
      </c>
      <c r="AN133" s="538"/>
      <c r="AO133" s="537">
        <f>AO128-AO132</f>
        <v>1.0594046045385737</v>
      </c>
      <c r="AP133" s="538"/>
      <c r="AQ133" s="537">
        <f>AQ128-AQ132</f>
        <v>0.86053871568048312</v>
      </c>
      <c r="AR133" s="538"/>
      <c r="AS133" s="537">
        <f>AS128-AS132</f>
        <v>0.65885948416722862</v>
      </c>
      <c r="AT133" s="538"/>
      <c r="AU133" s="537">
        <f>AU128-AU132</f>
        <v>0.62885948416722892</v>
      </c>
      <c r="AV133" s="538"/>
      <c r="AW133" s="537">
        <f>AW128-AW132</f>
        <v>0.96122318534531848</v>
      </c>
      <c r="AX133" s="538"/>
      <c r="AY133" s="537">
        <f>AY128-AY132</f>
        <v>1.2704867576749601</v>
      </c>
      <c r="AZ133" s="538"/>
      <c r="BA133" s="537">
        <f>BA128-BA132</f>
        <v>1.3475881329354764</v>
      </c>
      <c r="BB133" s="538"/>
      <c r="BC133" s="537">
        <f>BC128-BC132</f>
        <v>1.3335004651618458</v>
      </c>
      <c r="BD133" s="538"/>
      <c r="BE133" s="537">
        <f>BE128-BE132</f>
        <v>1.2939853938750536</v>
      </c>
      <c r="BF133" s="538"/>
      <c r="BG133" s="537">
        <f>BG128-BG132</f>
        <v>1.5287553739752178</v>
      </c>
      <c r="BH133" s="538"/>
      <c r="BI133" s="537">
        <f>BI128-BI132</f>
        <v>1.7362144729460312</v>
      </c>
      <c r="BJ133" s="538"/>
      <c r="BK133" s="537">
        <f>BK128-BK132</f>
        <v>1.7235860717494429</v>
      </c>
      <c r="BL133" s="538"/>
      <c r="BM133" s="537">
        <f>BM128-BM132</f>
        <v>1.2943907592778854</v>
      </c>
      <c r="BN133" s="538"/>
      <c r="BO133" s="537">
        <f>BO128-BO132</f>
        <v>1.3504151868391685</v>
      </c>
      <c r="BP133" s="538"/>
      <c r="BQ133" s="537">
        <f>BQ128-BQ132</f>
        <v>1.2134760108457248</v>
      </c>
      <c r="BR133" s="538"/>
      <c r="BS133" s="537">
        <f>BS128-BS132</f>
        <v>1.5680667109948438</v>
      </c>
      <c r="BT133" s="538"/>
      <c r="BU133" s="537">
        <f>BU128-BU132</f>
        <v>1.375210591522968</v>
      </c>
      <c r="BV133" s="538"/>
      <c r="BW133" s="537">
        <f>BW128-BW132</f>
        <v>1.3519084458393018</v>
      </c>
      <c r="BX133" s="538"/>
      <c r="BY133" s="537">
        <f>BY128-BY132</f>
        <v>1.6054274510466739</v>
      </c>
      <c r="BZ133" s="538"/>
      <c r="CA133" s="537">
        <f>CA128-CA132</f>
        <v>1.2254159581437718</v>
      </c>
      <c r="CB133" s="538"/>
      <c r="CC133" s="537">
        <f>CC128-CC132</f>
        <v>1.7088361686175664</v>
      </c>
      <c r="CD133" s="538"/>
      <c r="CE133" s="537">
        <f>CE128-CE132</f>
        <v>1.580160888203864</v>
      </c>
      <c r="CF133" s="538"/>
      <c r="CG133" s="537">
        <f>CG128-CG132</f>
        <v>1.1775919779865762</v>
      </c>
      <c r="CH133" s="538"/>
      <c r="CI133" s="537">
        <f>CI128-CI132</f>
        <v>1.254248641235161</v>
      </c>
      <c r="CJ133" s="538"/>
      <c r="CK133" s="537">
        <f>CK128-CK132</f>
        <v>1.319814102528778</v>
      </c>
      <c r="CL133" s="538"/>
      <c r="CM133" s="537">
        <f>CM128-CM132</f>
        <v>1.3946043111199931</v>
      </c>
      <c r="CN133" s="538"/>
      <c r="CO133" s="537">
        <f>CO128-CO132</f>
        <v>0.24060892675078827</v>
      </c>
      <c r="CP133" s="538"/>
      <c r="CQ133" s="537">
        <f>CQ128-CQ132</f>
        <v>0.51798843581829679</v>
      </c>
      <c r="CR133" s="538"/>
      <c r="CS133" s="537">
        <f>CS128-CS132</f>
        <v>0.78632176915163032</v>
      </c>
      <c r="CT133" s="533"/>
      <c r="CU133" s="531"/>
      <c r="CV133" s="532"/>
      <c r="CW133" s="531"/>
      <c r="CX133" s="540">
        <f>CX128-CX132</f>
        <v>0.51344824360411012</v>
      </c>
      <c r="CY133" s="531"/>
      <c r="CZ133" s="540">
        <f>CZ128-CZ132</f>
        <v>0.80844824360410905</v>
      </c>
      <c r="DA133" s="531"/>
      <c r="DB133" s="537">
        <f>DB128-DB132</f>
        <v>-1.1361489145074462</v>
      </c>
      <c r="DC133" s="531"/>
      <c r="DD133" s="537">
        <f>DD128-DD132</f>
        <v>-0.43573653265533241</v>
      </c>
      <c r="DE133" s="531"/>
      <c r="DF133" s="537">
        <f>DF128-DF132</f>
        <v>1.5449860374553213</v>
      </c>
      <c r="DG133" s="531"/>
      <c r="DH133" s="537">
        <f>DH128-DH132</f>
        <v>1.0676390934767617</v>
      </c>
      <c r="DI133" s="531"/>
      <c r="DJ133" s="537">
        <f>DJ128-DJ132</f>
        <v>1.8353971355319922</v>
      </c>
      <c r="DK133" s="531"/>
      <c r="DL133" s="537">
        <f>DL128-DL132</f>
        <v>1.4626371144911143</v>
      </c>
      <c r="DM133" s="531"/>
      <c r="DN133" s="537">
        <f>DN128-DN132</f>
        <v>1.496321902757396</v>
      </c>
      <c r="DO133" s="531"/>
      <c r="DP133" s="537">
        <f>DP128-DP132</f>
        <v>1.4971794529800952</v>
      </c>
      <c r="DQ133" s="531"/>
      <c r="DR133" s="537">
        <f>DR128-DR132</f>
        <v>0.81232841685566903</v>
      </c>
      <c r="DS133" s="531"/>
      <c r="DT133" s="537">
        <f>DT128-DT132</f>
        <v>0.7573284168556691</v>
      </c>
      <c r="DU133" s="531"/>
      <c r="DV133" s="537">
        <f>DV128-DV132</f>
        <v>1.2902085895899098</v>
      </c>
      <c r="DW133" s="531"/>
      <c r="DX133" s="537">
        <f>DX128-DX132</f>
        <v>1.436674444678691</v>
      </c>
      <c r="DY133" s="531"/>
      <c r="DZ133" s="537">
        <f>DZ128-DZ132</f>
        <v>1.7156077593925103</v>
      </c>
      <c r="EA133" s="531"/>
      <c r="EB133" s="537">
        <f>EB128-EB132</f>
        <v>1.5005983288694529</v>
      </c>
      <c r="EC133" s="531"/>
      <c r="ED133" s="537">
        <f>ED128-ED132</f>
        <v>1.7007036196758969</v>
      </c>
      <c r="EE133" s="531"/>
      <c r="EF133" s="537">
        <f>EF128-EF132</f>
        <v>1.8794144712167313</v>
      </c>
      <c r="EG133" s="531"/>
      <c r="EH133" s="537">
        <f>EH128-EH132</f>
        <v>1.8296493538484178</v>
      </c>
      <c r="EI133" s="531"/>
      <c r="EJ133" s="537">
        <f>EJ128-EJ132</f>
        <v>1.7145609878207086</v>
      </c>
      <c r="EK133" s="531"/>
      <c r="EL133" s="537">
        <f>EL128-EL132</f>
        <v>2.086332795764835</v>
      </c>
      <c r="EM133" s="531"/>
      <c r="EN133" s="537">
        <f>EN128-EN132</f>
        <v>2.7641444719611306</v>
      </c>
      <c r="EO133" s="531"/>
      <c r="EP133" s="537">
        <f>EP128-EP132</f>
        <v>2.0696920176384044</v>
      </c>
      <c r="EQ133" s="531"/>
      <c r="ER133" s="537">
        <f>ER128-ER132</f>
        <v>2.7521728665754939</v>
      </c>
      <c r="ES133" s="531"/>
      <c r="ET133" s="537">
        <f>ET128-ET132</f>
        <v>2.5045127416230066</v>
      </c>
      <c r="EU133" s="531"/>
      <c r="EV133" s="537">
        <f>EV128-EV132</f>
        <v>2.5991019634957357</v>
      </c>
      <c r="EW133" s="531"/>
      <c r="EX133" s="537">
        <f>EX128-EX132</f>
        <v>2.6876809230111762</v>
      </c>
      <c r="EY133" s="531"/>
      <c r="EZ133" s="537">
        <f>EZ128-EZ132</f>
        <v>2.1098463050750942</v>
      </c>
      <c r="FA133" s="531"/>
      <c r="FB133" s="537">
        <f>FB128-FB132</f>
        <v>2.071247719280108</v>
      </c>
      <c r="FC133" s="531"/>
      <c r="FD133" s="537">
        <f>FD128-FD132</f>
        <v>2.2887640036350323</v>
      </c>
      <c r="FE133" s="531"/>
      <c r="FF133" s="537">
        <f>FF128-FF132</f>
        <v>2.990794968447303</v>
      </c>
      <c r="FG133" s="531"/>
      <c r="FH133" s="537">
        <f>FH128-FH132</f>
        <v>2.7025943653119935</v>
      </c>
      <c r="FI133" s="531"/>
      <c r="FJ133" s="537">
        <f>FJ128-FJ132</f>
        <v>2.5640422660979842</v>
      </c>
      <c r="FK133" s="531"/>
      <c r="FL133" s="537">
        <f>FL128-FL132</f>
        <v>2.5424479385779453</v>
      </c>
      <c r="FM133" s="531"/>
      <c r="FN133" s="537">
        <f>FN128-FN132</f>
        <v>2.4950305240568413</v>
      </c>
      <c r="FO133" s="531"/>
      <c r="FP133" s="537">
        <f>FP128-FP132</f>
        <v>2.1007026297289473</v>
      </c>
      <c r="FQ133" s="534"/>
      <c r="FR133" s="531"/>
      <c r="FS133" s="532"/>
      <c r="FT133" s="531"/>
      <c r="FU133" s="532"/>
      <c r="FV133" s="531"/>
      <c r="FW133" s="532"/>
      <c r="FX133" s="531"/>
      <c r="FY133" s="537">
        <f>FY128-FY132</f>
        <v>-0.88135416666666666</v>
      </c>
      <c r="FZ133" s="538"/>
      <c r="GA133" s="537">
        <f>GA128-GA132</f>
        <v>-0.67</v>
      </c>
      <c r="GB133" s="538"/>
      <c r="GC133" s="537">
        <f>GC128-GC132</f>
        <v>-0.67</v>
      </c>
      <c r="GD133" s="538"/>
      <c r="GE133" s="537">
        <f>GE128-GE132</f>
        <v>-0.63630208333333338</v>
      </c>
      <c r="GF133" s="538"/>
      <c r="GG133" s="537">
        <f>GG128-GG132</f>
        <v>-0.67500000000000004</v>
      </c>
      <c r="GH133" s="538"/>
      <c r="GI133" s="537">
        <f>GI128-GI132</f>
        <v>-0.5541047747936716</v>
      </c>
      <c r="GJ133" s="538"/>
      <c r="GK133" s="537">
        <f>GK128-GK132</f>
        <v>-0.49581357758620753</v>
      </c>
      <c r="GL133" s="538"/>
      <c r="GM133" s="537">
        <f>GM128-GM132</f>
        <v>0.87727779434139253</v>
      </c>
      <c r="GN133" s="538"/>
      <c r="GO133" s="537">
        <f>GO128-GO132</f>
        <v>0.73932963709677435</v>
      </c>
      <c r="GP133" s="538"/>
      <c r="GQ133" s="537">
        <f>GQ128-GQ132</f>
        <v>1.0201817036575154</v>
      </c>
      <c r="GR133" s="538"/>
      <c r="GS133" s="537">
        <f>GS128-GS132</f>
        <v>0.87053582877671976</v>
      </c>
      <c r="GT133" s="538"/>
      <c r="GU133" s="537">
        <f>GU128-GU132</f>
        <v>0.92016179093899009</v>
      </c>
      <c r="GV133" s="538"/>
      <c r="GW133" s="537">
        <f>GW128-GW132</f>
        <v>3.9528271256955794E-2</v>
      </c>
      <c r="GX133" s="538"/>
      <c r="GY133" s="537">
        <f>GY128-GY132</f>
        <v>0.20134877873563228</v>
      </c>
      <c r="GZ133" s="538"/>
      <c r="HA133" s="537">
        <f>HA128-HA132</f>
        <v>0.16634877873563247</v>
      </c>
      <c r="HB133" s="538"/>
      <c r="HC133" s="537">
        <f>HC128-HC132</f>
        <v>0.2296974859195352</v>
      </c>
      <c r="HD133" s="538"/>
      <c r="HE133" s="537">
        <f>HE128-HE132</f>
        <v>0.99276218563814422</v>
      </c>
      <c r="HF133" s="538"/>
      <c r="HG133" s="537">
        <f>HG128-HG132</f>
        <v>0.93486308955953035</v>
      </c>
      <c r="HH133" s="538"/>
      <c r="HI133" s="537">
        <f>HI128-HI132</f>
        <v>0.99082997039189646</v>
      </c>
      <c r="HJ133" s="538"/>
      <c r="HK133" s="537">
        <f>HK128-HK132</f>
        <v>1.0077815905682947</v>
      </c>
      <c r="HL133" s="538"/>
      <c r="HM133" s="537">
        <f>HM128-HM132</f>
        <v>1.2066965133807468</v>
      </c>
      <c r="HN133" s="538"/>
      <c r="HO133" s="537">
        <f>HO128-HO132</f>
        <v>1.179554782237592</v>
      </c>
      <c r="HP133" s="538"/>
      <c r="HQ133" s="537">
        <f>HQ128-HQ132</f>
        <v>1.0867727756830221</v>
      </c>
      <c r="HR133" s="538"/>
      <c r="HS133" s="537">
        <f>HS128-HS132</f>
        <v>1.1798131878245184</v>
      </c>
      <c r="HT133" s="538"/>
      <c r="HU133" s="537">
        <f>HU128-HU132</f>
        <v>1.4117040763539461</v>
      </c>
      <c r="HV133" s="538"/>
      <c r="HW133" s="537">
        <f>HW128-HW132</f>
        <v>1.2299097384132933</v>
      </c>
      <c r="HX133" s="538"/>
      <c r="HY133" s="537">
        <f>HY128-HY132</f>
        <v>0.57079641280998217</v>
      </c>
      <c r="HZ133" s="538"/>
      <c r="IA133" s="537">
        <f>IA128-IA132</f>
        <v>0.44073553445597591</v>
      </c>
      <c r="IB133" s="538"/>
      <c r="IC133" s="537">
        <f>IC128-IC132</f>
        <v>1.4345980619816783</v>
      </c>
      <c r="ID133" s="538"/>
      <c r="IE133" s="537">
        <f>IE128-IE132</f>
        <v>1.5275395986857072</v>
      </c>
      <c r="IF133" s="538"/>
      <c r="IG133" s="537">
        <f>IG128-IG132</f>
        <v>1.2480913786608183</v>
      </c>
      <c r="IH133" s="538"/>
      <c r="II133" s="537">
        <f>II128-II132</f>
        <v>1.3390583305655706</v>
      </c>
      <c r="IJ133" s="538"/>
      <c r="IK133" s="537">
        <f>IK128-IK132</f>
        <v>1.1758091187643811</v>
      </c>
      <c r="IL133" s="538"/>
      <c r="IM133" s="537">
        <f>IM128-IM132</f>
        <v>1.2670456228934723</v>
      </c>
      <c r="IN133" s="538"/>
      <c r="IO133" s="537">
        <f>IO128-IO132</f>
        <v>1.3548020844320705</v>
      </c>
      <c r="IP133" s="538"/>
      <c r="IQ133" s="537">
        <f>IQ128-IQ132</f>
        <v>1.4298613504950239</v>
      </c>
      <c r="IR133" s="538"/>
      <c r="IS133" s="537">
        <f>IS128-IS132</f>
        <v>1.3656408780410692</v>
      </c>
      <c r="IT133" s="538"/>
      <c r="IU133" s="537">
        <f>IU128-IU132</f>
        <v>1.2160993817994363</v>
      </c>
      <c r="IV133" s="538"/>
      <c r="IW133" s="537">
        <f>IW128-IW132</f>
        <v>0.31002648656700338</v>
      </c>
      <c r="IX133" s="538"/>
      <c r="IY133" s="537">
        <f>IY128-IY132</f>
        <v>0.53550046976499022</v>
      </c>
      <c r="IZ133" s="539"/>
      <c r="JA133" s="538"/>
      <c r="JB133" s="537">
        <f>JB128-JB132</f>
        <v>1.1276116752883758E-2</v>
      </c>
      <c r="JC133" s="538"/>
      <c r="JD133" s="537">
        <f>JD128-JD132</f>
        <v>0.4353507383966243</v>
      </c>
      <c r="JE133" s="530"/>
      <c r="JF133" s="531"/>
      <c r="JG133" s="532"/>
      <c r="JH133" s="531"/>
      <c r="JI133" s="532"/>
      <c r="JJ133" s="531"/>
      <c r="JK133" s="532"/>
      <c r="JL133" s="531"/>
      <c r="JM133" s="532">
        <f>JM128-JM132</f>
        <v>-0.77857142857142869</v>
      </c>
      <c r="JN133" s="531"/>
      <c r="JO133" s="532">
        <f>JO128-JO132</f>
        <v>-0.63</v>
      </c>
      <c r="JP133" s="531"/>
      <c r="JQ133" s="532">
        <f>JQ128-JQ132</f>
        <v>-0.63</v>
      </c>
      <c r="JR133" s="531"/>
      <c r="JS133" s="532">
        <f>JS128-JS132</f>
        <v>-0.55060660460374178</v>
      </c>
      <c r="JT133" s="531"/>
      <c r="JU133" s="532">
        <f>JU128-JU132</f>
        <v>-0.29588669950738899</v>
      </c>
      <c r="JV133" s="531"/>
      <c r="JW133" s="532">
        <f>JW128-JW132</f>
        <v>0.64018477309276645</v>
      </c>
      <c r="JX133" s="531"/>
      <c r="JY133" s="532">
        <f>JY128-JY132</f>
        <v>0.28537494763301174</v>
      </c>
      <c r="JZ133" s="531"/>
      <c r="KA133" s="532">
        <f>KA128-KA132</f>
        <v>0.65246758216500156</v>
      </c>
      <c r="KB133" s="531"/>
      <c r="KC133" s="532">
        <f>KC128-KC132</f>
        <v>0.57266744188817709</v>
      </c>
      <c r="KD133" s="531"/>
      <c r="KE133" s="532">
        <f>KE128-KE132</f>
        <v>0.60381636628169566</v>
      </c>
      <c r="KF133" s="531"/>
      <c r="KG133" s="532">
        <f>KG128-KG132</f>
        <v>9.0651750913056439E-2</v>
      </c>
      <c r="KH133" s="531"/>
      <c r="KI133" s="532">
        <f>KI128-KI132</f>
        <v>0.12569189431258365</v>
      </c>
      <c r="KJ133" s="531"/>
      <c r="KK133" s="532">
        <f>KK128-KK132</f>
        <v>9.5691894312583625E-2</v>
      </c>
      <c r="KL133" s="531"/>
      <c r="KM133" s="532">
        <f>KM128-KM132</f>
        <v>0.24831971400435893</v>
      </c>
      <c r="KN133" s="531"/>
      <c r="KO133" s="532">
        <f>KO128-KO132</f>
        <v>0.54828843686231854</v>
      </c>
      <c r="KP133" s="531"/>
      <c r="KQ133" s="532">
        <f>KQ128-KQ132</f>
        <v>0.36602099799687393</v>
      </c>
      <c r="KR133" s="531"/>
      <c r="KS133" s="532">
        <f>KS128-KS132</f>
        <v>0.58798389255800265</v>
      </c>
      <c r="KT133" s="531"/>
      <c r="KU133" s="532">
        <f>KU128-KU132</f>
        <v>0.56020719630367377</v>
      </c>
      <c r="KV133" s="531"/>
      <c r="KW133" s="532">
        <f>KW128-KW132</f>
        <v>0.73173653183019793</v>
      </c>
      <c r="KX133" s="531"/>
      <c r="KY133" s="532">
        <f>KY128-KY132</f>
        <v>0.87860429282018171</v>
      </c>
      <c r="KZ133" s="531"/>
      <c r="LA133" s="532">
        <f>LA128-LA132</f>
        <v>0.96022768586382623</v>
      </c>
      <c r="LB133" s="531"/>
      <c r="LC133" s="532">
        <f>LC128-LC132</f>
        <v>0.37276943710695531</v>
      </c>
      <c r="LD133" s="531"/>
      <c r="LE133" s="532">
        <f>LE128-LE132</f>
        <v>0.48211866726425556</v>
      </c>
      <c r="LF133" s="531"/>
      <c r="LG133" s="532">
        <f>LG128-LG132</f>
        <v>1.9894377025639121E-2</v>
      </c>
      <c r="LH133" s="531"/>
      <c r="LI133" s="532">
        <f>LI128-LI132</f>
        <v>0.63201610786956641</v>
      </c>
      <c r="LJ133" s="531"/>
      <c r="LK133" s="532">
        <f>LK128-LK132</f>
        <v>0.33246432760217093</v>
      </c>
      <c r="LL133" s="531"/>
      <c r="LM133" s="532">
        <f>LM128-LM132</f>
        <v>0.65064720017970956</v>
      </c>
      <c r="LN133" s="531"/>
      <c r="LO133" s="532">
        <f>LO128-LO132</f>
        <v>0.74120934313043485</v>
      </c>
      <c r="LP133" s="531"/>
      <c r="LQ133" s="532">
        <f>LQ128-LQ132</f>
        <v>0.36181175742892202</v>
      </c>
      <c r="LR133" s="531"/>
      <c r="LS133" s="532">
        <f>LS128-LS132</f>
        <v>0.39352214053569734</v>
      </c>
      <c r="LT133" s="531"/>
      <c r="LU133" s="532">
        <f>LU128-LU132</f>
        <v>0.25129303478691078</v>
      </c>
      <c r="LV133" s="531"/>
      <c r="LW133" s="532">
        <f>LW128-LW132</f>
        <v>0.32854475916241721</v>
      </c>
      <c r="LX133" s="531"/>
      <c r="LY133" s="532">
        <f>LY128-LY132</f>
        <v>0.40503691886026305</v>
      </c>
      <c r="LZ133" s="531"/>
      <c r="MA133" s="532">
        <f>MA128-MA132</f>
        <v>0.47046167808400685</v>
      </c>
      <c r="MB133" s="531"/>
      <c r="MC133" s="532">
        <f>MC128-MC132</f>
        <v>0.4246242506861112</v>
      </c>
      <c r="MD133" s="531"/>
      <c r="ME133" s="532">
        <f>ME128-ME132</f>
        <v>0.72958300888291305</v>
      </c>
      <c r="MF133" s="531"/>
      <c r="MG133" s="532">
        <f>MG128-MG132</f>
        <v>-0.37069023569023596</v>
      </c>
      <c r="MH133" s="530"/>
      <c r="MI133" s="531"/>
      <c r="MJ133" s="532"/>
      <c r="MK133" s="531"/>
      <c r="ML133" s="532"/>
      <c r="MM133" s="531"/>
      <c r="MN133" s="532"/>
      <c r="MO133" s="531"/>
      <c r="MP133" s="537">
        <f>MP128-MP132</f>
        <v>-0.44031916909992408</v>
      </c>
      <c r="MQ133" s="538"/>
      <c r="MR133" s="537">
        <f>MR128-MR132</f>
        <v>0.11428948427878211</v>
      </c>
      <c r="MS133" s="538"/>
      <c r="MT133" s="537">
        <f>MT128-MT132</f>
        <v>4.8402581058459071E-2</v>
      </c>
      <c r="MU133" s="538"/>
      <c r="MV133" s="537">
        <f>MV128-MV132</f>
        <v>-0.71696947847581904</v>
      </c>
      <c r="MW133" s="538"/>
      <c r="MX133" s="537">
        <f>MX128-MX132</f>
        <v>0.11019638576433638</v>
      </c>
      <c r="MY133" s="538"/>
      <c r="MZ133" s="537">
        <f>MZ128-MZ132</f>
        <v>1.1058250707997792</v>
      </c>
      <c r="NA133" s="538"/>
      <c r="NB133" s="537">
        <f>NB128-NB132</f>
        <v>0.86280387974971395</v>
      </c>
      <c r="NC133" s="538"/>
      <c r="ND133" s="537">
        <f>ND128-ND132</f>
        <v>1.1315883196740057</v>
      </c>
      <c r="NE133" s="538"/>
      <c r="NF133" s="537">
        <f>NF128-NF132</f>
        <v>1.1568707419222761</v>
      </c>
      <c r="NG133" s="538"/>
      <c r="NH133" s="537">
        <f>NH128-NH132</f>
        <v>1.1443968399028379</v>
      </c>
      <c r="NI133" s="538"/>
      <c r="NJ133" s="537">
        <f>NJ128-NJ132</f>
        <v>0.74960636249739765</v>
      </c>
      <c r="NK133" s="538"/>
      <c r="NL133" s="537">
        <f>NL128-NL132</f>
        <v>0.65239744857760718</v>
      </c>
      <c r="NM133" s="538"/>
      <c r="NN133" s="537">
        <f>NN128-NN132</f>
        <v>0.63739744857760705</v>
      </c>
      <c r="NO133" s="538"/>
      <c r="NP133" s="537">
        <f>NP128-NP132</f>
        <v>0.88490338404128632</v>
      </c>
      <c r="NQ133" s="538"/>
      <c r="NR133" s="537">
        <f>NR128-NR132</f>
        <v>1.1841463117458517</v>
      </c>
      <c r="NS133" s="538"/>
      <c r="NT133" s="537">
        <f>NT128-NT132</f>
        <v>1.2510331970343576</v>
      </c>
      <c r="NU133" s="538"/>
      <c r="NV133" s="537">
        <f>NV128-NV132</f>
        <v>0.67377225433071142</v>
      </c>
      <c r="NW133" s="538"/>
      <c r="NX133" s="537">
        <f>NX128-NX132</f>
        <v>1.1624083420201969</v>
      </c>
      <c r="NY133" s="538"/>
      <c r="NZ133" s="537">
        <f>NZ128-NZ132</f>
        <v>0.97426208036197059</v>
      </c>
      <c r="OA133" s="538"/>
      <c r="OB133" s="537">
        <f>OB128-OB132</f>
        <v>1.395731544675654</v>
      </c>
      <c r="OC133" s="538"/>
      <c r="OD133" s="537">
        <f>OD128-OD132</f>
        <v>1.3978369132680684</v>
      </c>
      <c r="OE133" s="538"/>
      <c r="OF133" s="537">
        <f>OF128-OF132</f>
        <v>1.089099853333656</v>
      </c>
      <c r="OG133" s="538"/>
      <c r="OH133" s="537">
        <f>OH128-OH132</f>
        <v>1.1450399360105565</v>
      </c>
      <c r="OI133" s="538"/>
      <c r="OJ133" s="537">
        <f>OJ128-OJ132</f>
        <v>0.96171071015959453</v>
      </c>
      <c r="OK133" s="538"/>
      <c r="OL133" s="537">
        <f>OL128-OL132</f>
        <v>1.1713692329372674</v>
      </c>
      <c r="OM133" s="538"/>
      <c r="ON133" s="537">
        <f>ON128-ON132</f>
        <v>0.94738917461937855</v>
      </c>
      <c r="OO133" s="538"/>
      <c r="OP133" s="537">
        <f>OP128-OP132</f>
        <v>1.0930543143303979</v>
      </c>
      <c r="OQ133" s="538"/>
      <c r="OR133" s="537">
        <f>OR128-OR132</f>
        <v>1.1166145105345804</v>
      </c>
      <c r="OS133" s="538"/>
      <c r="OT133" s="537">
        <f>OT128-OT132</f>
        <v>0.80963491111940655</v>
      </c>
      <c r="OU133" s="538"/>
      <c r="OV133" s="537">
        <f>OV128-OV132</f>
        <v>0.4651332791077894</v>
      </c>
      <c r="OW133" s="538"/>
      <c r="OX133" s="537">
        <f>OX128-OX132</f>
        <v>0.32437285141941868</v>
      </c>
      <c r="OY133" s="538"/>
      <c r="OZ133" s="537">
        <f>OZ128-OZ132</f>
        <v>0.40082686345522883</v>
      </c>
      <c r="PA133" s="538"/>
      <c r="PB133" s="537">
        <f>PB128-PB132</f>
        <v>0.4765291541867292</v>
      </c>
      <c r="PC133" s="538"/>
      <c r="PD133" s="537">
        <f>PD128-PD132</f>
        <v>0.54127832800216891</v>
      </c>
      <c r="PE133" s="538"/>
      <c r="PF133" s="537">
        <f>PF128-PF132</f>
        <v>0.79046584733142677</v>
      </c>
      <c r="PG133" s="538"/>
      <c r="PH133" s="537">
        <f>PH128-PH132</f>
        <v>1.1696853885906142</v>
      </c>
      <c r="PI133" s="538"/>
      <c r="PJ133" s="537">
        <f>PJ128-PJ132</f>
        <v>1.2591926053184277</v>
      </c>
      <c r="PK133" s="538"/>
      <c r="PL133" s="537">
        <f>PL128-PL132</f>
        <v>1.1940534567458994</v>
      </c>
      <c r="PM133" s="538"/>
      <c r="PN133" s="537">
        <f>PN128-PN132</f>
        <v>0.65736098357310446</v>
      </c>
      <c r="PO133" s="538"/>
      <c r="PP133" s="537">
        <f>PP128-PP132</f>
        <v>-0.40479263820618583</v>
      </c>
      <c r="PQ133" s="535"/>
      <c r="PR133" s="538"/>
      <c r="PS133" s="537">
        <f>PS128-PS132</f>
        <v>2.0858541169436995</v>
      </c>
      <c r="PT133" s="538"/>
      <c r="PU133" s="537">
        <f>PU128-PU132</f>
        <v>2.3793784589186897</v>
      </c>
      <c r="PV133" s="538"/>
      <c r="PW133" s="537">
        <f>PW128-PW132</f>
        <v>1.285854116943699</v>
      </c>
      <c r="PX133" s="538"/>
      <c r="PY133" s="537">
        <f>PY128-PY132</f>
        <v>1.5793784589186892</v>
      </c>
      <c r="PZ133" s="538"/>
      <c r="QA133" s="537">
        <f>QA128-QA132</f>
        <v>-0.25708563762898634</v>
      </c>
      <c r="QB133" s="538"/>
      <c r="QC133" s="537">
        <f>QC128-QC132</f>
        <v>4.0107758620690326E-2</v>
      </c>
      <c r="QD133" s="535"/>
      <c r="QE133" s="535"/>
      <c r="QF133" s="538"/>
      <c r="QG133" s="537">
        <f>QG128-QG132</f>
        <v>2.2830821626223932</v>
      </c>
      <c r="QH133" s="538"/>
      <c r="QI133" s="537">
        <f>QI128-QI132</f>
        <v>2.5546871008939975</v>
      </c>
      <c r="QJ133" s="538"/>
      <c r="QK133" s="537">
        <f>QK128-QK132</f>
        <v>1.4830821626223929</v>
      </c>
      <c r="QL133" s="538"/>
      <c r="QM133" s="537">
        <f>QM128-QM132</f>
        <v>1.7546871008939975</v>
      </c>
      <c r="QN133" s="538"/>
      <c r="QO133" s="537">
        <f>QO128-QO132</f>
        <v>1.5230821626223923</v>
      </c>
      <c r="QP133" s="538"/>
      <c r="QQ133" s="537">
        <f>QQ128-QQ132</f>
        <v>1.7946871008939971</v>
      </c>
    </row>
    <row r="134" spans="1:459" x14ac:dyDescent="0.45">
      <c r="A134" s="871"/>
      <c r="B134" s="527" t="s">
        <v>429</v>
      </c>
      <c r="C134" s="528"/>
      <c r="D134" s="529"/>
      <c r="E134" s="530"/>
      <c r="F134" s="531"/>
      <c r="G134" s="532"/>
      <c r="H134" s="531"/>
      <c r="I134" s="532"/>
      <c r="J134" s="531"/>
      <c r="K134" s="532"/>
      <c r="L134" s="531"/>
      <c r="M134" s="532"/>
      <c r="N134" s="531"/>
      <c r="O134" s="532"/>
      <c r="P134" s="531"/>
      <c r="Q134" s="532"/>
      <c r="R134" s="531"/>
      <c r="S134" s="532">
        <f>S133/S69</f>
        <v>-0.13353851010101012</v>
      </c>
      <c r="T134" s="531"/>
      <c r="U134" s="532">
        <f>U133/U69</f>
        <v>-0.1</v>
      </c>
      <c r="V134" s="531"/>
      <c r="W134" s="532">
        <f>W133/W69</f>
        <v>-0.1</v>
      </c>
      <c r="X134" s="531"/>
      <c r="Y134" s="532">
        <f>Y133/Y69</f>
        <v>-9.640940656565658E-2</v>
      </c>
      <c r="Z134" s="531"/>
      <c r="AA134" s="532">
        <f>AA133/AA69</f>
        <v>-0.1</v>
      </c>
      <c r="AB134" s="531"/>
      <c r="AC134" s="532">
        <f>AC133/AC69</f>
        <v>-3.9406353582486349E-2</v>
      </c>
      <c r="AD134" s="531"/>
      <c r="AE134" s="532">
        <f>AE133/AE69</f>
        <v>-1.990018953289328E-2</v>
      </c>
      <c r="AF134" s="531"/>
      <c r="AG134" s="532">
        <f>AG133/AG69</f>
        <v>0.16570610928659255</v>
      </c>
      <c r="AH134" s="531"/>
      <c r="AI134" s="532">
        <f>AI133/AI69</f>
        <v>0.15001495414855479</v>
      </c>
      <c r="AJ134" s="531"/>
      <c r="AK134" s="532">
        <f>AK133/AK69</f>
        <v>0.1860449923358316</v>
      </c>
      <c r="AL134" s="531"/>
      <c r="AM134" s="532">
        <f>AM133/AM69</f>
        <v>0.16744822207907953</v>
      </c>
      <c r="AN134" s="531"/>
      <c r="AO134" s="532">
        <f>AO133/AO69</f>
        <v>0.15027015667213811</v>
      </c>
      <c r="AP134" s="531"/>
      <c r="AQ134" s="532">
        <f>AQ133/AQ69</f>
        <v>0.12206222917453662</v>
      </c>
      <c r="AR134" s="531"/>
      <c r="AS134" s="532">
        <f>AS133/AS69</f>
        <v>9.3455245981167182E-2</v>
      </c>
      <c r="AT134" s="531"/>
      <c r="AU134" s="532">
        <f>AU133/AU69</f>
        <v>8.5559113492139988E-2</v>
      </c>
      <c r="AV134" s="531"/>
      <c r="AW134" s="532">
        <f>AW133/AW69</f>
        <v>0.13077866467283245</v>
      </c>
      <c r="AX134" s="531"/>
      <c r="AY134" s="532">
        <f>AY133/AY69</f>
        <v>0.17285534118026669</v>
      </c>
      <c r="AZ134" s="531"/>
      <c r="BA134" s="532">
        <f>BA133/BA69</f>
        <v>0.18334532420890837</v>
      </c>
      <c r="BB134" s="531"/>
      <c r="BC134" s="532">
        <f>BC133/BC69</f>
        <v>0.1814286347158974</v>
      </c>
      <c r="BD134" s="531"/>
      <c r="BE134" s="532">
        <f>BE133/BE69</f>
        <v>0.17605243454082364</v>
      </c>
      <c r="BF134" s="531"/>
      <c r="BG134" s="532">
        <f>BG133/BG69</f>
        <v>0.20799392843200243</v>
      </c>
      <c r="BH134" s="531"/>
      <c r="BI134" s="532">
        <f>BI133/BI69</f>
        <v>0.23621965618313351</v>
      </c>
      <c r="BJ134" s="531"/>
      <c r="BK134" s="532">
        <f>BK133/BK69</f>
        <v>0.23450150636046843</v>
      </c>
      <c r="BL134" s="531"/>
      <c r="BM134" s="532">
        <f>BM133/BM69</f>
        <v>0.17610758629631096</v>
      </c>
      <c r="BN134" s="531"/>
      <c r="BO134" s="532">
        <f>BO133/BO69</f>
        <v>0.18372995739308415</v>
      </c>
      <c r="BP134" s="531"/>
      <c r="BQ134" s="532">
        <f>BQ133/BQ69</f>
        <v>0.16509877698581291</v>
      </c>
      <c r="BR134" s="531"/>
      <c r="BS134" s="532">
        <f>BS133/BS69</f>
        <v>0.21334240965916243</v>
      </c>
      <c r="BT134" s="531"/>
      <c r="BU134" s="532">
        <f>BU133/BU69</f>
        <v>0.18710348183985959</v>
      </c>
      <c r="BV134" s="531"/>
      <c r="BW134" s="532">
        <f>BW133/BW69</f>
        <v>0.1839331218828982</v>
      </c>
      <c r="BX134" s="531"/>
      <c r="BY134" s="532">
        <f>BY133/BY69</f>
        <v>0.21842550354376516</v>
      </c>
      <c r="BZ134" s="531"/>
      <c r="CA134" s="532">
        <f>CA133/CA69</f>
        <v>0.16672325961139753</v>
      </c>
      <c r="CB134" s="531"/>
      <c r="CC134" s="532">
        <f>CC133/CC69</f>
        <v>0.23249471681871653</v>
      </c>
      <c r="CD134" s="531"/>
      <c r="CE134" s="532">
        <f>CE133/CE69</f>
        <v>0.21498787594610397</v>
      </c>
      <c r="CF134" s="531"/>
      <c r="CG134" s="532">
        <f>CG133/CG69</f>
        <v>0.16021659564443214</v>
      </c>
      <c r="CH134" s="531"/>
      <c r="CI134" s="532">
        <f>CI133/CI69</f>
        <v>0.17064607363743689</v>
      </c>
      <c r="CJ134" s="531"/>
      <c r="CK134" s="532">
        <f>CK133/CK69</f>
        <v>0.17956654456173851</v>
      </c>
      <c r="CL134" s="531"/>
      <c r="CM134" s="532">
        <f>CM133/CM69</f>
        <v>0.18974208314557731</v>
      </c>
      <c r="CN134" s="531"/>
      <c r="CO134" s="532">
        <f>CO133/CO69</f>
        <v>3.2735908401467791E-2</v>
      </c>
      <c r="CP134" s="531"/>
      <c r="CQ134" s="532">
        <f>CQ133/CQ69</f>
        <v>7.0474617118135616E-2</v>
      </c>
      <c r="CR134" s="531"/>
      <c r="CS134" s="532">
        <f>CS133/CS69</f>
        <v>0.10698255362607216</v>
      </c>
      <c r="CT134" s="533"/>
      <c r="CU134" s="531"/>
      <c r="CV134" s="532"/>
      <c r="CW134" s="531"/>
      <c r="CX134" s="532">
        <f>CX133/CX69</f>
        <v>5.2661358318370266E-2</v>
      </c>
      <c r="CY134" s="531"/>
      <c r="CZ134" s="532">
        <f>CZ133/CZ69</f>
        <v>8.2494718735113159E-2</v>
      </c>
      <c r="DA134" s="531"/>
      <c r="DB134" s="532">
        <f>DB133/DB69</f>
        <v>-0.11593356270484144</v>
      </c>
      <c r="DC134" s="531"/>
      <c r="DD134" s="532">
        <f>DD133/DD69</f>
        <v>-4.1897743524551188E-2</v>
      </c>
      <c r="DE134" s="531"/>
      <c r="DF134" s="532">
        <f>DF133/DF69</f>
        <v>0.14855634975531934</v>
      </c>
      <c r="DG134" s="531"/>
      <c r="DH134" s="532">
        <f>DH133/DH69</f>
        <v>0.10265760514199632</v>
      </c>
      <c r="DI134" s="531"/>
      <c r="DJ134" s="532">
        <f>DJ133/DJ69</f>
        <v>0.1764804938011531</v>
      </c>
      <c r="DK134" s="531"/>
      <c r="DL134" s="532">
        <f>DL133/DL69</f>
        <v>0.14063818408568407</v>
      </c>
      <c r="DM134" s="531"/>
      <c r="DN134" s="532">
        <f>DN133/DN69</f>
        <v>0.14387710603436499</v>
      </c>
      <c r="DO134" s="531"/>
      <c r="DP134" s="532">
        <f>DP133/DP69</f>
        <v>0.14395956278654762</v>
      </c>
      <c r="DQ134" s="531"/>
      <c r="DR134" s="532">
        <f>DR133/DR69</f>
        <v>7.8108501620737403E-2</v>
      </c>
      <c r="DS134" s="531"/>
      <c r="DT134" s="532">
        <f>DT133/DT69</f>
        <v>6.9162412498234627E-2</v>
      </c>
      <c r="DU134" s="531"/>
      <c r="DV134" s="532">
        <f>DV133/DV69</f>
        <v>0.11782726845569953</v>
      </c>
      <c r="DW134" s="531"/>
      <c r="DX134" s="532">
        <f>DX133/DX69</f>
        <v>0.13120314563275717</v>
      </c>
      <c r="DY134" s="531"/>
      <c r="DZ134" s="532">
        <f>DZ133/DZ69</f>
        <v>0.15667650770707858</v>
      </c>
      <c r="EA134" s="531"/>
      <c r="EB134" s="532">
        <f>EB133/EB69</f>
        <v>0.13704094327574914</v>
      </c>
      <c r="EC134" s="531"/>
      <c r="ED134" s="532">
        <f>ED133/ED69</f>
        <v>0.15531539905715955</v>
      </c>
      <c r="EE134" s="531"/>
      <c r="EF134" s="532">
        <f>EF133/EF69</f>
        <v>0.17163602476865128</v>
      </c>
      <c r="EG134" s="531"/>
      <c r="EH134" s="532">
        <f>EH133/EH69</f>
        <v>0.16709126519163633</v>
      </c>
      <c r="EI134" s="531"/>
      <c r="EJ134" s="532">
        <f>EJ133/EJ69</f>
        <v>0.15658091212974509</v>
      </c>
      <c r="EK134" s="531"/>
      <c r="EL134" s="532">
        <f>EL133/EL69</f>
        <v>0.19053267541231372</v>
      </c>
      <c r="EM134" s="531"/>
      <c r="EN134" s="532">
        <f>EN133/EN69</f>
        <v>0.25243328511060553</v>
      </c>
      <c r="EO134" s="531"/>
      <c r="EP134" s="532">
        <f>EP133/EP69</f>
        <v>0.18901296964734288</v>
      </c>
      <c r="EQ134" s="531"/>
      <c r="ER134" s="532">
        <f>ER133/ER69</f>
        <v>0.25133998781511363</v>
      </c>
      <c r="ES134" s="531"/>
      <c r="ET134" s="532">
        <f>ET133/ET69</f>
        <v>0.22872262480575403</v>
      </c>
      <c r="EU134" s="531"/>
      <c r="EV134" s="532">
        <f>EV133/EV69</f>
        <v>0.23736090990828637</v>
      </c>
      <c r="EW134" s="531"/>
      <c r="EX134" s="532">
        <f>EX133/EX69</f>
        <v>0.24545031260376041</v>
      </c>
      <c r="EY134" s="531"/>
      <c r="EZ134" s="532">
        <f>EZ133/EZ69</f>
        <v>0.19268002786073921</v>
      </c>
      <c r="FA134" s="531"/>
      <c r="FB134" s="532">
        <f>FB133/FB69</f>
        <v>0.18915504285663087</v>
      </c>
      <c r="FC134" s="531"/>
      <c r="FD134" s="532">
        <f>FD133/FD69</f>
        <v>0.20901954371096187</v>
      </c>
      <c r="FE134" s="531"/>
      <c r="FF134" s="532">
        <f>FF133/FF69</f>
        <v>0.2731319605887948</v>
      </c>
      <c r="FG134" s="531"/>
      <c r="FH134" s="532">
        <f>FH133/FH69</f>
        <v>0.24681227080474827</v>
      </c>
      <c r="FI134" s="531"/>
      <c r="FJ134" s="532">
        <f>FJ133/FJ69</f>
        <v>0.23415911105917667</v>
      </c>
      <c r="FK134" s="531"/>
      <c r="FL134" s="532">
        <f>FL133/FL69</f>
        <v>0.23218702635415026</v>
      </c>
      <c r="FM134" s="531"/>
      <c r="FN134" s="532">
        <f>FN133/FN69</f>
        <v>0.22785666886363851</v>
      </c>
      <c r="FO134" s="531"/>
      <c r="FP134" s="532">
        <f>FP133/FP69</f>
        <v>0.19184498901634223</v>
      </c>
      <c r="FQ134" s="534"/>
      <c r="FR134" s="531"/>
      <c r="FS134" s="532"/>
      <c r="FT134" s="531"/>
      <c r="FU134" s="532"/>
      <c r="FV134" s="531"/>
      <c r="FW134" s="532"/>
      <c r="FX134" s="531"/>
      <c r="FY134" s="532">
        <f>FY133/FY69</f>
        <v>-0.13353851010101012</v>
      </c>
      <c r="FZ134" s="531"/>
      <c r="GA134" s="532">
        <f>GA133/GA69</f>
        <v>-0.1</v>
      </c>
      <c r="GB134" s="531"/>
      <c r="GC134" s="532">
        <f>GC133/GC69</f>
        <v>-0.1</v>
      </c>
      <c r="GD134" s="531"/>
      <c r="GE134" s="532">
        <f>GE133/GE69</f>
        <v>-9.640940656565658E-2</v>
      </c>
      <c r="GF134" s="531"/>
      <c r="GG134" s="532">
        <f>GG133/GG69</f>
        <v>-0.1</v>
      </c>
      <c r="GH134" s="531"/>
      <c r="GI134" s="532">
        <f>GI133/GI69</f>
        <v>-8.208959626572912E-2</v>
      </c>
      <c r="GJ134" s="531"/>
      <c r="GK134" s="532">
        <f>GK133/GK69</f>
        <v>-6.276121235268449E-2</v>
      </c>
      <c r="GL134" s="531"/>
      <c r="GM134" s="532">
        <f>GM133/GM69</f>
        <v>0.1110478220685307</v>
      </c>
      <c r="GN134" s="531"/>
      <c r="GO134" s="532">
        <f>GO133/GO69</f>
        <v>9.358603001224991E-2</v>
      </c>
      <c r="GP134" s="531"/>
      <c r="GQ134" s="532">
        <f>GQ133/GQ69</f>
        <v>0.12913692451360953</v>
      </c>
      <c r="GR134" s="531"/>
      <c r="GS134" s="532">
        <f>GS133/GS69</f>
        <v>0.11019440870591389</v>
      </c>
      <c r="GT134" s="531"/>
      <c r="GU134" s="532">
        <f>GU133/GU69</f>
        <v>0.11647617606822659</v>
      </c>
      <c r="GV134" s="531"/>
      <c r="GW134" s="532">
        <f>GW133/GW69</f>
        <v>5.0035786401209864E-3</v>
      </c>
      <c r="GX134" s="531"/>
      <c r="GY134" s="532">
        <f>GY133/GY69</f>
        <v>2.5487187181725605E-2</v>
      </c>
      <c r="GZ134" s="531"/>
      <c r="HA134" s="532">
        <f>HA133/HA69</f>
        <v>2.0163488331591817E-2</v>
      </c>
      <c r="HB134" s="531"/>
      <c r="HC134" s="532">
        <f>HC133/HC69</f>
        <v>2.7842119505398208E-2</v>
      </c>
      <c r="HD134" s="531"/>
      <c r="HE134" s="532">
        <f>HE133/HE69</f>
        <v>0.12033481038038112</v>
      </c>
      <c r="HF134" s="531"/>
      <c r="HG134" s="532">
        <f>HG133/HG69</f>
        <v>0.11331673812842792</v>
      </c>
      <c r="HH134" s="531"/>
      <c r="HI134" s="532">
        <f>HI133/HI69</f>
        <v>0.12010060247174503</v>
      </c>
      <c r="HJ134" s="531"/>
      <c r="HK134" s="532">
        <f>HK133/HK69</f>
        <v>0.12215534431130845</v>
      </c>
      <c r="HL134" s="531"/>
      <c r="HM134" s="532">
        <f>HM133/HM69</f>
        <v>0.14626624404615113</v>
      </c>
      <c r="HN134" s="531"/>
      <c r="HO134" s="532">
        <f>HO133/HO69</f>
        <v>0.14297633724092024</v>
      </c>
      <c r="HP134" s="531"/>
      <c r="HQ134" s="532">
        <f>HQ133/HQ69</f>
        <v>0.13173003341612388</v>
      </c>
      <c r="HR134" s="531"/>
      <c r="HS134" s="532">
        <f>HS133/HS69</f>
        <v>0.14300765913024466</v>
      </c>
      <c r="HT134" s="531"/>
      <c r="HU134" s="532">
        <f>HU133/HU69</f>
        <v>0.17111564561866013</v>
      </c>
      <c r="HV134" s="531"/>
      <c r="HW134" s="532">
        <f>HW133/HW69</f>
        <v>0.1490799682925204</v>
      </c>
      <c r="HX134" s="531"/>
      <c r="HY134" s="532">
        <f>HY133/HY69</f>
        <v>6.9187443976967536E-2</v>
      </c>
      <c r="HZ134" s="531"/>
      <c r="IA134" s="532">
        <f>IA133/IA69</f>
        <v>5.3422489024966775E-2</v>
      </c>
      <c r="IB134" s="531"/>
      <c r="IC134" s="532">
        <f>IC133/IC69</f>
        <v>0.17389067417959736</v>
      </c>
      <c r="ID134" s="531"/>
      <c r="IE134" s="532">
        <f>IE133/IE69</f>
        <v>0.18515631499220694</v>
      </c>
      <c r="IF134" s="531"/>
      <c r="IG134" s="532">
        <f>IG133/IG69</f>
        <v>0.15128380347403858</v>
      </c>
      <c r="IH134" s="531"/>
      <c r="II134" s="532">
        <f>II133/II69</f>
        <v>0.1623101006746146</v>
      </c>
      <c r="IJ134" s="531"/>
      <c r="IK134" s="532">
        <f>IK133/IK69</f>
        <v>0.14252231742598559</v>
      </c>
      <c r="IL134" s="531"/>
      <c r="IM134" s="532">
        <f>IM133/IM69</f>
        <v>0.15358128762345119</v>
      </c>
      <c r="IN134" s="531"/>
      <c r="IO134" s="532">
        <f>IO133/IO69</f>
        <v>0.16421843447661461</v>
      </c>
      <c r="IP134" s="531"/>
      <c r="IQ134" s="532">
        <f>IQ133/IQ69</f>
        <v>0.17331652733273017</v>
      </c>
      <c r="IR134" s="531"/>
      <c r="IS134" s="532">
        <f>IS133/IS69</f>
        <v>0.16553222764134171</v>
      </c>
      <c r="IT134" s="531"/>
      <c r="IU134" s="532">
        <f>IU133/IU69</f>
        <v>0.14740598567265895</v>
      </c>
      <c r="IV134" s="531"/>
      <c r="IW134" s="532">
        <f>IW133/IW69</f>
        <v>3.7578968068727681E-2</v>
      </c>
      <c r="IX134" s="531"/>
      <c r="IY134" s="532">
        <f>IY133/IY69</f>
        <v>6.4909147850301843E-2</v>
      </c>
      <c r="IZ134" s="530"/>
      <c r="JA134" s="531"/>
      <c r="JB134" s="532">
        <f>JB133/JB69</f>
        <v>1.3668020306525767E-3</v>
      </c>
      <c r="JC134" s="531"/>
      <c r="JD134" s="532">
        <f>JD133/JD69</f>
        <v>5.27697864723181E-2</v>
      </c>
      <c r="JE134" s="530"/>
      <c r="JF134" s="531"/>
      <c r="JG134" s="532"/>
      <c r="JH134" s="531"/>
      <c r="JI134" s="532"/>
      <c r="JJ134" s="531"/>
      <c r="JK134" s="532"/>
      <c r="JL134" s="531"/>
      <c r="JM134" s="532">
        <f>JM133/JM69</f>
        <v>-0.12976190476190477</v>
      </c>
      <c r="JN134" s="531"/>
      <c r="JO134" s="532">
        <f>JO133/JO69</f>
        <v>-0.1</v>
      </c>
      <c r="JP134" s="531"/>
      <c r="JQ134" s="532">
        <f>JQ133/JQ69</f>
        <v>-0.1</v>
      </c>
      <c r="JR134" s="531"/>
      <c r="JS134" s="532">
        <f>JS133/JS69</f>
        <v>-8.7397873746625679E-2</v>
      </c>
      <c r="JT134" s="531"/>
      <c r="JU134" s="532">
        <f>JU133/JU69</f>
        <v>-4.6966142778950636E-2</v>
      </c>
      <c r="JV134" s="531"/>
      <c r="JW134" s="532">
        <f>JW133/JW69</f>
        <v>0.10161663064964548</v>
      </c>
      <c r="JX134" s="531"/>
      <c r="JY134" s="532">
        <f>JY133/JY69</f>
        <v>4.5297610735398688E-2</v>
      </c>
      <c r="JZ134" s="531"/>
      <c r="KA134" s="532">
        <f>KA133/KA69</f>
        <v>0.10356628288333358</v>
      </c>
      <c r="KB134" s="531"/>
      <c r="KC134" s="532">
        <f>KC133/KC69</f>
        <v>9.0899593950504301E-2</v>
      </c>
      <c r="KD134" s="531"/>
      <c r="KE134" s="532">
        <f>KE133/KE69</f>
        <v>9.5843867663761212E-2</v>
      </c>
      <c r="KF134" s="531"/>
      <c r="KG134" s="532">
        <f>KG133/KG69</f>
        <v>1.4389166811596261E-2</v>
      </c>
      <c r="KH134" s="531"/>
      <c r="KI134" s="532">
        <f>KI133/KI69</f>
        <v>1.9951094335330738E-2</v>
      </c>
      <c r="KJ134" s="531"/>
      <c r="KK134" s="532">
        <f>KK133/KK69</f>
        <v>1.4498771865542975E-2</v>
      </c>
      <c r="KL134" s="531"/>
      <c r="KM134" s="532">
        <f>KM133/KM69</f>
        <v>3.7624199091569534E-2</v>
      </c>
      <c r="KN134" s="531"/>
      <c r="KO134" s="532">
        <f>KO133/KO69</f>
        <v>8.3074005585199784E-2</v>
      </c>
      <c r="KP134" s="531"/>
      <c r="KQ134" s="532">
        <f>KQ133/KQ69</f>
        <v>5.5457726969223325E-2</v>
      </c>
      <c r="KR134" s="531"/>
      <c r="KS134" s="532">
        <f>KS133/KS69</f>
        <v>8.9088468569394341E-2</v>
      </c>
      <c r="KT134" s="531"/>
      <c r="KU134" s="532">
        <f>KU133/KU69</f>
        <v>8.4879878227829358E-2</v>
      </c>
      <c r="KV134" s="531"/>
      <c r="KW134" s="532">
        <f>KW133/KW69</f>
        <v>0.11086917148942393</v>
      </c>
      <c r="KX134" s="531"/>
      <c r="KY134" s="532">
        <f>KY133/KY69</f>
        <v>0.13312186254851238</v>
      </c>
      <c r="KZ134" s="531"/>
      <c r="LA134" s="532">
        <f>LA133/LA69</f>
        <v>0.14548904331270096</v>
      </c>
      <c r="LB134" s="531"/>
      <c r="LC134" s="532">
        <f>LC133/LC69</f>
        <v>5.6480217743478084E-2</v>
      </c>
      <c r="LD134" s="531"/>
      <c r="LE134" s="532">
        <f>LE133/LE69</f>
        <v>7.3048282918826604E-2</v>
      </c>
      <c r="LF134" s="531"/>
      <c r="LG134" s="532">
        <f>LG133/LG69</f>
        <v>3.0142995493392609E-3</v>
      </c>
      <c r="LH134" s="531"/>
      <c r="LI134" s="532">
        <f>LI133/LI69</f>
        <v>9.5760016343873711E-2</v>
      </c>
      <c r="LJ134" s="531"/>
      <c r="LK134" s="532">
        <f>LK133/LK69</f>
        <v>5.0373382970025901E-2</v>
      </c>
      <c r="LL134" s="531"/>
      <c r="LM134" s="532">
        <f>LM133/LM69</f>
        <v>9.8582909118137815E-2</v>
      </c>
      <c r="LN134" s="531"/>
      <c r="LO134" s="532">
        <f>LO133/LO69</f>
        <v>0.11230444592885377</v>
      </c>
      <c r="LP134" s="531"/>
      <c r="LQ134" s="532">
        <f>LQ133/LQ69</f>
        <v>5.4819963246806366E-2</v>
      </c>
      <c r="LR134" s="531"/>
      <c r="LS134" s="532">
        <f>LS133/LS69</f>
        <v>5.9624566747832931E-2</v>
      </c>
      <c r="LT134" s="531"/>
      <c r="LU134" s="532">
        <f>LU133/LU69</f>
        <v>3.807470224044103E-2</v>
      </c>
      <c r="LV134" s="531"/>
      <c r="LW134" s="532">
        <f>LW133/LW69</f>
        <v>4.9779508964002607E-2</v>
      </c>
      <c r="LX134" s="531"/>
      <c r="LY134" s="532">
        <f>LY133/LY69</f>
        <v>6.1369230130342893E-2</v>
      </c>
      <c r="LZ134" s="531"/>
      <c r="MA134" s="532">
        <f>MA133/MA69</f>
        <v>7.1282072436970739E-2</v>
      </c>
      <c r="MB134" s="531"/>
      <c r="MC134" s="532">
        <f>MC133/MC69</f>
        <v>6.4337007679713829E-2</v>
      </c>
      <c r="MD134" s="531"/>
      <c r="ME134" s="532">
        <f>ME133/ME69</f>
        <v>0.11054288013377471</v>
      </c>
      <c r="MF134" s="531"/>
      <c r="MG134" s="532">
        <f>MG133/MG69</f>
        <v>-5.6165187225793327E-2</v>
      </c>
      <c r="MH134" s="530"/>
      <c r="MI134" s="531"/>
      <c r="MJ134" s="532"/>
      <c r="MK134" s="531"/>
      <c r="ML134" s="532"/>
      <c r="MM134" s="531"/>
      <c r="MN134" s="532"/>
      <c r="MO134" s="531"/>
      <c r="MP134" s="532">
        <f>MP133/MP69</f>
        <v>-8.1540586870356299E-2</v>
      </c>
      <c r="MQ134" s="531"/>
      <c r="MR134" s="532">
        <f>MR133/MR69</f>
        <v>2.040883647835395E-2</v>
      </c>
      <c r="MS134" s="531"/>
      <c r="MT134" s="532">
        <f>MT133/MT69</f>
        <v>8.8004692833561944E-3</v>
      </c>
      <c r="MU134" s="531"/>
      <c r="MV134" s="532">
        <f>MV133/MV69</f>
        <v>-0.12803026401353912</v>
      </c>
      <c r="MW134" s="531"/>
      <c r="MX134" s="532">
        <f>MX133/MX69</f>
        <v>1.749148980386292E-2</v>
      </c>
      <c r="MY134" s="531"/>
      <c r="MZ134" s="532">
        <f>MZ133/MZ69</f>
        <v>0.17552778901583799</v>
      </c>
      <c r="NA134" s="531"/>
      <c r="NB134" s="532">
        <f>NB133/NB69</f>
        <v>0.13695299678566888</v>
      </c>
      <c r="NC134" s="531"/>
      <c r="ND134" s="532">
        <f>ND133/ND69</f>
        <v>0.17961719359904854</v>
      </c>
      <c r="NE134" s="531"/>
      <c r="NF134" s="532">
        <f>NF133/NF69</f>
        <v>0.1836302764955994</v>
      </c>
      <c r="NG134" s="531"/>
      <c r="NH134" s="532">
        <f>NH133/NH69</f>
        <v>0.18165029204806951</v>
      </c>
      <c r="NI134" s="531"/>
      <c r="NJ134" s="532">
        <f>NJ133/NJ69</f>
        <v>0.11898513690434884</v>
      </c>
      <c r="NK134" s="531"/>
      <c r="NL134" s="532">
        <f>NL133/NL69</f>
        <v>0.10355515056787416</v>
      </c>
      <c r="NM134" s="531"/>
      <c r="NN134" s="532">
        <f>NN133/NN69</f>
        <v>9.6575370996607138E-2</v>
      </c>
      <c r="NO134" s="531"/>
      <c r="NP134" s="532">
        <f>NP133/NP69</f>
        <v>0.13407627030928582</v>
      </c>
      <c r="NQ134" s="531"/>
      <c r="NR134" s="532">
        <f>NR133/NR69</f>
        <v>0.17941610784028059</v>
      </c>
      <c r="NS134" s="531"/>
      <c r="NT134" s="532">
        <f>NT133/NT69</f>
        <v>0.1895504843991451</v>
      </c>
      <c r="NU134" s="531"/>
      <c r="NV134" s="532">
        <f>NV133/NV69</f>
        <v>0.10208670520162295</v>
      </c>
      <c r="NW134" s="531"/>
      <c r="NX134" s="532">
        <f>NX133/NX69</f>
        <v>0.17612247606366621</v>
      </c>
      <c r="NY134" s="531"/>
      <c r="NZ134" s="532">
        <f>NZ133/NZ69</f>
        <v>0.14761546672151071</v>
      </c>
      <c r="OA134" s="531"/>
      <c r="OB134" s="532">
        <f>OB133/OB69</f>
        <v>0.2114744764660082</v>
      </c>
      <c r="OC134" s="531"/>
      <c r="OD134" s="532">
        <f>OD133/OD69</f>
        <v>0.2117934717072831</v>
      </c>
      <c r="OE134" s="531"/>
      <c r="OF134" s="532">
        <f>OF133/OF69</f>
        <v>0.16501512929297818</v>
      </c>
      <c r="OG134" s="531"/>
      <c r="OH134" s="532">
        <f>OH133/OH69</f>
        <v>0.17349089939553888</v>
      </c>
      <c r="OI134" s="531"/>
      <c r="OJ134" s="532">
        <f>OJ133/OJ69</f>
        <v>0.14571374396357495</v>
      </c>
      <c r="OK134" s="531"/>
      <c r="OL134" s="532">
        <f>OL133/OL69</f>
        <v>0.17748018680867689</v>
      </c>
      <c r="OM134" s="531"/>
      <c r="ON134" s="532">
        <f>ON133/ON69</f>
        <v>0.14354381433626948</v>
      </c>
      <c r="OO134" s="531"/>
      <c r="OP134" s="532">
        <f>OP133/OP69</f>
        <v>0.16561429005006029</v>
      </c>
      <c r="OQ134" s="531"/>
      <c r="OR134" s="532">
        <f>OR133/OR69</f>
        <v>0.1691840167476637</v>
      </c>
      <c r="OS134" s="531"/>
      <c r="OT134" s="532">
        <f>OT133/OT69</f>
        <v>0.12267195623021313</v>
      </c>
      <c r="OU134" s="531"/>
      <c r="OV134" s="532">
        <f>OV133/OV69</f>
        <v>7.047473925875597E-2</v>
      </c>
      <c r="OW134" s="531"/>
      <c r="OX134" s="532">
        <f>OX133/OX69</f>
        <v>4.9147401730214958E-2</v>
      </c>
      <c r="OY134" s="531"/>
      <c r="OZ134" s="532">
        <f>OZ133/OZ69</f>
        <v>6.0731342947761946E-2</v>
      </c>
      <c r="PA134" s="531"/>
      <c r="PB134" s="532">
        <f>PB133/PB69</f>
        <v>7.2201386997989281E-2</v>
      </c>
      <c r="PC134" s="531"/>
      <c r="PD134" s="532">
        <f>PD133/PD69</f>
        <v>8.2011867879116504E-2</v>
      </c>
      <c r="PE134" s="531"/>
      <c r="PF134" s="532">
        <f>PF133/PF69</f>
        <v>0.11976755262597376</v>
      </c>
      <c r="PG134" s="531"/>
      <c r="PH134" s="532">
        <f>PH133/PH69</f>
        <v>0.17722505887736581</v>
      </c>
      <c r="PI134" s="531"/>
      <c r="PJ134" s="532">
        <f>PJ133/PJ69</f>
        <v>0.19078675838157996</v>
      </c>
      <c r="PK134" s="531"/>
      <c r="PL134" s="532">
        <f>PL133/PL69</f>
        <v>0.18091719041604537</v>
      </c>
      <c r="PM134" s="531"/>
      <c r="PN134" s="532">
        <f>PN133/PN69</f>
        <v>9.9600149026227949E-2</v>
      </c>
      <c r="PO134" s="531"/>
      <c r="PP134" s="532">
        <f>PP133/PP69</f>
        <v>-6.1332217910028158E-2</v>
      </c>
      <c r="PQ134" s="535"/>
      <c r="PR134" s="531"/>
      <c r="PS134" s="532">
        <f>PS133/PS69</f>
        <v>0.27089014505762332</v>
      </c>
      <c r="PT134" s="531"/>
      <c r="PU134" s="532">
        <f>PU133/PU69</f>
        <v>0.30901018946995967</v>
      </c>
      <c r="PV134" s="531"/>
      <c r="PW134" s="532">
        <f>PW133/PW69</f>
        <v>0.16699404116151934</v>
      </c>
      <c r="PX134" s="531"/>
      <c r="PY134" s="532">
        <f>PY133/PY69</f>
        <v>0.20511408557385574</v>
      </c>
      <c r="PZ134" s="531"/>
      <c r="QA134" s="532">
        <f>QA133/QA69</f>
        <v>-3.33877451466216E-2</v>
      </c>
      <c r="QB134" s="531"/>
      <c r="QC134" s="532">
        <f>QC133/QC69</f>
        <v>5.2087998208688729E-3</v>
      </c>
      <c r="QD134" s="535"/>
      <c r="QE134" s="535"/>
      <c r="QF134" s="531"/>
      <c r="QG134" s="532">
        <f>QG133/QG69</f>
        <v>0.29650417696394715</v>
      </c>
      <c r="QH134" s="531"/>
      <c r="QI134" s="532">
        <f>QI133/QI69</f>
        <v>0.33177754557064904</v>
      </c>
      <c r="QJ134" s="531"/>
      <c r="QK134" s="532">
        <f>QK133/QK69</f>
        <v>0.19260807306784322</v>
      </c>
      <c r="QL134" s="531"/>
      <c r="QM134" s="532">
        <f>QM133/QM69</f>
        <v>0.22788144167454513</v>
      </c>
      <c r="QN134" s="531"/>
      <c r="QO134" s="532">
        <f>QO133/QO69</f>
        <v>0.22073654530759307</v>
      </c>
      <c r="QP134" s="531"/>
      <c r="QQ134" s="532">
        <f>QQ133/QQ69</f>
        <v>0.26009957983970972</v>
      </c>
    </row>
    <row r="135" spans="1:459" ht="14.65" thickBot="1" x14ac:dyDescent="0.5">
      <c r="A135" s="873"/>
      <c r="B135" s="541"/>
      <c r="C135" s="542"/>
      <c r="D135" s="543"/>
      <c r="E135" s="136"/>
      <c r="F135" s="544"/>
      <c r="G135" s="545"/>
      <c r="H135" s="544"/>
      <c r="I135" s="545"/>
      <c r="J135" s="544"/>
      <c r="K135" s="545"/>
      <c r="L135" s="544"/>
      <c r="M135" s="545"/>
      <c r="N135" s="544"/>
      <c r="O135" s="545"/>
      <c r="P135" s="544"/>
      <c r="Q135" s="545"/>
      <c r="R135" s="544"/>
      <c r="S135" s="545"/>
      <c r="T135" s="544"/>
      <c r="U135" s="545"/>
      <c r="V135" s="544"/>
      <c r="W135" s="545"/>
      <c r="X135" s="544"/>
      <c r="Y135" s="545"/>
      <c r="Z135" s="544"/>
      <c r="AA135" s="545"/>
      <c r="AB135" s="544"/>
      <c r="AC135" s="545"/>
      <c r="AD135" s="544"/>
      <c r="AE135" s="545"/>
      <c r="AF135" s="544"/>
      <c r="AG135" s="545"/>
      <c r="AH135" s="544"/>
      <c r="AI135" s="545"/>
      <c r="AJ135" s="544"/>
      <c r="AK135" s="545"/>
      <c r="AL135" s="544"/>
      <c r="AM135" s="545"/>
      <c r="AN135" s="544"/>
      <c r="AO135" s="545"/>
      <c r="AP135" s="544"/>
      <c r="AQ135" s="545"/>
      <c r="AR135" s="544"/>
      <c r="AS135" s="545"/>
      <c r="AT135" s="544"/>
      <c r="AU135" s="545"/>
      <c r="AV135" s="544"/>
      <c r="AW135" s="545"/>
      <c r="AX135" s="544"/>
      <c r="AY135" s="545"/>
      <c r="AZ135" s="544"/>
      <c r="BA135" s="545"/>
      <c r="BB135" s="544"/>
      <c r="BC135" s="545"/>
      <c r="BD135" s="544"/>
      <c r="BE135" s="545"/>
      <c r="BF135" s="544"/>
      <c r="BG135" s="545"/>
      <c r="BH135" s="544"/>
      <c r="BI135" s="545"/>
      <c r="BJ135" s="544"/>
      <c r="BK135" s="545"/>
      <c r="BL135" s="544"/>
      <c r="BM135" s="545"/>
      <c r="BN135" s="544"/>
      <c r="BO135" s="545"/>
      <c r="BP135" s="544"/>
      <c r="BQ135" s="545"/>
      <c r="BR135" s="544"/>
      <c r="BS135" s="545"/>
      <c r="BT135" s="544"/>
      <c r="BU135" s="545"/>
      <c r="BV135" s="544"/>
      <c r="BW135" s="545"/>
      <c r="BX135" s="544"/>
      <c r="BY135" s="545"/>
      <c r="BZ135" s="544"/>
      <c r="CA135" s="545"/>
      <c r="CB135" s="544"/>
      <c r="CC135" s="545"/>
      <c r="CD135" s="544"/>
      <c r="CE135" s="545"/>
      <c r="CF135" s="544"/>
      <c r="CG135" s="545"/>
      <c r="CH135" s="544"/>
      <c r="CI135" s="545"/>
      <c r="CJ135" s="544"/>
      <c r="CK135" s="545"/>
      <c r="CL135" s="544"/>
      <c r="CM135" s="545"/>
      <c r="CN135" s="544"/>
      <c r="CO135" s="545"/>
      <c r="CP135" s="544"/>
      <c r="CQ135" s="545"/>
      <c r="CR135" s="544"/>
      <c r="CS135" s="545"/>
      <c r="CT135" s="136"/>
      <c r="CU135" s="544"/>
      <c r="CV135" s="545"/>
      <c r="CW135" s="544"/>
      <c r="CX135" s="545"/>
      <c r="CY135" s="544"/>
      <c r="CZ135" s="545"/>
      <c r="DA135" s="544"/>
      <c r="DB135" s="545"/>
      <c r="DC135" s="544"/>
      <c r="DD135" s="545"/>
      <c r="DE135" s="544"/>
      <c r="DF135" s="545"/>
      <c r="DG135" s="544"/>
      <c r="DH135" s="545"/>
      <c r="DI135" s="544"/>
      <c r="DJ135" s="545"/>
      <c r="DK135" s="544"/>
      <c r="DL135" s="545"/>
      <c r="DM135" s="544"/>
      <c r="DN135" s="545"/>
      <c r="DO135" s="544"/>
      <c r="DP135" s="545"/>
      <c r="DQ135" s="544"/>
      <c r="DR135" s="545"/>
      <c r="DS135" s="544"/>
      <c r="DT135" s="545"/>
      <c r="DU135" s="544"/>
      <c r="DV135" s="545"/>
      <c r="DW135" s="544"/>
      <c r="DX135" s="545"/>
      <c r="DY135" s="544"/>
      <c r="DZ135" s="545"/>
      <c r="EA135" s="544"/>
      <c r="EB135" s="545"/>
      <c r="EC135" s="544"/>
      <c r="ED135" s="545"/>
      <c r="EE135" s="544"/>
      <c r="EF135" s="545"/>
      <c r="EG135" s="544"/>
      <c r="EH135" s="545"/>
      <c r="EI135" s="544"/>
      <c r="EJ135" s="545"/>
      <c r="EK135" s="544"/>
      <c r="EL135" s="545"/>
      <c r="EM135" s="544"/>
      <c r="EN135" s="545"/>
      <c r="EO135" s="544"/>
      <c r="EP135" s="545"/>
      <c r="EQ135" s="544"/>
      <c r="ER135" s="545"/>
      <c r="ES135" s="544"/>
      <c r="ET135" s="545"/>
      <c r="EU135" s="544"/>
      <c r="EV135" s="545"/>
      <c r="EW135" s="544"/>
      <c r="EX135" s="545"/>
      <c r="EY135" s="544"/>
      <c r="EZ135" s="545"/>
      <c r="FA135" s="544"/>
      <c r="FB135" s="545"/>
      <c r="FC135" s="544"/>
      <c r="FD135" s="545"/>
      <c r="FE135" s="544"/>
      <c r="FF135" s="545"/>
      <c r="FG135" s="544"/>
      <c r="FH135" s="545"/>
      <c r="FI135" s="544"/>
      <c r="FJ135" s="545"/>
      <c r="FK135" s="544"/>
      <c r="FL135" s="545"/>
      <c r="FM135" s="544"/>
      <c r="FN135" s="545"/>
      <c r="FO135" s="544"/>
      <c r="FP135" s="545"/>
      <c r="FQ135" s="136"/>
      <c r="FR135" s="544"/>
      <c r="FS135" s="545"/>
      <c r="FT135" s="544"/>
      <c r="FU135" s="545"/>
      <c r="FV135" s="544"/>
      <c r="FW135" s="545"/>
      <c r="FX135" s="544"/>
      <c r="FY135" s="545"/>
      <c r="FZ135" s="544"/>
      <c r="GA135" s="545"/>
      <c r="GB135" s="544"/>
      <c r="GC135" s="545"/>
      <c r="GD135" s="544"/>
      <c r="GE135" s="545"/>
      <c r="GF135" s="544"/>
      <c r="GG135" s="545"/>
      <c r="GH135" s="544"/>
      <c r="GI135" s="545"/>
      <c r="GJ135" s="544"/>
      <c r="GK135" s="545"/>
      <c r="GL135" s="544"/>
      <c r="GM135" s="545"/>
      <c r="GN135" s="544"/>
      <c r="GO135" s="545"/>
      <c r="GP135" s="544"/>
      <c r="GQ135" s="545"/>
      <c r="GR135" s="544"/>
      <c r="GS135" s="545"/>
      <c r="GT135" s="544"/>
      <c r="GU135" s="545"/>
      <c r="GV135" s="544"/>
      <c r="GW135" s="545"/>
      <c r="GX135" s="544"/>
      <c r="GY135" s="545"/>
      <c r="GZ135" s="544"/>
      <c r="HA135" s="545"/>
      <c r="HB135" s="544"/>
      <c r="HC135" s="545"/>
      <c r="HD135" s="544"/>
      <c r="HE135" s="545"/>
      <c r="HF135" s="544"/>
      <c r="HG135" s="545"/>
      <c r="HH135" s="544"/>
      <c r="HI135" s="545"/>
      <c r="HJ135" s="544"/>
      <c r="HK135" s="545"/>
      <c r="HL135" s="544"/>
      <c r="HM135" s="545"/>
      <c r="HN135" s="544"/>
      <c r="HO135" s="545"/>
      <c r="HP135" s="544"/>
      <c r="HQ135" s="545"/>
      <c r="HR135" s="544"/>
      <c r="HS135" s="545"/>
      <c r="HT135" s="544"/>
      <c r="HU135" s="545"/>
      <c r="HV135" s="544"/>
      <c r="HW135" s="545"/>
      <c r="HX135" s="544"/>
      <c r="HY135" s="545"/>
      <c r="HZ135" s="544"/>
      <c r="IA135" s="545"/>
      <c r="IB135" s="544"/>
      <c r="IC135" s="545"/>
      <c r="ID135" s="544"/>
      <c r="IE135" s="545"/>
      <c r="IF135" s="544"/>
      <c r="IG135" s="545"/>
      <c r="IH135" s="544"/>
      <c r="II135" s="545"/>
      <c r="IJ135" s="544"/>
      <c r="IK135" s="545"/>
      <c r="IL135" s="544"/>
      <c r="IM135" s="545"/>
      <c r="IN135" s="544"/>
      <c r="IO135" s="545"/>
      <c r="IP135" s="544"/>
      <c r="IQ135" s="545"/>
      <c r="IR135" s="544"/>
      <c r="IS135" s="545"/>
      <c r="IT135" s="544"/>
      <c r="IU135" s="545"/>
      <c r="IV135" s="544"/>
      <c r="IW135" s="545"/>
      <c r="IX135" s="544"/>
      <c r="IY135" s="545"/>
      <c r="IZ135" s="136"/>
      <c r="JA135" s="544"/>
      <c r="JB135" s="545"/>
      <c r="JC135" s="544"/>
      <c r="JD135" s="545"/>
      <c r="JE135" s="136"/>
      <c r="JF135" s="544"/>
      <c r="JG135" s="545"/>
      <c r="JH135" s="544"/>
      <c r="JI135" s="545"/>
      <c r="JJ135" s="544"/>
      <c r="JK135" s="545"/>
      <c r="JL135" s="544"/>
      <c r="JM135" s="545"/>
      <c r="JN135" s="544"/>
      <c r="JO135" s="545"/>
      <c r="JP135" s="544"/>
      <c r="JQ135" s="545"/>
      <c r="JR135" s="544"/>
      <c r="JS135" s="545"/>
      <c r="JT135" s="544"/>
      <c r="JU135" s="545"/>
      <c r="JV135" s="544"/>
      <c r="JW135" s="545"/>
      <c r="JX135" s="544"/>
      <c r="JY135" s="545"/>
      <c r="JZ135" s="544"/>
      <c r="KA135" s="545"/>
      <c r="KB135" s="544"/>
      <c r="KC135" s="545"/>
      <c r="KD135" s="544"/>
      <c r="KE135" s="545"/>
      <c r="KF135" s="544"/>
      <c r="KG135" s="545"/>
      <c r="KH135" s="544"/>
      <c r="KI135" s="545"/>
      <c r="KJ135" s="544"/>
      <c r="KK135" s="545"/>
      <c r="KL135" s="544"/>
      <c r="KM135" s="545"/>
      <c r="KN135" s="544"/>
      <c r="KO135" s="545"/>
      <c r="KP135" s="544"/>
      <c r="KQ135" s="545"/>
      <c r="KR135" s="544"/>
      <c r="KS135" s="545"/>
      <c r="KT135" s="544"/>
      <c r="KU135" s="545"/>
      <c r="KV135" s="544"/>
      <c r="KW135" s="545"/>
      <c r="KX135" s="544"/>
      <c r="KY135" s="545"/>
      <c r="KZ135" s="544"/>
      <c r="LA135" s="545"/>
      <c r="LB135" s="544"/>
      <c r="LC135" s="545"/>
      <c r="LD135" s="544"/>
      <c r="LE135" s="545"/>
      <c r="LF135" s="544"/>
      <c r="LG135" s="545"/>
      <c r="LH135" s="544"/>
      <c r="LI135" s="545"/>
      <c r="LJ135" s="544"/>
      <c r="LK135" s="545"/>
      <c r="LL135" s="544"/>
      <c r="LM135" s="545"/>
      <c r="LN135" s="544"/>
      <c r="LO135" s="545"/>
      <c r="LP135" s="544"/>
      <c r="LQ135" s="545"/>
      <c r="LR135" s="544"/>
      <c r="LS135" s="545"/>
      <c r="LT135" s="544"/>
      <c r="LU135" s="545"/>
      <c r="LV135" s="544"/>
      <c r="LW135" s="545"/>
      <c r="LX135" s="544"/>
      <c r="LY135" s="545"/>
      <c r="LZ135" s="544"/>
      <c r="MA135" s="545"/>
      <c r="MB135" s="544"/>
      <c r="MC135" s="545"/>
      <c r="MD135" s="544"/>
      <c r="ME135" s="545"/>
      <c r="MF135" s="544"/>
      <c r="MG135" s="545"/>
      <c r="MH135" s="136"/>
      <c r="MI135" s="544"/>
      <c r="MJ135" s="545"/>
      <c r="MK135" s="544"/>
      <c r="ML135" s="545"/>
      <c r="MM135" s="544"/>
      <c r="MN135" s="545"/>
      <c r="MO135" s="544"/>
      <c r="MP135" s="545"/>
      <c r="MQ135" s="544"/>
      <c r="MR135" s="545"/>
      <c r="MS135" s="544"/>
      <c r="MT135" s="545"/>
      <c r="MU135" s="544"/>
      <c r="MV135" s="545"/>
      <c r="MW135" s="544"/>
      <c r="MX135" s="545"/>
      <c r="MY135" s="544"/>
      <c r="MZ135" s="545"/>
      <c r="NA135" s="544"/>
      <c r="NB135" s="545"/>
      <c r="NC135" s="544"/>
      <c r="ND135" s="545"/>
      <c r="NE135" s="544"/>
      <c r="NF135" s="545"/>
      <c r="NG135" s="544"/>
      <c r="NH135" s="545"/>
      <c r="NI135" s="544"/>
      <c r="NJ135" s="545"/>
      <c r="NK135" s="544"/>
      <c r="NL135" s="545"/>
      <c r="NM135" s="544"/>
      <c r="NN135" s="545"/>
      <c r="NO135" s="544"/>
      <c r="NP135" s="545"/>
      <c r="NQ135" s="544"/>
      <c r="NR135" s="545"/>
      <c r="NS135" s="544"/>
      <c r="NT135" s="545"/>
      <c r="NU135" s="544"/>
      <c r="NV135" s="545"/>
      <c r="NW135" s="544"/>
      <c r="NX135" s="545"/>
      <c r="NY135" s="544"/>
      <c r="NZ135" s="545"/>
      <c r="OA135" s="544"/>
      <c r="OB135" s="545"/>
      <c r="OC135" s="544"/>
      <c r="OD135" s="545"/>
      <c r="OE135" s="544"/>
      <c r="OF135" s="545"/>
      <c r="OG135" s="544"/>
      <c r="OH135" s="545"/>
      <c r="OI135" s="544"/>
      <c r="OJ135" s="545"/>
      <c r="OK135" s="544"/>
      <c r="OL135" s="545"/>
      <c r="OM135" s="544"/>
      <c r="ON135" s="545"/>
      <c r="OO135" s="544"/>
      <c r="OP135" s="545"/>
      <c r="OQ135" s="544"/>
      <c r="OR135" s="545"/>
      <c r="OS135" s="544"/>
      <c r="OT135" s="545"/>
      <c r="OU135" s="544"/>
      <c r="OV135" s="545"/>
      <c r="OW135" s="544"/>
      <c r="OX135" s="545"/>
      <c r="OY135" s="544"/>
      <c r="OZ135" s="545"/>
      <c r="PA135" s="544"/>
      <c r="PB135" s="545"/>
      <c r="PC135" s="544"/>
      <c r="PD135" s="545"/>
      <c r="PE135" s="544"/>
      <c r="PF135" s="545"/>
      <c r="PG135" s="544"/>
      <c r="PH135" s="545"/>
      <c r="PI135" s="544"/>
      <c r="PJ135" s="545"/>
      <c r="PK135" s="544"/>
      <c r="PL135" s="545"/>
      <c r="PM135" s="544"/>
      <c r="PN135" s="545"/>
      <c r="PO135" s="544"/>
      <c r="PP135" s="545"/>
      <c r="PR135" s="544"/>
      <c r="PS135" s="545"/>
      <c r="PT135" s="544"/>
      <c r="PU135" s="545"/>
      <c r="PV135" s="544"/>
      <c r="PW135" s="545"/>
      <c r="PX135" s="544"/>
      <c r="PY135" s="545"/>
      <c r="PZ135" s="544"/>
      <c r="QA135" s="545"/>
      <c r="QB135" s="544"/>
      <c r="QC135" s="545"/>
      <c r="QF135" s="544"/>
      <c r="QG135" s="545"/>
      <c r="QH135" s="544"/>
      <c r="QI135" s="545"/>
      <c r="QJ135" s="544"/>
      <c r="QK135" s="545"/>
      <c r="QL135" s="544"/>
      <c r="QM135" s="545"/>
      <c r="QN135" s="544"/>
      <c r="QO135" s="545"/>
      <c r="QP135" s="544"/>
      <c r="QQ135" s="545"/>
    </row>
    <row r="136" spans="1:459" ht="14.65" thickTop="1" x14ac:dyDescent="0.45"/>
    <row r="137" spans="1:459" x14ac:dyDescent="0.45">
      <c r="A137" s="546" t="s">
        <v>430</v>
      </c>
      <c r="B137" s="546"/>
      <c r="C137" s="546"/>
      <c r="D137" s="546"/>
      <c r="E137" s="546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  <c r="AA137" s="547"/>
      <c r="AB137" s="547"/>
      <c r="AC137" s="547"/>
      <c r="AD137" s="547"/>
      <c r="AE137" s="547"/>
      <c r="AF137" s="547"/>
      <c r="AG137" s="547"/>
      <c r="AH137" s="547"/>
      <c r="AI137" s="547"/>
      <c r="AJ137" s="546"/>
      <c r="AK137" s="546">
        <v>153040</v>
      </c>
      <c r="AL137" s="546"/>
      <c r="AM137" s="546"/>
      <c r="AN137" s="546"/>
      <c r="AO137" s="546">
        <v>300600</v>
      </c>
      <c r="AP137" s="546"/>
      <c r="AQ137" s="546">
        <v>136000</v>
      </c>
      <c r="AR137" s="546"/>
      <c r="AS137" s="546"/>
      <c r="AT137" s="546"/>
      <c r="AU137" s="546"/>
      <c r="AV137" s="546"/>
      <c r="AW137" s="546">
        <v>13080</v>
      </c>
      <c r="AX137" s="546"/>
      <c r="AY137" s="546">
        <v>77960</v>
      </c>
      <c r="AZ137" s="546"/>
      <c r="BA137" s="546">
        <v>239320</v>
      </c>
      <c r="BB137" s="546"/>
      <c r="BC137" s="546"/>
      <c r="BD137" s="546"/>
      <c r="BE137" s="546">
        <v>152800</v>
      </c>
      <c r="BF137" s="546"/>
      <c r="BG137" s="546">
        <v>155360</v>
      </c>
      <c r="BH137" s="546"/>
      <c r="BI137" s="546">
        <v>73400</v>
      </c>
      <c r="BJ137" s="546"/>
      <c r="BK137" s="546">
        <v>78000</v>
      </c>
      <c r="BL137" s="546"/>
      <c r="BM137" s="546">
        <v>78000</v>
      </c>
      <c r="BN137" s="546"/>
      <c r="BO137" s="546">
        <v>155720</v>
      </c>
      <c r="BP137" s="546"/>
      <c r="BQ137" s="546">
        <v>2600</v>
      </c>
      <c r="BR137" s="546"/>
      <c r="BS137" s="546">
        <v>382920</v>
      </c>
      <c r="BT137" s="546"/>
      <c r="BU137" s="546">
        <v>78000</v>
      </c>
      <c r="BV137" s="546"/>
      <c r="BW137" s="546">
        <v>0</v>
      </c>
      <c r="BX137" s="546"/>
      <c r="BY137" s="546">
        <v>376880</v>
      </c>
      <c r="BZ137" s="546"/>
      <c r="CA137" s="546">
        <v>376880</v>
      </c>
      <c r="CB137" s="546"/>
      <c r="CC137" s="546">
        <f>SUM(BO137:BY137)</f>
        <v>996120</v>
      </c>
      <c r="CD137" s="546"/>
      <c r="CE137" s="546">
        <v>376880</v>
      </c>
      <c r="CF137" s="546"/>
      <c r="CG137" s="546">
        <f>SUM(BS137:CC137)</f>
        <v>2210800</v>
      </c>
      <c r="CH137" s="546"/>
      <c r="CI137" s="546">
        <f>SUM(BU137:CE137)</f>
        <v>2204760</v>
      </c>
      <c r="CJ137" s="546"/>
      <c r="CK137" s="546">
        <f>SUM(BW137:CG137)</f>
        <v>4337560</v>
      </c>
      <c r="CL137" s="546"/>
      <c r="CM137" s="546">
        <f>SUM(BY137:CI137)</f>
        <v>6542320</v>
      </c>
      <c r="CN137" s="546"/>
      <c r="CO137" s="546">
        <f>SUM(CA137:CK137)</f>
        <v>10503000</v>
      </c>
      <c r="CP137" s="546"/>
      <c r="CQ137" s="546">
        <v>155720</v>
      </c>
      <c r="CR137" s="546"/>
      <c r="CS137" s="546">
        <v>155720</v>
      </c>
      <c r="CT137" s="546"/>
      <c r="CU137" s="546"/>
      <c r="CV137" s="546"/>
      <c r="CW137" s="546"/>
      <c r="CX137" s="546"/>
      <c r="CY137" s="546"/>
      <c r="CZ137" s="546"/>
      <c r="DA137" s="546"/>
      <c r="DB137" s="546"/>
      <c r="DC137" s="546"/>
      <c r="DD137" s="546"/>
      <c r="DE137" s="546"/>
      <c r="DF137" s="546"/>
      <c r="DG137" s="546"/>
      <c r="DH137" s="546"/>
      <c r="DI137" s="546"/>
      <c r="DJ137" s="546">
        <v>540</v>
      </c>
      <c r="DK137" s="546"/>
      <c r="DL137" s="546">
        <v>354840</v>
      </c>
      <c r="DM137" s="546"/>
      <c r="DN137" s="546">
        <v>272580</v>
      </c>
      <c r="DO137" s="546"/>
      <c r="DP137" s="546">
        <v>161940</v>
      </c>
      <c r="DQ137" s="546"/>
      <c r="DR137" s="546"/>
      <c r="DS137" s="546"/>
      <c r="DT137" s="546"/>
      <c r="DU137" s="546"/>
      <c r="DV137" s="546"/>
      <c r="DW137" s="546"/>
      <c r="DX137" s="546"/>
      <c r="DY137" s="546"/>
      <c r="DZ137" s="546">
        <v>138600</v>
      </c>
      <c r="EA137" s="546"/>
      <c r="EB137" s="546">
        <v>220620</v>
      </c>
      <c r="EC137" s="546"/>
      <c r="ED137" s="546">
        <v>143940</v>
      </c>
      <c r="EE137" s="546"/>
      <c r="EF137" s="546">
        <v>76500</v>
      </c>
      <c r="EG137" s="546"/>
      <c r="EH137" s="546">
        <v>157440</v>
      </c>
      <c r="EI137" s="546"/>
      <c r="EJ137" s="546">
        <v>142920</v>
      </c>
      <c r="EK137" s="546"/>
      <c r="EL137" s="546">
        <v>142920</v>
      </c>
      <c r="EM137" s="546"/>
      <c r="EN137" s="546">
        <v>71280</v>
      </c>
      <c r="EO137" s="546"/>
      <c r="EP137" s="546">
        <v>281520</v>
      </c>
      <c r="EQ137" s="546"/>
      <c r="ER137" s="546">
        <v>224040</v>
      </c>
      <c r="ES137" s="546"/>
      <c r="ET137" s="546">
        <v>223260</v>
      </c>
      <c r="EU137" s="546"/>
      <c r="EV137" s="546">
        <v>0</v>
      </c>
      <c r="EW137" s="546"/>
      <c r="EX137" s="546">
        <v>220560</v>
      </c>
      <c r="EY137" s="546"/>
      <c r="EZ137" s="546">
        <v>220560</v>
      </c>
      <c r="FA137" s="546"/>
      <c r="FB137" s="546">
        <f>SUM(EN137:EX137)</f>
        <v>1020660</v>
      </c>
      <c r="FC137" s="546"/>
      <c r="FD137" s="546">
        <f>SUM(EP137:FB137)</f>
        <v>2190600</v>
      </c>
      <c r="FE137" s="546"/>
      <c r="FF137" s="546">
        <f>SUM(ER137:FD137)</f>
        <v>4099680</v>
      </c>
      <c r="FG137" s="546"/>
      <c r="FH137" s="546">
        <f>SUM(ET137:FF137)</f>
        <v>7975320</v>
      </c>
      <c r="FI137" s="546"/>
      <c r="FJ137" s="546">
        <f>SUM(EV137:FH137)</f>
        <v>15727380</v>
      </c>
      <c r="FK137" s="546"/>
      <c r="FL137" s="546">
        <f>SUM(EX137:FJ137)</f>
        <v>31454760</v>
      </c>
      <c r="FM137" s="546"/>
      <c r="FN137" s="546">
        <f>SUM(EZ137:FL137)</f>
        <v>62688960</v>
      </c>
      <c r="FO137" s="546"/>
      <c r="FP137" s="546">
        <f>SUM(FB137:FN137)</f>
        <v>125157360</v>
      </c>
      <c r="FQ137" s="547"/>
      <c r="FR137" s="547"/>
      <c r="FS137" s="547"/>
      <c r="FT137" s="547"/>
      <c r="FU137" s="547"/>
      <c r="FV137" s="547"/>
      <c r="FW137" s="547"/>
      <c r="FX137" s="547"/>
      <c r="FY137" s="547"/>
      <c r="FZ137" s="547"/>
      <c r="GA137" s="547"/>
      <c r="GB137" s="547"/>
      <c r="GC137" s="547"/>
      <c r="GD137" s="547"/>
      <c r="GE137" s="547"/>
      <c r="GF137" s="547"/>
      <c r="GG137" s="547"/>
      <c r="GH137" s="547"/>
      <c r="GI137" s="547"/>
      <c r="GJ137" s="547"/>
      <c r="GK137" s="547"/>
      <c r="GL137" s="547"/>
      <c r="GM137" s="547"/>
      <c r="GN137" s="547"/>
      <c r="GO137" s="547"/>
      <c r="GP137" s="546"/>
      <c r="GQ137" s="546"/>
      <c r="GR137" s="546"/>
      <c r="GS137" s="546">
        <v>72280</v>
      </c>
      <c r="GT137" s="546"/>
      <c r="GU137" s="546"/>
      <c r="GV137" s="546"/>
      <c r="GW137" s="546">
        <v>71720</v>
      </c>
      <c r="GX137" s="547"/>
      <c r="GY137" s="547"/>
      <c r="GZ137" s="547"/>
      <c r="HA137" s="547"/>
      <c r="HB137" s="546"/>
      <c r="HC137" s="546"/>
      <c r="HD137" s="546"/>
      <c r="HE137" s="546">
        <v>76120</v>
      </c>
      <c r="HF137" s="546"/>
      <c r="HG137" s="546"/>
      <c r="HH137" s="546"/>
      <c r="HI137" s="546"/>
      <c r="HJ137" s="546"/>
      <c r="HK137" s="546"/>
      <c r="HL137" s="546"/>
      <c r="HM137" s="546">
        <v>77600</v>
      </c>
      <c r="HN137" s="546"/>
      <c r="HO137" s="546"/>
      <c r="HP137" s="546"/>
      <c r="HQ137" s="546"/>
      <c r="HR137" s="546"/>
      <c r="HS137" s="546"/>
      <c r="HT137" s="546"/>
      <c r="HU137" s="546"/>
      <c r="HV137" s="546"/>
      <c r="HW137" s="546"/>
      <c r="HX137" s="546"/>
      <c r="HY137" s="546"/>
      <c r="HZ137" s="546"/>
      <c r="IA137" s="546"/>
      <c r="IB137" s="546"/>
      <c r="IC137" s="546">
        <v>152400</v>
      </c>
      <c r="ID137" s="546"/>
      <c r="IE137" s="546"/>
      <c r="IF137" s="546"/>
      <c r="IG137" s="546"/>
      <c r="IH137" s="546"/>
      <c r="II137" s="546"/>
      <c r="IJ137" s="546"/>
      <c r="IK137" s="546"/>
      <c r="IL137" s="546"/>
      <c r="IM137" s="546"/>
      <c r="IN137" s="546"/>
      <c r="IO137" s="546"/>
      <c r="IP137" s="546"/>
      <c r="IQ137" s="546"/>
      <c r="IR137" s="546"/>
      <c r="IS137" s="546"/>
      <c r="IT137" s="546"/>
      <c r="IU137" s="546"/>
      <c r="IV137" s="546"/>
      <c r="IW137" s="546"/>
      <c r="IX137" s="546"/>
      <c r="IY137" s="546"/>
      <c r="IZ137" s="548"/>
      <c r="JA137" s="547"/>
      <c r="JB137" s="547"/>
      <c r="JC137" s="547"/>
      <c r="JD137" s="547"/>
      <c r="JE137" s="547"/>
      <c r="JF137" s="547"/>
      <c r="JG137" s="547"/>
      <c r="JH137" s="547"/>
      <c r="JI137" s="547"/>
      <c r="JJ137" s="547"/>
      <c r="JK137" s="547"/>
      <c r="JL137" s="547"/>
      <c r="JM137" s="547"/>
      <c r="JN137" s="547"/>
      <c r="JO137" s="547"/>
      <c r="JP137" s="547"/>
      <c r="JQ137" s="547"/>
      <c r="JR137" s="547"/>
      <c r="JS137" s="547"/>
      <c r="JT137" s="547"/>
      <c r="JU137" s="547"/>
      <c r="JV137" s="547"/>
      <c r="JW137" s="547"/>
      <c r="JX137" s="547"/>
      <c r="JY137" s="547"/>
      <c r="JZ137" s="547"/>
      <c r="KA137" s="546">
        <v>76000</v>
      </c>
      <c r="KB137" s="547"/>
      <c r="KC137" s="546"/>
      <c r="KD137" s="547"/>
      <c r="KE137" s="546">
        <v>90160</v>
      </c>
      <c r="KF137" s="547"/>
      <c r="KG137" s="546">
        <v>76000</v>
      </c>
      <c r="KH137" s="547"/>
      <c r="KI137" s="546"/>
      <c r="KJ137" s="547"/>
      <c r="KK137" s="546"/>
      <c r="KL137" s="547"/>
      <c r="KM137" s="546">
        <v>76000</v>
      </c>
      <c r="KN137" s="547"/>
      <c r="KO137" s="546">
        <v>153880</v>
      </c>
      <c r="KP137" s="547"/>
      <c r="KQ137" s="546">
        <v>70000</v>
      </c>
      <c r="KR137" s="547"/>
      <c r="KS137" s="546">
        <v>71480</v>
      </c>
      <c r="KT137" s="547"/>
      <c r="KU137" s="546"/>
      <c r="KV137" s="547"/>
      <c r="KW137" s="546"/>
      <c r="KX137" s="547"/>
      <c r="KY137" s="546">
        <v>54400</v>
      </c>
      <c r="KZ137" s="547"/>
      <c r="LA137" s="546">
        <v>76000</v>
      </c>
      <c r="LB137" s="547"/>
      <c r="LC137" s="546">
        <v>76000</v>
      </c>
      <c r="LD137" s="547"/>
      <c r="LE137" s="546">
        <v>76920</v>
      </c>
      <c r="LF137" s="547"/>
      <c r="LG137" s="546">
        <v>0</v>
      </c>
      <c r="LH137" s="547"/>
      <c r="LI137" s="546">
        <v>228000</v>
      </c>
      <c r="LJ137" s="547"/>
      <c r="LK137" s="546">
        <v>76920</v>
      </c>
      <c r="LL137" s="547"/>
      <c r="LM137" s="546">
        <v>0</v>
      </c>
      <c r="LN137" s="547"/>
      <c r="LO137" s="546">
        <v>152000</v>
      </c>
      <c r="LP137" s="547"/>
      <c r="LQ137" s="546">
        <v>152000</v>
      </c>
      <c r="LR137" s="547"/>
      <c r="LS137" s="546">
        <f>SUM(LE137:LO137)</f>
        <v>533840</v>
      </c>
      <c r="LT137" s="547"/>
      <c r="LU137" s="546">
        <f>SUM(LG137:LQ137)</f>
        <v>608920</v>
      </c>
      <c r="LV137" s="547"/>
      <c r="LW137" s="546">
        <f>SUM(LI137:LS137)</f>
        <v>1142760</v>
      </c>
      <c r="LX137" s="547"/>
      <c r="LY137" s="546">
        <f>SUM(LK137:LU137)</f>
        <v>1523680</v>
      </c>
      <c r="LZ137" s="547"/>
      <c r="MA137" s="546">
        <f>SUM(LM137:LW137)</f>
        <v>2589520</v>
      </c>
      <c r="MB137" s="547"/>
      <c r="MC137" s="546">
        <f>SUM(LO137:LY137)</f>
        <v>4113200</v>
      </c>
      <c r="MD137" s="547"/>
      <c r="ME137" s="546">
        <f>SUM(LQ137:MA137)</f>
        <v>6550720</v>
      </c>
      <c r="MF137" s="547"/>
      <c r="MG137" s="546">
        <v>0</v>
      </c>
      <c r="MH137" s="547"/>
      <c r="MI137" s="547"/>
      <c r="MJ137" s="547"/>
      <c r="MK137" s="547"/>
      <c r="ML137" s="547"/>
      <c r="MM137" s="547"/>
      <c r="MN137" s="547"/>
      <c r="MO137" s="547"/>
      <c r="MP137" s="547"/>
      <c r="MQ137" s="547"/>
      <c r="MR137" s="547"/>
      <c r="MS137" s="547"/>
      <c r="MT137" s="547"/>
      <c r="MU137" s="547"/>
      <c r="MV137" s="547"/>
      <c r="MW137" s="547"/>
      <c r="MX137" s="547"/>
      <c r="MY137" s="547"/>
      <c r="MZ137" s="547"/>
      <c r="NA137" s="547"/>
      <c r="NB137" s="547"/>
      <c r="NC137" s="547"/>
      <c r="ND137" s="546"/>
      <c r="NE137" s="547"/>
      <c r="NF137" s="546"/>
      <c r="NG137" s="547"/>
      <c r="NH137" s="546">
        <v>74400</v>
      </c>
      <c r="NI137" s="547"/>
      <c r="NJ137" s="546">
        <v>71040</v>
      </c>
      <c r="NK137" s="547"/>
      <c r="NL137" s="546"/>
      <c r="NM137" s="547"/>
      <c r="NN137" s="546"/>
      <c r="NO137" s="547"/>
      <c r="NP137" s="546">
        <v>235760</v>
      </c>
      <c r="NQ137" s="547"/>
      <c r="NR137" s="546">
        <v>160000</v>
      </c>
      <c r="NS137" s="547"/>
      <c r="NT137" s="546"/>
      <c r="NU137" s="547"/>
      <c r="NV137" s="546"/>
      <c r="NW137" s="547"/>
      <c r="NX137" s="546"/>
      <c r="NY137" s="547"/>
      <c r="NZ137" s="546">
        <v>151640</v>
      </c>
      <c r="OA137" s="547"/>
      <c r="OB137" s="546">
        <v>12920</v>
      </c>
      <c r="OC137" s="547"/>
      <c r="OD137" s="546">
        <v>164560</v>
      </c>
      <c r="OE137" s="547"/>
      <c r="OF137" s="546">
        <v>164560</v>
      </c>
      <c r="OG137" s="547"/>
      <c r="OH137" s="546">
        <v>0</v>
      </c>
      <c r="OI137" s="547"/>
      <c r="OJ137" s="546">
        <v>0</v>
      </c>
      <c r="OK137" s="547"/>
      <c r="OL137" s="546">
        <v>74400</v>
      </c>
      <c r="OM137" s="547"/>
      <c r="ON137" s="546">
        <v>71040</v>
      </c>
      <c r="OO137" s="547"/>
      <c r="OP137" s="546">
        <v>0</v>
      </c>
      <c r="OQ137" s="547"/>
      <c r="OR137" s="546">
        <v>329120</v>
      </c>
      <c r="OS137" s="547"/>
      <c r="OT137" s="546">
        <v>329120</v>
      </c>
      <c r="OU137" s="547"/>
      <c r="OV137" s="546">
        <f>SUM(OH137:OR137)</f>
        <v>474560</v>
      </c>
      <c r="OW137" s="547"/>
      <c r="OX137" s="546">
        <f>SUM(OJ137:OT137)</f>
        <v>803680</v>
      </c>
      <c r="OY137" s="547"/>
      <c r="OZ137" s="546">
        <f>SUM(OL137:OV137)</f>
        <v>1278240</v>
      </c>
      <c r="PA137" s="547"/>
      <c r="PB137" s="546">
        <f>SUM(ON137:OX137)</f>
        <v>2007520</v>
      </c>
      <c r="PC137" s="547"/>
      <c r="PD137" s="546">
        <f>SUM(OP137:OZ137)</f>
        <v>3214720</v>
      </c>
      <c r="PE137" s="547"/>
      <c r="PF137" s="546">
        <f>SUM(OR137:PB137)</f>
        <v>5222240</v>
      </c>
      <c r="PG137" s="547"/>
      <c r="PH137" s="546">
        <f>SUM(OT137:PD137)</f>
        <v>8107840</v>
      </c>
      <c r="PI137" s="547"/>
      <c r="PJ137" s="546">
        <f>4114*2*40</f>
        <v>329120</v>
      </c>
      <c r="PK137" s="547"/>
      <c r="PL137" s="546">
        <f>4114*40</f>
        <v>164560</v>
      </c>
      <c r="PM137" s="547"/>
      <c r="PN137" s="546">
        <f>4114*2*40</f>
        <v>329120</v>
      </c>
      <c r="PO137" s="547"/>
      <c r="PP137" s="546">
        <f>4114*2*40</f>
        <v>329120</v>
      </c>
      <c r="PQ137" s="547"/>
      <c r="PR137" s="547"/>
      <c r="PS137" s="546">
        <v>74400</v>
      </c>
      <c r="PT137" s="547"/>
      <c r="PU137" s="546">
        <v>74400</v>
      </c>
      <c r="PV137" s="547"/>
      <c r="PW137" s="546">
        <v>74400</v>
      </c>
      <c r="PX137" s="547"/>
      <c r="PY137" s="546">
        <v>74400</v>
      </c>
      <c r="PZ137" s="547"/>
      <c r="QA137" s="546">
        <v>74400</v>
      </c>
      <c r="QB137" s="547"/>
      <c r="QC137" s="546">
        <v>74400</v>
      </c>
      <c r="QD137" s="547"/>
      <c r="QE137" s="547"/>
      <c r="QF137" s="547"/>
      <c r="QG137" s="546">
        <v>74400</v>
      </c>
      <c r="QH137" s="547"/>
      <c r="QI137" s="546">
        <v>74400</v>
      </c>
      <c r="QJ137" s="547"/>
      <c r="QK137" s="546">
        <v>74400</v>
      </c>
      <c r="QL137" s="547"/>
      <c r="QM137" s="546">
        <v>74400</v>
      </c>
      <c r="QN137" s="547"/>
      <c r="QO137" s="546">
        <v>74400</v>
      </c>
      <c r="QP137" s="547"/>
      <c r="QQ137" s="546">
        <v>74400</v>
      </c>
    </row>
    <row r="138" spans="1:459" x14ac:dyDescent="0.45">
      <c r="A138" s="546" t="s">
        <v>431</v>
      </c>
      <c r="B138" s="546"/>
      <c r="C138" s="546"/>
      <c r="D138" s="546"/>
      <c r="E138" s="546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  <c r="AA138" s="547"/>
      <c r="AB138" s="547"/>
      <c r="AC138" s="547"/>
      <c r="AD138" s="547"/>
      <c r="AE138" s="547"/>
      <c r="AF138" s="547"/>
      <c r="AG138" s="547"/>
      <c r="AH138" s="547"/>
      <c r="AI138" s="547"/>
      <c r="AJ138" s="546"/>
      <c r="AK138" s="546">
        <f>AK137/40</f>
        <v>3826</v>
      </c>
      <c r="AL138" s="546"/>
      <c r="AM138" s="546">
        <f>AM137/40</f>
        <v>0</v>
      </c>
      <c r="AN138" s="546"/>
      <c r="AO138" s="546">
        <f>AO137/40</f>
        <v>7515</v>
      </c>
      <c r="AP138" s="546"/>
      <c r="AQ138" s="546">
        <f>AQ137/40</f>
        <v>3400</v>
      </c>
      <c r="AR138" s="546"/>
      <c r="AS138" s="546">
        <f>AS137/40</f>
        <v>0</v>
      </c>
      <c r="AT138" s="546"/>
      <c r="AU138" s="546">
        <f>AU137/40</f>
        <v>0</v>
      </c>
      <c r="AV138" s="546"/>
      <c r="AW138" s="546">
        <f>AW137/40</f>
        <v>327</v>
      </c>
      <c r="AX138" s="546"/>
      <c r="AY138" s="546">
        <f>AY137/40</f>
        <v>1949</v>
      </c>
      <c r="AZ138" s="546"/>
      <c r="BA138" s="546">
        <f>BA137/40</f>
        <v>5983</v>
      </c>
      <c r="BB138" s="546"/>
      <c r="BC138" s="546">
        <f>BC137/40</f>
        <v>0</v>
      </c>
      <c r="BD138" s="546"/>
      <c r="BE138" s="546">
        <f>BE137/40</f>
        <v>3820</v>
      </c>
      <c r="BF138" s="546"/>
      <c r="BG138" s="546">
        <f>BG137/40</f>
        <v>3884</v>
      </c>
      <c r="BH138" s="546"/>
      <c r="BI138" s="546">
        <f>BI137/40</f>
        <v>1835</v>
      </c>
      <c r="BJ138" s="546"/>
      <c r="BK138" s="546">
        <f>BK137/40</f>
        <v>1950</v>
      </c>
      <c r="BL138" s="546"/>
      <c r="BM138" s="546">
        <f>BM137/40</f>
        <v>1950</v>
      </c>
      <c r="BN138" s="546"/>
      <c r="BO138" s="546">
        <f>BO137/40</f>
        <v>3893</v>
      </c>
      <c r="BP138" s="546"/>
      <c r="BQ138" s="546">
        <f>BQ137/40</f>
        <v>65</v>
      </c>
      <c r="BR138" s="546"/>
      <c r="BS138" s="546">
        <f>BS137/40</f>
        <v>9573</v>
      </c>
      <c r="BT138" s="546"/>
      <c r="BU138" s="546">
        <f>BU137/40</f>
        <v>1950</v>
      </c>
      <c r="BV138" s="546"/>
      <c r="BW138" s="546">
        <f>BW137/40</f>
        <v>0</v>
      </c>
      <c r="BX138" s="546"/>
      <c r="BY138" s="546">
        <f>BY137/40</f>
        <v>9422</v>
      </c>
      <c r="BZ138" s="546"/>
      <c r="CA138" s="546">
        <f>CA137/40</f>
        <v>9422</v>
      </c>
      <c r="CB138" s="546"/>
      <c r="CC138" s="546">
        <f>CC137/40</f>
        <v>24903</v>
      </c>
      <c r="CD138" s="546"/>
      <c r="CE138" s="546">
        <f>CE137/40</f>
        <v>9422</v>
      </c>
      <c r="CF138" s="546"/>
      <c r="CG138" s="546">
        <f>CG137/40</f>
        <v>55270</v>
      </c>
      <c r="CH138" s="546"/>
      <c r="CI138" s="546">
        <f>CI137/40</f>
        <v>55119</v>
      </c>
      <c r="CJ138" s="546"/>
      <c r="CK138" s="546">
        <f>CK137/40</f>
        <v>108439</v>
      </c>
      <c r="CL138" s="546"/>
      <c r="CM138" s="546">
        <f>CM137/40</f>
        <v>163558</v>
      </c>
      <c r="CN138" s="546"/>
      <c r="CO138" s="546">
        <f>CO137/40</f>
        <v>262575</v>
      </c>
      <c r="CP138" s="546"/>
      <c r="CQ138" s="546">
        <f>CQ137/40</f>
        <v>3893</v>
      </c>
      <c r="CR138" s="546"/>
      <c r="CS138" s="546">
        <f>CS137/40</f>
        <v>3893</v>
      </c>
      <c r="CT138" s="546"/>
      <c r="CU138" s="546"/>
      <c r="CV138" s="546"/>
      <c r="CW138" s="546"/>
      <c r="CX138" s="546"/>
      <c r="CY138" s="546"/>
      <c r="CZ138" s="546"/>
      <c r="DA138" s="546"/>
      <c r="DB138" s="546"/>
      <c r="DC138" s="546"/>
      <c r="DD138" s="546"/>
      <c r="DE138" s="546"/>
      <c r="DF138" s="546"/>
      <c r="DG138" s="546"/>
      <c r="DH138" s="546"/>
      <c r="DI138" s="546"/>
      <c r="DJ138" s="546">
        <f>DJ137/40</f>
        <v>13.5</v>
      </c>
      <c r="DK138" s="546"/>
      <c r="DL138" s="546">
        <f>DL137/40</f>
        <v>8871</v>
      </c>
      <c r="DM138" s="546"/>
      <c r="DN138" s="546">
        <f>DN137/40</f>
        <v>6814.5</v>
      </c>
      <c r="DO138" s="546"/>
      <c r="DP138" s="546">
        <f>DP137/40</f>
        <v>4048.5</v>
      </c>
      <c r="DQ138" s="546"/>
      <c r="DR138" s="546">
        <f>DR137/40</f>
        <v>0</v>
      </c>
      <c r="DS138" s="546"/>
      <c r="DT138" s="546">
        <f>DT137/40</f>
        <v>0</v>
      </c>
      <c r="DU138" s="546"/>
      <c r="DV138" s="546">
        <f>DV137/40</f>
        <v>0</v>
      </c>
      <c r="DW138" s="546"/>
      <c r="DX138" s="546">
        <f>DX137/40</f>
        <v>0</v>
      </c>
      <c r="DY138" s="546"/>
      <c r="DZ138" s="546">
        <f>DZ137/40</f>
        <v>3465</v>
      </c>
      <c r="EA138" s="546"/>
      <c r="EB138" s="546">
        <f>EB137/40</f>
        <v>5515.5</v>
      </c>
      <c r="EC138" s="546"/>
      <c r="ED138" s="546">
        <f>ED137/40</f>
        <v>3598.5</v>
      </c>
      <c r="EE138" s="546"/>
      <c r="EF138" s="546">
        <f>EF137/40</f>
        <v>1912.5</v>
      </c>
      <c r="EG138" s="546"/>
      <c r="EH138" s="546">
        <f>EH137/40</f>
        <v>3936</v>
      </c>
      <c r="EI138" s="546"/>
      <c r="EJ138" s="546">
        <f>EJ137/40</f>
        <v>3573</v>
      </c>
      <c r="EK138" s="546"/>
      <c r="EL138" s="546">
        <f>EL137/40</f>
        <v>3573</v>
      </c>
      <c r="EM138" s="546"/>
      <c r="EN138" s="546">
        <f>EN137/40</f>
        <v>1782</v>
      </c>
      <c r="EO138" s="546"/>
      <c r="EP138" s="546">
        <f>EP137/40</f>
        <v>7038</v>
      </c>
      <c r="EQ138" s="546"/>
      <c r="ER138" s="546">
        <f>ER137/40</f>
        <v>5601</v>
      </c>
      <c r="ES138" s="546"/>
      <c r="ET138" s="546">
        <f>ET137/40</f>
        <v>5581.5</v>
      </c>
      <c r="EU138" s="546"/>
      <c r="EV138" s="546">
        <f>EV137/40</f>
        <v>0</v>
      </c>
      <c r="EW138" s="546"/>
      <c r="EX138" s="546">
        <f>EX137/40</f>
        <v>5514</v>
      </c>
      <c r="EY138" s="546"/>
      <c r="EZ138" s="546">
        <f>EZ137/40</f>
        <v>5514</v>
      </c>
      <c r="FA138" s="546"/>
      <c r="FB138" s="546">
        <f>FB137/40</f>
        <v>25516.5</v>
      </c>
      <c r="FC138" s="546"/>
      <c r="FD138" s="546">
        <f>FD137/40</f>
        <v>54765</v>
      </c>
      <c r="FE138" s="546"/>
      <c r="FF138" s="546">
        <f>FF137/40</f>
        <v>102492</v>
      </c>
      <c r="FG138" s="546"/>
      <c r="FH138" s="546">
        <f>FH137/40</f>
        <v>199383</v>
      </c>
      <c r="FI138" s="546"/>
      <c r="FJ138" s="546">
        <f>FJ137/40</f>
        <v>393184.5</v>
      </c>
      <c r="FK138" s="546"/>
      <c r="FL138" s="546">
        <f>FL137/40</f>
        <v>786369</v>
      </c>
      <c r="FM138" s="546"/>
      <c r="FN138" s="546">
        <f>FN137/40</f>
        <v>1567224</v>
      </c>
      <c r="FO138" s="546"/>
      <c r="FP138" s="546">
        <f>FP137/40</f>
        <v>3128934</v>
      </c>
      <c r="FQ138" s="547"/>
      <c r="FR138" s="547"/>
      <c r="FS138" s="547"/>
      <c r="FT138" s="547"/>
      <c r="FU138" s="547"/>
      <c r="FV138" s="547"/>
      <c r="FW138" s="547"/>
      <c r="FX138" s="547"/>
      <c r="FY138" s="547"/>
      <c r="FZ138" s="547"/>
      <c r="GA138" s="547"/>
      <c r="GB138" s="547"/>
      <c r="GC138" s="547"/>
      <c r="GD138" s="547"/>
      <c r="GE138" s="547"/>
      <c r="GF138" s="547"/>
      <c r="GG138" s="547"/>
      <c r="GH138" s="547"/>
      <c r="GI138" s="547"/>
      <c r="GJ138" s="547"/>
      <c r="GK138" s="547"/>
      <c r="GL138" s="547"/>
      <c r="GM138" s="547"/>
      <c r="GN138" s="547"/>
      <c r="GO138" s="547"/>
      <c r="GP138" s="546"/>
      <c r="GQ138" s="546">
        <f>GQ137/40</f>
        <v>0</v>
      </c>
      <c r="GR138" s="546"/>
      <c r="GS138" s="546">
        <f>GS137/40</f>
        <v>1807</v>
      </c>
      <c r="GT138" s="546"/>
      <c r="GU138" s="546">
        <f>GU137/40</f>
        <v>0</v>
      </c>
      <c r="GV138" s="546"/>
      <c r="GW138" s="546">
        <f>GW137/40</f>
        <v>1793</v>
      </c>
      <c r="GX138" s="547"/>
      <c r="GY138" s="547"/>
      <c r="GZ138" s="547"/>
      <c r="HA138" s="547"/>
      <c r="HB138" s="546"/>
      <c r="HC138" s="546">
        <f>HC137/40</f>
        <v>0</v>
      </c>
      <c r="HD138" s="546"/>
      <c r="HE138" s="546">
        <f>HE137/40</f>
        <v>1903</v>
      </c>
      <c r="HF138" s="546"/>
      <c r="HG138" s="546">
        <f>HG137/40</f>
        <v>0</v>
      </c>
      <c r="HH138" s="546"/>
      <c r="HI138" s="546">
        <f>HI137/40</f>
        <v>0</v>
      </c>
      <c r="HJ138" s="546"/>
      <c r="HK138" s="546">
        <f>HK137/40</f>
        <v>0</v>
      </c>
      <c r="HL138" s="546"/>
      <c r="HM138" s="546">
        <f>HM137/40</f>
        <v>1940</v>
      </c>
      <c r="HN138" s="546"/>
      <c r="HO138" s="546">
        <f>HO137/40</f>
        <v>0</v>
      </c>
      <c r="HP138" s="546"/>
      <c r="HQ138" s="546">
        <f>HQ137/40</f>
        <v>0</v>
      </c>
      <c r="HR138" s="546"/>
      <c r="HS138" s="546">
        <f>HS137/40</f>
        <v>0</v>
      </c>
      <c r="HT138" s="546"/>
      <c r="HU138" s="546">
        <f>HU137/40</f>
        <v>0</v>
      </c>
      <c r="HV138" s="546"/>
      <c r="HW138" s="546">
        <f>HW137/40</f>
        <v>0</v>
      </c>
      <c r="HX138" s="546"/>
      <c r="HY138" s="546">
        <f>HY137/40</f>
        <v>0</v>
      </c>
      <c r="HZ138" s="546"/>
      <c r="IA138" s="546">
        <f>IA137/40</f>
        <v>0</v>
      </c>
      <c r="IB138" s="546"/>
      <c r="IC138" s="546">
        <f>IC137/40</f>
        <v>3810</v>
      </c>
      <c r="ID138" s="546"/>
      <c r="IE138" s="546">
        <f>IE137/40</f>
        <v>0</v>
      </c>
      <c r="IF138" s="546"/>
      <c r="IG138" s="546">
        <f>IG137/40</f>
        <v>0</v>
      </c>
      <c r="IH138" s="546"/>
      <c r="II138" s="546">
        <f>II137/40</f>
        <v>0</v>
      </c>
      <c r="IJ138" s="546"/>
      <c r="IK138" s="546">
        <f>IK137/40</f>
        <v>0</v>
      </c>
      <c r="IL138" s="546"/>
      <c r="IM138" s="546">
        <f>IM137/40</f>
        <v>0</v>
      </c>
      <c r="IN138" s="546"/>
      <c r="IO138" s="546">
        <f>IO137/40</f>
        <v>0</v>
      </c>
      <c r="IP138" s="546"/>
      <c r="IQ138" s="546">
        <f>IQ137/40</f>
        <v>0</v>
      </c>
      <c r="IR138" s="546"/>
      <c r="IS138" s="546">
        <f>IS137/40</f>
        <v>0</v>
      </c>
      <c r="IT138" s="546"/>
      <c r="IU138" s="546">
        <f>IU137/40</f>
        <v>0</v>
      </c>
      <c r="IV138" s="546"/>
      <c r="IW138" s="546">
        <f>IW137/40</f>
        <v>0</v>
      </c>
      <c r="IX138" s="546"/>
      <c r="IY138" s="546">
        <f>IY137/40</f>
        <v>0</v>
      </c>
      <c r="IZ138" s="548"/>
      <c r="JA138" s="547"/>
      <c r="JB138" s="547"/>
      <c r="JC138" s="547"/>
      <c r="JD138" s="547"/>
      <c r="JE138" s="547"/>
      <c r="JF138" s="547"/>
      <c r="JG138" s="547"/>
      <c r="JH138" s="547"/>
      <c r="JI138" s="547"/>
      <c r="JJ138" s="547"/>
      <c r="JK138" s="547"/>
      <c r="JL138" s="547"/>
      <c r="JM138" s="547"/>
      <c r="JN138" s="547"/>
      <c r="JO138" s="547"/>
      <c r="JP138" s="547"/>
      <c r="JQ138" s="547"/>
      <c r="JR138" s="547"/>
      <c r="JS138" s="547"/>
      <c r="JT138" s="547"/>
      <c r="JU138" s="547"/>
      <c r="JV138" s="547"/>
      <c r="JW138" s="547"/>
      <c r="JX138" s="547"/>
      <c r="JY138" s="547"/>
      <c r="JZ138" s="547"/>
      <c r="KA138" s="546">
        <f>KA137/40</f>
        <v>1900</v>
      </c>
      <c r="KB138" s="547"/>
      <c r="KC138" s="546">
        <f>KC137/40</f>
        <v>0</v>
      </c>
      <c r="KD138" s="547"/>
      <c r="KE138" s="546">
        <f>KE137/40</f>
        <v>2254</v>
      </c>
      <c r="KF138" s="547"/>
      <c r="KG138" s="546">
        <f>KG137/40</f>
        <v>1900</v>
      </c>
      <c r="KH138" s="547"/>
      <c r="KI138" s="546">
        <f>KI137/40</f>
        <v>0</v>
      </c>
      <c r="KJ138" s="547"/>
      <c r="KK138" s="546">
        <f>KK137/40</f>
        <v>0</v>
      </c>
      <c r="KL138" s="547"/>
      <c r="KM138" s="546">
        <f>KM137/40</f>
        <v>1900</v>
      </c>
      <c r="KN138" s="547"/>
      <c r="KO138" s="546">
        <f>KO137/40</f>
        <v>3847</v>
      </c>
      <c r="KP138" s="547"/>
      <c r="KQ138" s="546">
        <f>KQ137/40</f>
        <v>1750</v>
      </c>
      <c r="KR138" s="547"/>
      <c r="KS138" s="546">
        <f>KS137/40</f>
        <v>1787</v>
      </c>
      <c r="KT138" s="547"/>
      <c r="KU138" s="546">
        <f>KU137/40</f>
        <v>0</v>
      </c>
      <c r="KV138" s="547"/>
      <c r="KW138" s="546">
        <f>KW137/40</f>
        <v>0</v>
      </c>
      <c r="KX138" s="547"/>
      <c r="KY138" s="546">
        <f>KY137/40</f>
        <v>1360</v>
      </c>
      <c r="KZ138" s="547"/>
      <c r="LA138" s="546">
        <f>LA137/40</f>
        <v>1900</v>
      </c>
      <c r="LB138" s="547"/>
      <c r="LC138" s="546">
        <f>LC137/40</f>
        <v>1900</v>
      </c>
      <c r="LD138" s="547"/>
      <c r="LE138" s="546">
        <f>LE137/40</f>
        <v>1923</v>
      </c>
      <c r="LF138" s="547"/>
      <c r="LG138" s="546">
        <f>LG137/40</f>
        <v>0</v>
      </c>
      <c r="LH138" s="547"/>
      <c r="LI138" s="546">
        <f>LI137/40</f>
        <v>5700</v>
      </c>
      <c r="LJ138" s="547"/>
      <c r="LK138" s="546">
        <f>LK137/40</f>
        <v>1923</v>
      </c>
      <c r="LL138" s="547"/>
      <c r="LM138" s="546">
        <f>LM137/40</f>
        <v>0</v>
      </c>
      <c r="LN138" s="547"/>
      <c r="LO138" s="546">
        <f>LO137/40</f>
        <v>3800</v>
      </c>
      <c r="LP138" s="547"/>
      <c r="LQ138" s="546">
        <f>LQ137/40</f>
        <v>3800</v>
      </c>
      <c r="LR138" s="547"/>
      <c r="LS138" s="546">
        <f>LS137/40</f>
        <v>13346</v>
      </c>
      <c r="LT138" s="547"/>
      <c r="LU138" s="546">
        <f>LU137/40</f>
        <v>15223</v>
      </c>
      <c r="LV138" s="547"/>
      <c r="LW138" s="546">
        <f>LW137/40</f>
        <v>28569</v>
      </c>
      <c r="LX138" s="547"/>
      <c r="LY138" s="546">
        <f>LY137/40</f>
        <v>38092</v>
      </c>
      <c r="LZ138" s="547"/>
      <c r="MA138" s="546">
        <f>MA137/40</f>
        <v>64738</v>
      </c>
      <c r="MB138" s="547"/>
      <c r="MC138" s="546">
        <f>MC137/40</f>
        <v>102830</v>
      </c>
      <c r="MD138" s="547"/>
      <c r="ME138" s="546">
        <f>ME137/40</f>
        <v>163768</v>
      </c>
      <c r="MF138" s="547"/>
      <c r="MG138" s="546">
        <f>MG137/40</f>
        <v>0</v>
      </c>
      <c r="MH138" s="547"/>
      <c r="MI138" s="547"/>
      <c r="MJ138" s="547"/>
      <c r="MK138" s="547"/>
      <c r="ML138" s="547"/>
      <c r="MM138" s="547"/>
      <c r="MN138" s="547"/>
      <c r="MO138" s="547"/>
      <c r="MP138" s="547"/>
      <c r="MQ138" s="547"/>
      <c r="MR138" s="547"/>
      <c r="MS138" s="547"/>
      <c r="MT138" s="547"/>
      <c r="MU138" s="547"/>
      <c r="MV138" s="547"/>
      <c r="MW138" s="547"/>
      <c r="MX138" s="547"/>
      <c r="MY138" s="547"/>
      <c r="MZ138" s="547"/>
      <c r="NA138" s="547"/>
      <c r="NB138" s="547"/>
      <c r="NC138" s="547"/>
      <c r="ND138" s="546">
        <f>ND137/40</f>
        <v>0</v>
      </c>
      <c r="NE138" s="547"/>
      <c r="NF138" s="546">
        <f>NF137/40</f>
        <v>0</v>
      </c>
      <c r="NG138" s="547"/>
      <c r="NH138" s="546">
        <f>NH137/40</f>
        <v>1860</v>
      </c>
      <c r="NI138" s="547"/>
      <c r="NJ138" s="546">
        <f>NJ137/40</f>
        <v>1776</v>
      </c>
      <c r="NK138" s="547"/>
      <c r="NL138" s="546">
        <f>NL137/40</f>
        <v>0</v>
      </c>
      <c r="NM138" s="547"/>
      <c r="NN138" s="546">
        <f>NN137/40</f>
        <v>0</v>
      </c>
      <c r="NO138" s="547"/>
      <c r="NP138" s="546">
        <f>NP137/40</f>
        <v>5894</v>
      </c>
      <c r="NQ138" s="547"/>
      <c r="NR138" s="546">
        <f>NR137/40</f>
        <v>4000</v>
      </c>
      <c r="NS138" s="547"/>
      <c r="NT138" s="546">
        <f>NT137/40</f>
        <v>0</v>
      </c>
      <c r="NU138" s="547"/>
      <c r="NV138" s="546">
        <f>NV137/40</f>
        <v>0</v>
      </c>
      <c r="NW138" s="547"/>
      <c r="NX138" s="546">
        <f>NX137/40</f>
        <v>0</v>
      </c>
      <c r="NY138" s="547"/>
      <c r="NZ138" s="546">
        <f>NZ137/40</f>
        <v>3791</v>
      </c>
      <c r="OA138" s="547"/>
      <c r="OB138" s="546">
        <f>OB137/40</f>
        <v>323</v>
      </c>
      <c r="OC138" s="547"/>
      <c r="OD138" s="546">
        <f>OD137/40</f>
        <v>4114</v>
      </c>
      <c r="OE138" s="547"/>
      <c r="OF138" s="546">
        <f>OF137/40</f>
        <v>4114</v>
      </c>
      <c r="OG138" s="547"/>
      <c r="OH138" s="546">
        <f>OH137/40</f>
        <v>0</v>
      </c>
      <c r="OI138" s="547"/>
      <c r="OJ138" s="546">
        <f>OJ137/40</f>
        <v>0</v>
      </c>
      <c r="OK138" s="547"/>
      <c r="OL138" s="546">
        <f>OL137/40</f>
        <v>1860</v>
      </c>
      <c r="OM138" s="547"/>
      <c r="ON138" s="546">
        <f>ON137/40</f>
        <v>1776</v>
      </c>
      <c r="OO138" s="547"/>
      <c r="OP138" s="546">
        <f>OP137/40</f>
        <v>0</v>
      </c>
      <c r="OQ138" s="547"/>
      <c r="OR138" s="546">
        <f>OR137/40</f>
        <v>8228</v>
      </c>
      <c r="OS138" s="547"/>
      <c r="OT138" s="546">
        <f>OT137/40</f>
        <v>8228</v>
      </c>
      <c r="OU138" s="547"/>
      <c r="OV138" s="546">
        <f>OV137/40</f>
        <v>11864</v>
      </c>
      <c r="OW138" s="547"/>
      <c r="OX138" s="546">
        <f>OX137/40</f>
        <v>20092</v>
      </c>
      <c r="OY138" s="547"/>
      <c r="OZ138" s="546">
        <f>OZ137/40</f>
        <v>31956</v>
      </c>
      <c r="PA138" s="547"/>
      <c r="PB138" s="546">
        <f>PB137/40</f>
        <v>50188</v>
      </c>
      <c r="PC138" s="547"/>
      <c r="PD138" s="546">
        <f>PD137/40</f>
        <v>80368</v>
      </c>
      <c r="PE138" s="547"/>
      <c r="PF138" s="546">
        <f>PF137/40</f>
        <v>130556</v>
      </c>
      <c r="PG138" s="547"/>
      <c r="PH138" s="546">
        <f>PH137/40</f>
        <v>202696</v>
      </c>
      <c r="PI138" s="547"/>
      <c r="PJ138" s="546">
        <f>PJ137/40</f>
        <v>8228</v>
      </c>
      <c r="PK138" s="547"/>
      <c r="PL138" s="546">
        <f>PL137/40</f>
        <v>4114</v>
      </c>
      <c r="PM138" s="547"/>
      <c r="PN138" s="546">
        <f>PN137/40</f>
        <v>8228</v>
      </c>
      <c r="PO138" s="547"/>
      <c r="PP138" s="546">
        <f>PP137/40</f>
        <v>8228</v>
      </c>
      <c r="PQ138" s="547"/>
      <c r="PR138" s="547"/>
      <c r="PS138" s="546">
        <f>PS137/40</f>
        <v>1860</v>
      </c>
      <c r="PT138" s="547"/>
      <c r="PU138" s="546">
        <f>PU137/40</f>
        <v>1860</v>
      </c>
      <c r="PV138" s="547"/>
      <c r="PW138" s="546">
        <f>PW137/40</f>
        <v>1860</v>
      </c>
      <c r="PX138" s="547"/>
      <c r="PY138" s="546">
        <f>PY137/40</f>
        <v>1860</v>
      </c>
      <c r="PZ138" s="547"/>
      <c r="QA138" s="546">
        <f>QA137/40</f>
        <v>1860</v>
      </c>
      <c r="QB138" s="547"/>
      <c r="QC138" s="546">
        <f>QC137/40</f>
        <v>1860</v>
      </c>
      <c r="QD138" s="547"/>
      <c r="QE138" s="547"/>
      <c r="QF138" s="547"/>
      <c r="QG138" s="546">
        <f>QG137/40</f>
        <v>1860</v>
      </c>
      <c r="QH138" s="547"/>
      <c r="QI138" s="546">
        <f>QI137/40</f>
        <v>1860</v>
      </c>
      <c r="QJ138" s="547"/>
      <c r="QK138" s="546">
        <f>QK137/40</f>
        <v>1860</v>
      </c>
      <c r="QL138" s="547"/>
      <c r="QM138" s="546">
        <f>QM137/40</f>
        <v>1860</v>
      </c>
      <c r="QN138" s="547"/>
      <c r="QO138" s="546">
        <f>QO137/40</f>
        <v>1860</v>
      </c>
      <c r="QP138" s="547"/>
      <c r="QQ138" s="546">
        <f>QQ137/40</f>
        <v>1860</v>
      </c>
    </row>
    <row r="139" spans="1:459" x14ac:dyDescent="0.45">
      <c r="A139" s="546" t="s">
        <v>201</v>
      </c>
      <c r="B139" s="546"/>
      <c r="C139" s="546"/>
      <c r="D139" s="546"/>
      <c r="E139" s="546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  <c r="AA139" s="547"/>
      <c r="AB139" s="547"/>
      <c r="AC139" s="547"/>
      <c r="AD139" s="547"/>
      <c r="AE139" s="547"/>
      <c r="AF139" s="547"/>
      <c r="AG139" s="547"/>
      <c r="AH139" s="547"/>
      <c r="AI139" s="547"/>
      <c r="AJ139" s="546"/>
      <c r="AK139" s="546">
        <f>AK138*AK69</f>
        <v>26973.3</v>
      </c>
      <c r="AL139" s="546"/>
      <c r="AM139" s="546">
        <f>AM138*AM69</f>
        <v>0</v>
      </c>
      <c r="AN139" s="546"/>
      <c r="AO139" s="546">
        <f>AO138*AO69</f>
        <v>52980.75</v>
      </c>
      <c r="AP139" s="546"/>
      <c r="AQ139" s="546">
        <f>AQ138*AQ69</f>
        <v>23970</v>
      </c>
      <c r="AR139" s="546"/>
      <c r="AS139" s="546">
        <f>AS138*AS69</f>
        <v>0</v>
      </c>
      <c r="AT139" s="546"/>
      <c r="AU139" s="546">
        <f>AU138*AU69</f>
        <v>0</v>
      </c>
      <c r="AV139" s="546"/>
      <c r="AW139" s="546">
        <f>AW138*AW69</f>
        <v>2403.4499999999998</v>
      </c>
      <c r="AX139" s="546"/>
      <c r="AY139" s="546">
        <f>AY138*AY69</f>
        <v>14325.15</v>
      </c>
      <c r="AZ139" s="546"/>
      <c r="BA139" s="546">
        <f>BA138*BA69</f>
        <v>43975.049999999996</v>
      </c>
      <c r="BB139" s="546"/>
      <c r="BC139" s="546">
        <f>BC138*BC69</f>
        <v>0</v>
      </c>
      <c r="BD139" s="546"/>
      <c r="BE139" s="546">
        <f>BE138*BE69</f>
        <v>28077</v>
      </c>
      <c r="BF139" s="546"/>
      <c r="BG139" s="546">
        <f>BG138*BG69</f>
        <v>28547.399999999998</v>
      </c>
      <c r="BH139" s="546"/>
      <c r="BI139" s="546">
        <f>BI138*BI69</f>
        <v>13487.25</v>
      </c>
      <c r="BJ139" s="546"/>
      <c r="BK139" s="546">
        <f>BK138*BK69</f>
        <v>14332.5</v>
      </c>
      <c r="BL139" s="546"/>
      <c r="BM139" s="546">
        <f>BM138*BM69</f>
        <v>14332.5</v>
      </c>
      <c r="BN139" s="546"/>
      <c r="BO139" s="546">
        <f>BO138*BO69</f>
        <v>28613.55</v>
      </c>
      <c r="BP139" s="546"/>
      <c r="BQ139" s="546">
        <f>BQ138*BQ69</f>
        <v>477.75</v>
      </c>
      <c r="BR139" s="546"/>
      <c r="BS139" s="546">
        <f>BS138*BS69</f>
        <v>70361.55</v>
      </c>
      <c r="BT139" s="546"/>
      <c r="BU139" s="546">
        <f>BU138*BU69</f>
        <v>14332.5</v>
      </c>
      <c r="BV139" s="546"/>
      <c r="BW139" s="546">
        <f>BW138*BW69</f>
        <v>0</v>
      </c>
      <c r="BX139" s="546"/>
      <c r="BY139" s="546">
        <f>BY138*BY69</f>
        <v>69251.7</v>
      </c>
      <c r="BZ139" s="546"/>
      <c r="CA139" s="546">
        <f>CA138*CA69</f>
        <v>69251.7</v>
      </c>
      <c r="CB139" s="546"/>
      <c r="CC139" s="546">
        <f>CC138*CC69</f>
        <v>183037.05</v>
      </c>
      <c r="CD139" s="546"/>
      <c r="CE139" s="546">
        <f>CE138*CE69</f>
        <v>69251.7</v>
      </c>
      <c r="CF139" s="546"/>
      <c r="CG139" s="546">
        <f>CG138*CG69</f>
        <v>406234.5</v>
      </c>
      <c r="CH139" s="546"/>
      <c r="CI139" s="546">
        <f>CI138*CI69</f>
        <v>405124.64999999997</v>
      </c>
      <c r="CJ139" s="546"/>
      <c r="CK139" s="546">
        <f>CK138*CK69</f>
        <v>797026.64999999991</v>
      </c>
      <c r="CL139" s="546"/>
      <c r="CM139" s="546">
        <f>CM138*CM69</f>
        <v>1202151.3</v>
      </c>
      <c r="CN139" s="546"/>
      <c r="CO139" s="546">
        <f>CO138*CO69</f>
        <v>1929926.25</v>
      </c>
      <c r="CP139" s="546"/>
      <c r="CQ139" s="546">
        <f>CQ138*CQ69</f>
        <v>28613.55</v>
      </c>
      <c r="CR139" s="546"/>
      <c r="CS139" s="546">
        <f>CS138*CS69</f>
        <v>28613.55</v>
      </c>
      <c r="CT139" s="546"/>
      <c r="CU139" s="546"/>
      <c r="CV139" s="546"/>
      <c r="CW139" s="546"/>
      <c r="CX139" s="546"/>
      <c r="CY139" s="546"/>
      <c r="CZ139" s="546"/>
      <c r="DA139" s="546"/>
      <c r="DB139" s="546"/>
      <c r="DC139" s="546"/>
      <c r="DD139" s="546"/>
      <c r="DE139" s="546"/>
      <c r="DF139" s="546"/>
      <c r="DG139" s="546"/>
      <c r="DH139" s="546"/>
      <c r="DI139" s="546"/>
      <c r="DJ139" s="546">
        <f>DJ138*DJ69</f>
        <v>140.4</v>
      </c>
      <c r="DK139" s="546"/>
      <c r="DL139" s="546">
        <f>DL138*DL69</f>
        <v>92258.400000000009</v>
      </c>
      <c r="DM139" s="546"/>
      <c r="DN139" s="546">
        <f>DN138*DN69</f>
        <v>70870.8</v>
      </c>
      <c r="DO139" s="546"/>
      <c r="DP139" s="546">
        <f>DP138*DP69</f>
        <v>42104.4</v>
      </c>
      <c r="DQ139" s="546"/>
      <c r="DR139" s="546">
        <f>DR138*DR69</f>
        <v>0</v>
      </c>
      <c r="DS139" s="546"/>
      <c r="DT139" s="546">
        <f>DT138*DT69</f>
        <v>0</v>
      </c>
      <c r="DU139" s="546"/>
      <c r="DV139" s="546">
        <f>DV138*DV69</f>
        <v>0</v>
      </c>
      <c r="DW139" s="546"/>
      <c r="DX139" s="546">
        <f>DX138*DX69</f>
        <v>0</v>
      </c>
      <c r="DY139" s="546"/>
      <c r="DZ139" s="546">
        <f>DZ138*DZ69</f>
        <v>37941.75</v>
      </c>
      <c r="EA139" s="546"/>
      <c r="EB139" s="546">
        <f>EB138*EB69</f>
        <v>60394.724999999999</v>
      </c>
      <c r="EC139" s="546"/>
      <c r="ED139" s="546">
        <f>ED138*ED69</f>
        <v>39403.574999999997</v>
      </c>
      <c r="EE139" s="546"/>
      <c r="EF139" s="546">
        <f>EF138*EF69</f>
        <v>20941.875</v>
      </c>
      <c r="EG139" s="546"/>
      <c r="EH139" s="546">
        <f>EH138*EH69</f>
        <v>43099.199999999997</v>
      </c>
      <c r="EI139" s="546"/>
      <c r="EJ139" s="546">
        <f>EJ138*EJ69</f>
        <v>39124.35</v>
      </c>
      <c r="EK139" s="546"/>
      <c r="EL139" s="546">
        <f>EL138*EL69</f>
        <v>39124.35</v>
      </c>
      <c r="EM139" s="546"/>
      <c r="EN139" s="546">
        <f>EN138*EN69</f>
        <v>19512.899999999998</v>
      </c>
      <c r="EO139" s="546"/>
      <c r="EP139" s="546">
        <f>EP138*EP69</f>
        <v>77066.099999999991</v>
      </c>
      <c r="EQ139" s="546"/>
      <c r="ER139" s="546">
        <f>ER138*ER69</f>
        <v>61330.95</v>
      </c>
      <c r="ES139" s="546"/>
      <c r="ET139" s="546">
        <f>ET138*ET69</f>
        <v>61117.424999999996</v>
      </c>
      <c r="EU139" s="546"/>
      <c r="EV139" s="546">
        <f>EV138*EV69</f>
        <v>0</v>
      </c>
      <c r="EW139" s="546"/>
      <c r="EX139" s="546">
        <f>EX138*EX69</f>
        <v>60378.299999999996</v>
      </c>
      <c r="EY139" s="546"/>
      <c r="EZ139" s="546">
        <f>EZ138*EZ69</f>
        <v>60378.299999999996</v>
      </c>
      <c r="FA139" s="546"/>
      <c r="FB139" s="546">
        <f>FB138*FB69</f>
        <v>279405.67499999999</v>
      </c>
      <c r="FC139" s="546"/>
      <c r="FD139" s="546">
        <f>FD138*FD69</f>
        <v>599676.75</v>
      </c>
      <c r="FE139" s="546"/>
      <c r="FF139" s="546">
        <f>FF138*FF69</f>
        <v>1122287.3999999999</v>
      </c>
      <c r="FG139" s="546"/>
      <c r="FH139" s="546">
        <f>FH138*FH69</f>
        <v>2183243.8499999996</v>
      </c>
      <c r="FI139" s="546"/>
      <c r="FJ139" s="546">
        <f>FJ138*FJ69</f>
        <v>4305370.2749999994</v>
      </c>
      <c r="FK139" s="546"/>
      <c r="FL139" s="546">
        <f>FL138*FL69</f>
        <v>8610740.5499999989</v>
      </c>
      <c r="FM139" s="546"/>
      <c r="FN139" s="546">
        <f>FN138*FN69</f>
        <v>17161102.800000001</v>
      </c>
      <c r="FO139" s="546"/>
      <c r="FP139" s="546">
        <f>FP138*FP69</f>
        <v>34261827.299999997</v>
      </c>
      <c r="FQ139" s="547"/>
      <c r="FR139" s="547"/>
      <c r="FS139" s="547"/>
      <c r="FT139" s="547"/>
      <c r="FU139" s="547"/>
      <c r="FV139" s="547"/>
      <c r="FW139" s="547"/>
      <c r="FX139" s="547"/>
      <c r="FY139" s="547"/>
      <c r="FZ139" s="547"/>
      <c r="GA139" s="547"/>
      <c r="GB139" s="547"/>
      <c r="GC139" s="547"/>
      <c r="GD139" s="547"/>
      <c r="GE139" s="547"/>
      <c r="GF139" s="547"/>
      <c r="GG139" s="547"/>
      <c r="GH139" s="547"/>
      <c r="GI139" s="547"/>
      <c r="GJ139" s="547"/>
      <c r="GK139" s="547"/>
      <c r="GL139" s="547"/>
      <c r="GM139" s="547"/>
      <c r="GN139" s="547"/>
      <c r="GO139" s="547"/>
      <c r="GP139" s="546"/>
      <c r="GQ139" s="546">
        <f>GQ138*GQ69</f>
        <v>0</v>
      </c>
      <c r="GR139" s="546"/>
      <c r="GS139" s="546">
        <f>GS138*GS69</f>
        <v>14275.300000000001</v>
      </c>
      <c r="GT139" s="546"/>
      <c r="GU139" s="546">
        <f>GU138*GU69</f>
        <v>0</v>
      </c>
      <c r="GV139" s="546"/>
      <c r="GW139" s="546">
        <f>GW138*GW69</f>
        <v>14164.7</v>
      </c>
      <c r="GX139" s="547"/>
      <c r="GY139" s="547"/>
      <c r="GZ139" s="547"/>
      <c r="HA139" s="547"/>
      <c r="HB139" s="546"/>
      <c r="HC139" s="546">
        <f>HC138*HC69</f>
        <v>0</v>
      </c>
      <c r="HD139" s="546"/>
      <c r="HE139" s="546">
        <f>HE138*HE69</f>
        <v>15699.75</v>
      </c>
      <c r="HF139" s="546"/>
      <c r="HG139" s="546">
        <f>HG138*HG69</f>
        <v>0</v>
      </c>
      <c r="HH139" s="546"/>
      <c r="HI139" s="546">
        <f>HI138*HI69</f>
        <v>0</v>
      </c>
      <c r="HJ139" s="546"/>
      <c r="HK139" s="546">
        <f>HK138*HK69</f>
        <v>0</v>
      </c>
      <c r="HL139" s="546"/>
      <c r="HM139" s="546">
        <f>HM138*HM69</f>
        <v>16005</v>
      </c>
      <c r="HN139" s="546"/>
      <c r="HO139" s="546">
        <f>HO138*HO69</f>
        <v>0</v>
      </c>
      <c r="HP139" s="546"/>
      <c r="HQ139" s="546">
        <f>HQ138*HQ69</f>
        <v>0</v>
      </c>
      <c r="HR139" s="546"/>
      <c r="HS139" s="546">
        <f>HS138*HS69</f>
        <v>0</v>
      </c>
      <c r="HT139" s="546"/>
      <c r="HU139" s="546">
        <f>HU138*HU69</f>
        <v>0</v>
      </c>
      <c r="HV139" s="546"/>
      <c r="HW139" s="546">
        <f>HW138*HW69</f>
        <v>0</v>
      </c>
      <c r="HX139" s="546"/>
      <c r="HY139" s="546">
        <f>HY138*HY69</f>
        <v>0</v>
      </c>
      <c r="HZ139" s="546"/>
      <c r="IA139" s="546">
        <f>IA138*IA69</f>
        <v>0</v>
      </c>
      <c r="IB139" s="546"/>
      <c r="IC139" s="546">
        <f>IC138*IC69</f>
        <v>31432.5</v>
      </c>
      <c r="ID139" s="546"/>
      <c r="IE139" s="546">
        <f>IE138*IE69</f>
        <v>0</v>
      </c>
      <c r="IF139" s="546"/>
      <c r="IG139" s="546">
        <f>IG138*IG69</f>
        <v>0</v>
      </c>
      <c r="IH139" s="546"/>
      <c r="II139" s="546">
        <f>II138*II69</f>
        <v>0</v>
      </c>
      <c r="IJ139" s="546"/>
      <c r="IK139" s="546">
        <f>IK138*IK69</f>
        <v>0</v>
      </c>
      <c r="IL139" s="546"/>
      <c r="IM139" s="546">
        <f>IM138*IM69</f>
        <v>0</v>
      </c>
      <c r="IN139" s="546"/>
      <c r="IO139" s="546">
        <f>IO138*IO69</f>
        <v>0</v>
      </c>
      <c r="IP139" s="546"/>
      <c r="IQ139" s="546">
        <f>IQ138*IQ69</f>
        <v>0</v>
      </c>
      <c r="IR139" s="546"/>
      <c r="IS139" s="546">
        <f>IS138*IS69</f>
        <v>0</v>
      </c>
      <c r="IT139" s="546"/>
      <c r="IU139" s="546">
        <f>IU138*IU69</f>
        <v>0</v>
      </c>
      <c r="IV139" s="546"/>
      <c r="IW139" s="546">
        <f>IW138*IW69</f>
        <v>0</v>
      </c>
      <c r="IX139" s="546"/>
      <c r="IY139" s="546">
        <f>IY138*IY69</f>
        <v>0</v>
      </c>
      <c r="IZ139" s="548"/>
      <c r="JA139" s="547"/>
      <c r="JB139" s="547"/>
      <c r="JC139" s="547"/>
      <c r="JD139" s="547"/>
      <c r="JE139" s="547"/>
      <c r="JF139" s="547"/>
      <c r="JG139" s="547"/>
      <c r="JH139" s="547"/>
      <c r="JI139" s="547"/>
      <c r="JJ139" s="547"/>
      <c r="JK139" s="547"/>
      <c r="JL139" s="547"/>
      <c r="JM139" s="547"/>
      <c r="JN139" s="547"/>
      <c r="JO139" s="547"/>
      <c r="JP139" s="547"/>
      <c r="JQ139" s="547"/>
      <c r="JR139" s="547"/>
      <c r="JS139" s="547"/>
      <c r="JT139" s="547"/>
      <c r="JU139" s="547"/>
      <c r="JV139" s="547"/>
      <c r="JW139" s="547"/>
      <c r="JX139" s="547"/>
      <c r="JY139" s="547"/>
      <c r="JZ139" s="547"/>
      <c r="KA139" s="546">
        <f>KA138*KA69</f>
        <v>11970</v>
      </c>
      <c r="KB139" s="547"/>
      <c r="KC139" s="546">
        <f>KC138*KC69</f>
        <v>0</v>
      </c>
      <c r="KD139" s="547"/>
      <c r="KE139" s="546">
        <f>KE138*KE69</f>
        <v>14200.199999999999</v>
      </c>
      <c r="KF139" s="547"/>
      <c r="KG139" s="546">
        <f>KG138*KG69</f>
        <v>11970</v>
      </c>
      <c r="KH139" s="547"/>
      <c r="KI139" s="546">
        <f>KI138*KI69</f>
        <v>0</v>
      </c>
      <c r="KJ139" s="547"/>
      <c r="KK139" s="546">
        <f>KK138*KK69</f>
        <v>0</v>
      </c>
      <c r="KL139" s="547"/>
      <c r="KM139" s="546">
        <f>KM138*KM69</f>
        <v>12540</v>
      </c>
      <c r="KN139" s="547"/>
      <c r="KO139" s="546">
        <f>KO138*KO69</f>
        <v>25390.199999999997</v>
      </c>
      <c r="KP139" s="547"/>
      <c r="KQ139" s="546">
        <f>KQ138*KQ69</f>
        <v>11550</v>
      </c>
      <c r="KR139" s="547"/>
      <c r="KS139" s="546">
        <f>KS138*KS69</f>
        <v>11794.199999999999</v>
      </c>
      <c r="KT139" s="547"/>
      <c r="KU139" s="546">
        <f>KU138*KU69</f>
        <v>0</v>
      </c>
      <c r="KV139" s="547"/>
      <c r="KW139" s="546">
        <f>KW138*KW69</f>
        <v>0</v>
      </c>
      <c r="KX139" s="547"/>
      <c r="KY139" s="546">
        <f>KY138*KY69</f>
        <v>8976</v>
      </c>
      <c r="KZ139" s="547"/>
      <c r="LA139" s="546">
        <f>LA138*LA69</f>
        <v>12540</v>
      </c>
      <c r="LB139" s="547"/>
      <c r="LC139" s="546">
        <f>LC138*LC69</f>
        <v>12540</v>
      </c>
      <c r="LD139" s="547"/>
      <c r="LE139" s="546">
        <f>LE138*LE69</f>
        <v>12691.8</v>
      </c>
      <c r="LF139" s="547"/>
      <c r="LG139" s="546">
        <f>LG138*LG69</f>
        <v>0</v>
      </c>
      <c r="LH139" s="547"/>
      <c r="LI139" s="546">
        <f>LI138*LI69</f>
        <v>37620</v>
      </c>
      <c r="LJ139" s="547"/>
      <c r="LK139" s="546">
        <f>LK138*LK69</f>
        <v>12691.8</v>
      </c>
      <c r="LL139" s="547"/>
      <c r="LM139" s="546">
        <f>LM138*LM69</f>
        <v>0</v>
      </c>
      <c r="LN139" s="547"/>
      <c r="LO139" s="546">
        <f>LO138*LO69</f>
        <v>25080</v>
      </c>
      <c r="LP139" s="547"/>
      <c r="LQ139" s="546">
        <f>LQ138*LQ69</f>
        <v>25080</v>
      </c>
      <c r="LR139" s="547"/>
      <c r="LS139" s="546">
        <f>LS138*LS69</f>
        <v>88083.599999999991</v>
      </c>
      <c r="LT139" s="547"/>
      <c r="LU139" s="546">
        <f>LU138*LU69</f>
        <v>100471.79999999999</v>
      </c>
      <c r="LV139" s="547"/>
      <c r="LW139" s="546">
        <f>LW138*LW69</f>
        <v>188555.4</v>
      </c>
      <c r="LX139" s="547"/>
      <c r="LY139" s="546">
        <f>LY138*LY69</f>
        <v>251407.19999999998</v>
      </c>
      <c r="LZ139" s="547"/>
      <c r="MA139" s="546">
        <f>MA138*MA69</f>
        <v>427270.8</v>
      </c>
      <c r="MB139" s="547"/>
      <c r="MC139" s="546">
        <f>MC138*MC69</f>
        <v>678678</v>
      </c>
      <c r="MD139" s="547"/>
      <c r="ME139" s="546">
        <f>ME138*ME69</f>
        <v>1080868.8</v>
      </c>
      <c r="MF139" s="547"/>
      <c r="MG139" s="546">
        <f>MG138*MG69</f>
        <v>0</v>
      </c>
      <c r="MH139" s="547"/>
      <c r="MI139" s="547"/>
      <c r="MJ139" s="547"/>
      <c r="MK139" s="547"/>
      <c r="ML139" s="547"/>
      <c r="MM139" s="547"/>
      <c r="MN139" s="547"/>
      <c r="MO139" s="547"/>
      <c r="MP139" s="547"/>
      <c r="MQ139" s="547"/>
      <c r="MR139" s="547"/>
      <c r="MS139" s="547"/>
      <c r="MT139" s="547"/>
      <c r="MU139" s="547"/>
      <c r="MV139" s="547"/>
      <c r="MW139" s="547"/>
      <c r="MX139" s="547"/>
      <c r="MY139" s="547"/>
      <c r="MZ139" s="547"/>
      <c r="NA139" s="547"/>
      <c r="NB139" s="547"/>
      <c r="NC139" s="547"/>
      <c r="ND139" s="546">
        <f>ND138*ND69</f>
        <v>0</v>
      </c>
      <c r="NE139" s="547"/>
      <c r="NF139" s="546">
        <f>NF138*NF69</f>
        <v>0</v>
      </c>
      <c r="NG139" s="547"/>
      <c r="NH139" s="546">
        <f>NH138*NH69</f>
        <v>11718</v>
      </c>
      <c r="NI139" s="547"/>
      <c r="NJ139" s="546">
        <f>NJ138*NJ69</f>
        <v>11188.8</v>
      </c>
      <c r="NK139" s="547"/>
      <c r="NL139" s="546">
        <f>NL138*NL69</f>
        <v>0</v>
      </c>
      <c r="NM139" s="547"/>
      <c r="NN139" s="546">
        <f>NN138*NN69</f>
        <v>0</v>
      </c>
      <c r="NO139" s="547"/>
      <c r="NP139" s="546">
        <f>NP138*NP69</f>
        <v>38900.400000000001</v>
      </c>
      <c r="NQ139" s="547"/>
      <c r="NR139" s="546">
        <f>NR138*NR69</f>
        <v>26400</v>
      </c>
      <c r="NS139" s="547"/>
      <c r="NT139" s="546">
        <f>NT138*NT69</f>
        <v>0</v>
      </c>
      <c r="NU139" s="547"/>
      <c r="NV139" s="546">
        <f>NV138*NV69</f>
        <v>0</v>
      </c>
      <c r="NW139" s="547"/>
      <c r="NX139" s="546">
        <f>NX138*NX69</f>
        <v>0</v>
      </c>
      <c r="NY139" s="547"/>
      <c r="NZ139" s="546">
        <f>NZ138*NZ69</f>
        <v>25020.6</v>
      </c>
      <c r="OA139" s="547"/>
      <c r="OB139" s="546">
        <f>OB138*OB69</f>
        <v>2131.7999999999997</v>
      </c>
      <c r="OC139" s="547"/>
      <c r="OD139" s="546">
        <f>OD138*OD69</f>
        <v>27152.399999999998</v>
      </c>
      <c r="OE139" s="547"/>
      <c r="OF139" s="546">
        <f>OF138*OF69</f>
        <v>27152.399999999998</v>
      </c>
      <c r="OG139" s="547"/>
      <c r="OH139" s="546">
        <f>OH138*OH69</f>
        <v>0</v>
      </c>
      <c r="OI139" s="547"/>
      <c r="OJ139" s="546">
        <f>OJ138*OJ69</f>
        <v>0</v>
      </c>
      <c r="OK139" s="547"/>
      <c r="OL139" s="546">
        <f>OL138*OL69</f>
        <v>12276</v>
      </c>
      <c r="OM139" s="547"/>
      <c r="ON139" s="546">
        <f>ON138*ON69</f>
        <v>11721.599999999999</v>
      </c>
      <c r="OO139" s="547"/>
      <c r="OP139" s="546">
        <f>OP138*OP69</f>
        <v>0</v>
      </c>
      <c r="OQ139" s="547"/>
      <c r="OR139" s="546">
        <f>OR138*OR69</f>
        <v>54304.799999999996</v>
      </c>
      <c r="OS139" s="547"/>
      <c r="OT139" s="546">
        <f>OT138*OT69</f>
        <v>54304.799999999996</v>
      </c>
      <c r="OU139" s="547"/>
      <c r="OV139" s="546">
        <f>OV138*OV69</f>
        <v>78302.399999999994</v>
      </c>
      <c r="OW139" s="547"/>
      <c r="OX139" s="546">
        <f>OX138*OX69</f>
        <v>132607.19999999998</v>
      </c>
      <c r="OY139" s="547"/>
      <c r="OZ139" s="546">
        <f>OZ138*OZ69</f>
        <v>210909.59999999998</v>
      </c>
      <c r="PA139" s="547"/>
      <c r="PB139" s="546">
        <f>PB138*PB69</f>
        <v>331240.8</v>
      </c>
      <c r="PC139" s="547"/>
      <c r="PD139" s="546">
        <f>PD138*PD69</f>
        <v>530428.79999999993</v>
      </c>
      <c r="PE139" s="547"/>
      <c r="PF139" s="546">
        <f>PF138*PF69</f>
        <v>861669.6</v>
      </c>
      <c r="PG139" s="547"/>
      <c r="PH139" s="546">
        <f>PH138*PH69</f>
        <v>1337793.5999999999</v>
      </c>
      <c r="PI139" s="547"/>
      <c r="PJ139" s="546">
        <f>PJ138*PJ69</f>
        <v>54304.799999999996</v>
      </c>
      <c r="PK139" s="547"/>
      <c r="PL139" s="546">
        <f>PL138*PL69</f>
        <v>27152.399999999998</v>
      </c>
      <c r="PM139" s="547"/>
      <c r="PN139" s="546">
        <f>PN138*PN69</f>
        <v>54304.799999999996</v>
      </c>
      <c r="PO139" s="547"/>
      <c r="PP139" s="546">
        <f>PP138*PP69</f>
        <v>54304.799999999996</v>
      </c>
      <c r="PQ139" s="547"/>
      <c r="PR139" s="547"/>
      <c r="PS139" s="546">
        <f>PS138*PS69</f>
        <v>14322</v>
      </c>
      <c r="PT139" s="547"/>
      <c r="PU139" s="546">
        <f>PU138*PU69</f>
        <v>14322</v>
      </c>
      <c r="PV139" s="547"/>
      <c r="PW139" s="546">
        <f>PW138*PW69</f>
        <v>14322</v>
      </c>
      <c r="PX139" s="547"/>
      <c r="PY139" s="546">
        <f>PY138*PY69</f>
        <v>14322</v>
      </c>
      <c r="PZ139" s="547"/>
      <c r="QA139" s="546">
        <f>QA138*QA69</f>
        <v>14322</v>
      </c>
      <c r="QB139" s="547"/>
      <c r="QC139" s="546">
        <f>QC138*QC69</f>
        <v>14322</v>
      </c>
      <c r="QD139" s="547"/>
      <c r="QE139" s="547"/>
      <c r="QF139" s="547"/>
      <c r="QG139" s="546">
        <f>QG138*QG69</f>
        <v>14322</v>
      </c>
      <c r="QH139" s="547"/>
      <c r="QI139" s="546">
        <f>QI138*QI69</f>
        <v>14322</v>
      </c>
      <c r="QJ139" s="547"/>
      <c r="QK139" s="546">
        <f>QK138*QK69</f>
        <v>14322</v>
      </c>
      <c r="QL139" s="547"/>
      <c r="QM139" s="546">
        <f>QM138*QM69</f>
        <v>14322</v>
      </c>
      <c r="QN139" s="547"/>
      <c r="QO139" s="546">
        <f>QO138*QO69</f>
        <v>12834</v>
      </c>
      <c r="QP139" s="547"/>
      <c r="QQ139" s="546">
        <f>QQ138*QQ69</f>
        <v>12834</v>
      </c>
    </row>
    <row r="140" spans="1:459" x14ac:dyDescent="0.45">
      <c r="A140" s="546" t="s">
        <v>150</v>
      </c>
      <c r="B140" s="546"/>
      <c r="C140" s="546"/>
      <c r="D140" s="546"/>
      <c r="E140" s="546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  <c r="AA140" s="547"/>
      <c r="AB140" s="547"/>
      <c r="AC140" s="547"/>
      <c r="AD140" s="547"/>
      <c r="AE140" s="547"/>
      <c r="AF140" s="547"/>
      <c r="AG140" s="547"/>
      <c r="AH140" s="547"/>
      <c r="AI140" s="547"/>
      <c r="AJ140" s="546"/>
      <c r="AK140" s="546">
        <f>AK138*AK85</f>
        <v>17260.873270671833</v>
      </c>
      <c r="AL140" s="546"/>
      <c r="AM140" s="546">
        <f>AM138*AM85</f>
        <v>0</v>
      </c>
      <c r="AN140" s="546"/>
      <c r="AO140" s="546">
        <f>AO138*AO85</f>
        <v>35712.071503290004</v>
      </c>
      <c r="AP140" s="546"/>
      <c r="AQ140" s="546">
        <f>AQ138*AQ85</f>
        <v>16700.025350422467</v>
      </c>
      <c r="AR140" s="546"/>
      <c r="AS140" s="546">
        <f>AS138*AS85</f>
        <v>0</v>
      </c>
      <c r="AT140" s="546"/>
      <c r="AU140" s="546">
        <f>AU138*AU85</f>
        <v>0</v>
      </c>
      <c r="AV140" s="546"/>
      <c r="AW140" s="546">
        <f>AW138*AW85</f>
        <v>1588.3263405472605</v>
      </c>
      <c r="AX140" s="546"/>
      <c r="AY140" s="546">
        <f>AY138*AY85</f>
        <v>8976.7281575835386</v>
      </c>
      <c r="AZ140" s="546"/>
      <c r="BA140" s="546">
        <f>BA138*BA85</f>
        <v>27098.275725643642</v>
      </c>
      <c r="BB140" s="546"/>
      <c r="BC140" s="546">
        <f>BC138*BC85</f>
        <v>0</v>
      </c>
      <c r="BD140" s="546"/>
      <c r="BE140" s="546">
        <f>BE138*BE85</f>
        <v>17244.933570301029</v>
      </c>
      <c r="BF140" s="546"/>
      <c r="BG140" s="546">
        <f>BG138*BG85</f>
        <v>16666.626053992168</v>
      </c>
      <c r="BH140" s="546"/>
      <c r="BI140" s="546">
        <f>BI138*BI85</f>
        <v>7507.6361073828521</v>
      </c>
      <c r="BJ140" s="546"/>
      <c r="BK140" s="546">
        <f>BK138*BK85</f>
        <v>7918.1017099618402</v>
      </c>
      <c r="BL140" s="546"/>
      <c r="BM140" s="546">
        <f>BM138*BM85</f>
        <v>8815.1619704325494</v>
      </c>
      <c r="BN140" s="546"/>
      <c r="BO140" s="546">
        <f>BO138*BO85</f>
        <v>17990.436404091983</v>
      </c>
      <c r="BP140" s="546"/>
      <c r="BQ140" s="546">
        <f>BQ138*BQ85</f>
        <v>309.2943451537667</v>
      </c>
      <c r="BR140" s="546"/>
      <c r="BS140" s="546">
        <f>BS138*BS85</f>
        <v>42159.351283581302</v>
      </c>
      <c r="BT140" s="546"/>
      <c r="BU140" s="546">
        <f>BU138*BU85</f>
        <v>8966.7323513015072</v>
      </c>
      <c r="BV140" s="546"/>
      <c r="BW140" s="546">
        <f>BW138*BW85</f>
        <v>0</v>
      </c>
      <c r="BX140" s="546"/>
      <c r="BY140" s="546">
        <f>BY138*BY85</f>
        <v>41166.130705019335</v>
      </c>
      <c r="BZ140" s="546"/>
      <c r="CA140" s="546">
        <f>CA138*CA85</f>
        <v>42412.112838900917</v>
      </c>
      <c r="CB140" s="546"/>
      <c r="CC140" s="546">
        <f>CC138*CC85</f>
        <v>106175.00397428744</v>
      </c>
      <c r="CD140" s="546"/>
      <c r="CE140" s="546">
        <f>CE138*CE85</f>
        <v>41365.536495646564</v>
      </c>
      <c r="CF140" s="546"/>
      <c r="CG140" s="546">
        <f>CG138*CG85</f>
        <v>264959.79048675578</v>
      </c>
      <c r="CH140" s="546"/>
      <c r="CI140" s="546">
        <f>CI138*CI85</f>
        <v>260067.11755508033</v>
      </c>
      <c r="CJ140" s="546"/>
      <c r="CK140" s="546">
        <f>CK138*CK85</f>
        <v>504631.17263624631</v>
      </c>
      <c r="CL140" s="546"/>
      <c r="CM140" s="546">
        <f>CM138*CM85</f>
        <v>745405.59020948608</v>
      </c>
      <c r="CN140" s="546"/>
      <c r="CO140" s="546">
        <f>CO138*CO85</f>
        <v>1194521.2783103851</v>
      </c>
      <c r="CP140" s="546"/>
      <c r="CQ140" s="546">
        <f>CQ138*CQ85</f>
        <v>17782.839506172841</v>
      </c>
      <c r="CR140" s="546"/>
      <c r="CS140" s="546">
        <f>CS138*CS85</f>
        <v>17782.839506172841</v>
      </c>
      <c r="CT140" s="546"/>
      <c r="CU140" s="546"/>
      <c r="CV140" s="546"/>
      <c r="CW140" s="546"/>
      <c r="CX140" s="546"/>
      <c r="CY140" s="546"/>
      <c r="CZ140" s="546"/>
      <c r="DA140" s="546"/>
      <c r="DB140" s="546"/>
      <c r="DC140" s="546"/>
      <c r="DD140" s="546"/>
      <c r="DE140" s="546"/>
      <c r="DF140" s="546"/>
      <c r="DG140" s="546"/>
      <c r="DH140" s="546"/>
      <c r="DI140" s="546"/>
      <c r="DJ140" s="546">
        <f>DJ138*DJ85</f>
        <v>88.058095979798978</v>
      </c>
      <c r="DK140" s="546"/>
      <c r="DL140" s="546">
        <f>DL138*DL85</f>
        <v>61125.01852597871</v>
      </c>
      <c r="DM140" s="546"/>
      <c r="DN140" s="546">
        <f>DN138*DN85</f>
        <v>46633.4544989059</v>
      </c>
      <c r="DO140" s="546"/>
      <c r="DP140" s="546">
        <f>DP138*DP85</f>
        <v>27446.550672417641</v>
      </c>
      <c r="DQ140" s="546"/>
      <c r="DR140" s="546">
        <f>DR138*DR85</f>
        <v>0</v>
      </c>
      <c r="DS140" s="546"/>
      <c r="DT140" s="546">
        <f>DT138*DT85</f>
        <v>0</v>
      </c>
      <c r="DU140" s="546"/>
      <c r="DV140" s="546">
        <f>DV138*DV85</f>
        <v>0</v>
      </c>
      <c r="DW140" s="546"/>
      <c r="DX140" s="546">
        <f>DX138*DX85</f>
        <v>0</v>
      </c>
      <c r="DY140" s="546"/>
      <c r="DZ140" s="546">
        <f>DZ138*DZ85</f>
        <v>23292.865383422533</v>
      </c>
      <c r="EA140" s="546"/>
      <c r="EB140" s="546">
        <f>EB138*EB85</f>
        <v>38124.966921846317</v>
      </c>
      <c r="EC140" s="546"/>
      <c r="ED140" s="546">
        <f>ED138*ED85</f>
        <v>23847.545061794561</v>
      </c>
      <c r="EE140" s="546"/>
      <c r="EF140" s="546">
        <f>EF138*EF85</f>
        <v>12367.711511488016</v>
      </c>
      <c r="EG140" s="546"/>
      <c r="EH140" s="546">
        <f>EH138*EH85</f>
        <v>25698.074716524196</v>
      </c>
      <c r="EI140" s="546"/>
      <c r="EJ140" s="546">
        <f>EJ138*EJ85</f>
        <v>23489.772092720243</v>
      </c>
      <c r="EK140" s="546"/>
      <c r="EL140" s="546">
        <f>EL138*EL85</f>
        <v>24084.889220190729</v>
      </c>
      <c r="EM140" s="546"/>
      <c r="EN140" s="546">
        <f>EN138*EN85</f>
        <v>11344.668881310989</v>
      </c>
      <c r="EO140" s="546"/>
      <c r="EP140" s="546">
        <f>EP138*EP85</f>
        <v>49695.562616621755</v>
      </c>
      <c r="EQ140" s="546"/>
      <c r="ER140" s="546">
        <f>ER138*ER85</f>
        <v>35728.044729239686</v>
      </c>
      <c r="ES140" s="546"/>
      <c r="ET140" s="546">
        <f>ET138*ET85</f>
        <v>36998.912778291349</v>
      </c>
      <c r="EU140" s="546"/>
      <c r="EV140" s="546">
        <f>EV138*EV85</f>
        <v>0</v>
      </c>
      <c r="EW140" s="546"/>
      <c r="EX140" s="546">
        <f>EX138*EX85</f>
        <v>35550.464248249526</v>
      </c>
      <c r="EY140" s="546"/>
      <c r="EZ140" s="546">
        <f>EZ138*EZ85</f>
        <v>36538.909063993771</v>
      </c>
      <c r="FA140" s="546"/>
      <c r="FB140" s="546">
        <f>FB138*FB85</f>
        <v>180154.27560877753</v>
      </c>
      <c r="FC140" s="546"/>
      <c r="FD140" s="546">
        <f>FD138*FD85</f>
        <v>374582.2765857451</v>
      </c>
      <c r="FE140" s="546"/>
      <c r="FF140" s="546">
        <f>FF138*FF85</f>
        <v>629239.14632976672</v>
      </c>
      <c r="FG140" s="546"/>
      <c r="FH140" s="546">
        <f>FH138*FH85</f>
        <v>1281873.087516346</v>
      </c>
      <c r="FI140" s="546"/>
      <c r="FJ140" s="546">
        <f>FJ138*FJ85</f>
        <v>2582876.6268203575</v>
      </c>
      <c r="FK140" s="546"/>
      <c r="FL140" s="546">
        <f>FL138*FL85</f>
        <v>5181812.9008833067</v>
      </c>
      <c r="FM140" s="546"/>
      <c r="FN140" s="546">
        <f>FN138*FN85</f>
        <v>10405516.102987368</v>
      </c>
      <c r="FO140" s="546"/>
      <c r="FP140" s="546">
        <f>FP138*FP85</f>
        <v>20774422.240971729</v>
      </c>
      <c r="FQ140" s="547"/>
      <c r="FR140" s="547"/>
      <c r="FS140" s="547"/>
      <c r="FT140" s="547"/>
      <c r="FU140" s="547"/>
      <c r="FV140" s="547"/>
      <c r="FW140" s="547"/>
      <c r="FX140" s="547"/>
      <c r="FY140" s="547"/>
      <c r="FZ140" s="547"/>
      <c r="GA140" s="547"/>
      <c r="GB140" s="547"/>
      <c r="GC140" s="547"/>
      <c r="GD140" s="547"/>
      <c r="GE140" s="547"/>
      <c r="GF140" s="547"/>
      <c r="GG140" s="547"/>
      <c r="GH140" s="547"/>
      <c r="GI140" s="547"/>
      <c r="GJ140" s="547"/>
      <c r="GK140" s="547"/>
      <c r="GL140" s="547"/>
      <c r="GM140" s="547"/>
      <c r="GN140" s="547"/>
      <c r="GO140" s="547"/>
      <c r="GP140" s="546"/>
      <c r="GQ140" s="546">
        <f>GQ138*GQ85</f>
        <v>0</v>
      </c>
      <c r="GR140" s="546"/>
      <c r="GS140" s="546">
        <f>GS138*GS85</f>
        <v>9861.4114035901675</v>
      </c>
      <c r="GT140" s="546"/>
      <c r="GU140" s="546">
        <f>GU138*GU85</f>
        <v>0</v>
      </c>
      <c r="GV140" s="546"/>
      <c r="GW140" s="546">
        <f>GW138*GW85</f>
        <v>11189.734932072541</v>
      </c>
      <c r="GX140" s="547"/>
      <c r="GY140" s="547"/>
      <c r="GZ140" s="547"/>
      <c r="HA140" s="547"/>
      <c r="HB140" s="546"/>
      <c r="HC140" s="546">
        <f>HC138*HC85</f>
        <v>0</v>
      </c>
      <c r="HD140" s="546"/>
      <c r="HE140" s="546">
        <f>HE138*HE85</f>
        <v>10183.987090634873</v>
      </c>
      <c r="HF140" s="546"/>
      <c r="HG140" s="546">
        <f>HG138*HG85</f>
        <v>0</v>
      </c>
      <c r="HH140" s="546"/>
      <c r="HI140" s="546">
        <f>HI138*HI85</f>
        <v>0</v>
      </c>
      <c r="HJ140" s="546"/>
      <c r="HK140" s="546">
        <f>HK138*HK85</f>
        <v>0</v>
      </c>
      <c r="HL140" s="546"/>
      <c r="HM140" s="546">
        <f>HM138*HM85</f>
        <v>9900.400407889023</v>
      </c>
      <c r="HN140" s="546"/>
      <c r="HO140" s="546">
        <f>HO138*HO85</f>
        <v>0</v>
      </c>
      <c r="HP140" s="546"/>
      <c r="HQ140" s="546">
        <f>HQ138*HQ85</f>
        <v>0</v>
      </c>
      <c r="HR140" s="546"/>
      <c r="HS140" s="546">
        <f>HS138*HS85</f>
        <v>0</v>
      </c>
      <c r="HT140" s="546"/>
      <c r="HU140" s="546">
        <f>HU138*HU85</f>
        <v>0</v>
      </c>
      <c r="HV140" s="546"/>
      <c r="HW140" s="546">
        <f>HW138*HW85</f>
        <v>0</v>
      </c>
      <c r="HX140" s="546"/>
      <c r="HY140" s="546">
        <f>HY138*HY85</f>
        <v>0</v>
      </c>
      <c r="HZ140" s="546"/>
      <c r="IA140" s="546">
        <f>IA138*IA85</f>
        <v>0</v>
      </c>
      <c r="IB140" s="546"/>
      <c r="IC140" s="546">
        <f>IC138*IC85</f>
        <v>20314.545696855293</v>
      </c>
      <c r="ID140" s="546"/>
      <c r="IE140" s="546">
        <f>IE138*IE85</f>
        <v>0</v>
      </c>
      <c r="IF140" s="546"/>
      <c r="IG140" s="546">
        <f>IG138*IG85</f>
        <v>0</v>
      </c>
      <c r="IH140" s="546"/>
      <c r="II140" s="546">
        <f>II138*II85</f>
        <v>0</v>
      </c>
      <c r="IJ140" s="546"/>
      <c r="IK140" s="546">
        <f>IK138*IK85</f>
        <v>0</v>
      </c>
      <c r="IL140" s="546"/>
      <c r="IM140" s="546">
        <f>IM138*IM85</f>
        <v>0</v>
      </c>
      <c r="IN140" s="546"/>
      <c r="IO140" s="546">
        <f>IO138*IO85</f>
        <v>0</v>
      </c>
      <c r="IP140" s="546"/>
      <c r="IQ140" s="546">
        <f>IQ138*IQ85</f>
        <v>0</v>
      </c>
      <c r="IR140" s="546"/>
      <c r="IS140" s="546">
        <f>IS138*IS85</f>
        <v>0</v>
      </c>
      <c r="IT140" s="546"/>
      <c r="IU140" s="546">
        <f>IU138*IU85</f>
        <v>0</v>
      </c>
      <c r="IV140" s="546"/>
      <c r="IW140" s="546">
        <f>IW138*IW85</f>
        <v>0</v>
      </c>
      <c r="IX140" s="546"/>
      <c r="IY140" s="546">
        <f>IY138*IY85</f>
        <v>0</v>
      </c>
      <c r="IZ140" s="548"/>
      <c r="JA140" s="547"/>
      <c r="JB140" s="547"/>
      <c r="JC140" s="547"/>
      <c r="JD140" s="547"/>
      <c r="JE140" s="547"/>
      <c r="JF140" s="547"/>
      <c r="JG140" s="547"/>
      <c r="JH140" s="547"/>
      <c r="JI140" s="547"/>
      <c r="JJ140" s="547"/>
      <c r="JK140" s="547"/>
      <c r="JL140" s="547"/>
      <c r="JM140" s="547"/>
      <c r="JN140" s="547"/>
      <c r="JO140" s="547"/>
      <c r="JP140" s="547"/>
      <c r="JQ140" s="547"/>
      <c r="JR140" s="547"/>
      <c r="JS140" s="547"/>
      <c r="JT140" s="547"/>
      <c r="JU140" s="547"/>
      <c r="JV140" s="547"/>
      <c r="JW140" s="547"/>
      <c r="JX140" s="547"/>
      <c r="JY140" s="547"/>
      <c r="JZ140" s="547"/>
      <c r="KA140" s="546">
        <f>KA138*KA85</f>
        <v>8548.7857817681415</v>
      </c>
      <c r="KB140" s="547"/>
      <c r="KC140" s="546">
        <f>KC138*KC85</f>
        <v>0</v>
      </c>
      <c r="KD140" s="547"/>
      <c r="KE140" s="546">
        <f>KE138*KE85</f>
        <v>10225.198527323169</v>
      </c>
      <c r="KF140" s="547"/>
      <c r="KG140" s="546">
        <f>KG138*KG85</f>
        <v>9520.0162368413767</v>
      </c>
      <c r="KH140" s="547"/>
      <c r="KI140" s="546">
        <f>KI138*KI85</f>
        <v>0</v>
      </c>
      <c r="KJ140" s="547"/>
      <c r="KK140" s="546">
        <f>KK138*KK85</f>
        <v>0</v>
      </c>
      <c r="KL140" s="547"/>
      <c r="KM140" s="546">
        <f t="shared" ref="KM140:KU140" si="679">KM138*KM85</f>
        <v>9307.8119425561417</v>
      </c>
      <c r="KN140" s="547"/>
      <c r="KO140" s="546">
        <f t="shared" si="679"/>
        <v>17913.703159531815</v>
      </c>
      <c r="KP140" s="547"/>
      <c r="KQ140" s="546">
        <f t="shared" si="679"/>
        <v>8468.7850710723342</v>
      </c>
      <c r="KR140" s="547"/>
      <c r="KS140" s="546">
        <f t="shared" si="679"/>
        <v>8223.5321974762865</v>
      </c>
      <c r="KT140" s="547"/>
      <c r="KU140" s="546">
        <f t="shared" si="679"/>
        <v>0</v>
      </c>
      <c r="KV140" s="547"/>
      <c r="KW140" s="546">
        <f>KW138*KW85</f>
        <v>0</v>
      </c>
      <c r="KX140" s="547"/>
      <c r="KY140" s="546">
        <f>KY138*KY85</f>
        <v>5817.5630551840395</v>
      </c>
      <c r="KZ140" s="547"/>
      <c r="LA140" s="546">
        <f>LA138*LA85</f>
        <v>7890.1127858294276</v>
      </c>
      <c r="LB140" s="547"/>
      <c r="LC140" s="546">
        <f>LC138*LC85</f>
        <v>8708.2802853842022</v>
      </c>
      <c r="LD140" s="547"/>
      <c r="LE140" s="546">
        <f>LE138*LE85</f>
        <v>8903.8843237527035</v>
      </c>
      <c r="LF140" s="547"/>
      <c r="LG140" s="546">
        <f>LG138*LG85</f>
        <v>0</v>
      </c>
      <c r="LH140" s="547"/>
      <c r="LI140" s="546">
        <f>LI138*LI85</f>
        <v>25540.084243344125</v>
      </c>
      <c r="LJ140" s="547"/>
      <c r="LK140" s="546">
        <f>LK138*LK85</f>
        <v>9195.3006555986067</v>
      </c>
      <c r="LL140" s="547"/>
      <c r="LM140" s="546">
        <f>LM138*LM85</f>
        <v>0</v>
      </c>
      <c r="LN140" s="547"/>
      <c r="LO140" s="546">
        <f>LO138*LO85</f>
        <v>16621.361887428371</v>
      </c>
      <c r="LP140" s="547"/>
      <c r="LQ140" s="546">
        <f>LQ138*LQ85</f>
        <v>17123.993082886569</v>
      </c>
      <c r="LR140" s="547"/>
      <c r="LS140" s="546">
        <f>LS138*LS85</f>
        <v>62986.935154271065</v>
      </c>
      <c r="LT140" s="547"/>
      <c r="LU140" s="546">
        <f>LU138*LU85</f>
        <v>73981.741077690589</v>
      </c>
      <c r="LV140" s="547"/>
      <c r="LW140" s="546">
        <f>LW138*LW85</f>
        <v>136663.98591146839</v>
      </c>
      <c r="LX140" s="547"/>
      <c r="LY140" s="546">
        <f>LY138*LY85</f>
        <v>179343.82459301283</v>
      </c>
      <c r="LZ140" s="547"/>
      <c r="MA140" s="546">
        <f>MA138*MA85</f>
        <v>300618.97245217627</v>
      </c>
      <c r="MB140" s="547"/>
      <c r="MC140" s="546">
        <f>MC138*MC85</f>
        <v>480026.03622193576</v>
      </c>
      <c r="MD140" s="547"/>
      <c r="ME140" s="546">
        <f>ME138*ME85</f>
        <v>677769.38700914185</v>
      </c>
      <c r="MF140" s="547"/>
      <c r="MG140" s="546">
        <f>MG138*MG85</f>
        <v>0</v>
      </c>
      <c r="MH140" s="547"/>
      <c r="MI140" s="547"/>
      <c r="MJ140" s="547"/>
      <c r="MK140" s="547"/>
      <c r="ML140" s="547"/>
      <c r="MM140" s="547"/>
      <c r="MN140" s="547"/>
      <c r="MO140" s="547"/>
      <c r="MP140" s="547"/>
      <c r="MQ140" s="547"/>
      <c r="MR140" s="547"/>
      <c r="MS140" s="547"/>
      <c r="MT140" s="547"/>
      <c r="MU140" s="547"/>
      <c r="MV140" s="547"/>
      <c r="MW140" s="547"/>
      <c r="MX140" s="547"/>
      <c r="MY140" s="547"/>
      <c r="MZ140" s="547"/>
      <c r="NA140" s="547"/>
      <c r="NB140" s="547"/>
      <c r="NC140" s="547"/>
      <c r="ND140" s="546">
        <f>ND138*ND85</f>
        <v>0</v>
      </c>
      <c r="NE140" s="547"/>
      <c r="NF140" s="546">
        <f>NF138*NF85</f>
        <v>0</v>
      </c>
      <c r="NG140" s="547"/>
      <c r="NH140" s="546">
        <f>NH138*NH85</f>
        <v>7126.3971910326218</v>
      </c>
      <c r="NI140" s="547"/>
      <c r="NJ140" s="546">
        <f>NJ138*NJ85</f>
        <v>7446.3524403208157</v>
      </c>
      <c r="NK140" s="547"/>
      <c r="NL140" s="546">
        <f>NL138*NL85</f>
        <v>0</v>
      </c>
      <c r="NM140" s="547"/>
      <c r="NN140" s="546">
        <f>NN138*NN85</f>
        <v>0</v>
      </c>
      <c r="NO140" s="547"/>
      <c r="NP140" s="546">
        <f>NP138*NP85</f>
        <v>24217.304818792574</v>
      </c>
      <c r="NQ140" s="547"/>
      <c r="NR140" s="546">
        <f>NR138*NR85</f>
        <v>15454.098426370234</v>
      </c>
      <c r="NS140" s="547"/>
      <c r="NT140" s="546">
        <f>NT138*NT85</f>
        <v>0</v>
      </c>
      <c r="NU140" s="547"/>
      <c r="NV140" s="546">
        <f>NV138*NV85</f>
        <v>0</v>
      </c>
      <c r="NW140" s="547"/>
      <c r="NX140" s="546">
        <f>NX138*NX85</f>
        <v>0</v>
      </c>
      <c r="NY140" s="547"/>
      <c r="NZ140" s="546">
        <f>NZ138*NZ85</f>
        <v>15242.625093705208</v>
      </c>
      <c r="OA140" s="547"/>
      <c r="OB140" s="546">
        <f>OB138*OB85</f>
        <v>1164.8895219677515</v>
      </c>
      <c r="OC140" s="547"/>
      <c r="OD140" s="546">
        <f>OD138*OD85</f>
        <v>14661.617215304421</v>
      </c>
      <c r="OE140" s="547"/>
      <c r="OF140" s="546">
        <f>OF138*OF85</f>
        <v>16060.558498262681</v>
      </c>
      <c r="OG140" s="547"/>
      <c r="OH140" s="546">
        <f>OH138*OH85</f>
        <v>0</v>
      </c>
      <c r="OI140" s="547"/>
      <c r="OJ140" s="546">
        <f>OJ138*OJ85</f>
        <v>0</v>
      </c>
      <c r="OK140" s="547"/>
      <c r="OL140" s="546">
        <f>OL138*OL85</f>
        <v>7379.3538241896258</v>
      </c>
      <c r="OM140" s="547"/>
      <c r="ON140" s="546">
        <f>ON138*ON85</f>
        <v>7446.3524403208157</v>
      </c>
      <c r="OO140" s="547"/>
      <c r="OP140" s="546">
        <f>OP138*OP85</f>
        <v>0</v>
      </c>
      <c r="OQ140" s="547"/>
      <c r="OR140" s="546">
        <f>OR138*OR85</f>
        <v>33113.741574474632</v>
      </c>
      <c r="OS140" s="547"/>
      <c r="OT140" s="546">
        <f>OT138*OT85</f>
        <v>33736.683194869132</v>
      </c>
      <c r="OU140" s="547"/>
      <c r="OV140" s="546">
        <f>OV138*OV85</f>
        <v>55451.590817493568</v>
      </c>
      <c r="OW140" s="547"/>
      <c r="OX140" s="546">
        <f>OX138*OX85</f>
        <v>96701.004504452998</v>
      </c>
      <c r="OY140" s="547"/>
      <c r="OZ140" s="546">
        <f>OZ138*OZ85</f>
        <v>151389.22723852249</v>
      </c>
      <c r="PA140" s="547"/>
      <c r="PB140" s="546">
        <f>PB138*PB85</f>
        <v>234010.88352559559</v>
      </c>
      <c r="PC140" s="547"/>
      <c r="PD140" s="546">
        <f>PD138*PD85</f>
        <v>369593.03994245426</v>
      </c>
      <c r="PE140" s="547"/>
      <c r="PF140" s="546">
        <f>PF138*PF85</f>
        <v>565258.48628529639</v>
      </c>
      <c r="PG140" s="547"/>
      <c r="PH140" s="546">
        <f>PH138*PH85</f>
        <v>758129.12332013063</v>
      </c>
      <c r="PI140" s="547"/>
      <c r="PJ140" s="546">
        <f>PJ138*PJ85</f>
        <v>31250.098243439974</v>
      </c>
      <c r="PK140" s="547"/>
      <c r="PL140" s="546">
        <f>PL138*PL85</f>
        <v>15893.031578947368</v>
      </c>
      <c r="PM140" s="547"/>
      <c r="PN140" s="546">
        <f>PN138*PN85</f>
        <v>30474.074074074073</v>
      </c>
      <c r="PO140" s="547"/>
      <c r="PP140" s="546">
        <f>PP138*PP85</f>
        <v>30474.074074074073</v>
      </c>
      <c r="PQ140" s="547"/>
      <c r="PR140" s="547"/>
      <c r="PS140" s="546">
        <f>PS138*PS85</f>
        <v>6309.658979777184</v>
      </c>
      <c r="PT140" s="547"/>
      <c r="PU140" s="546">
        <f>PU138*PU85</f>
        <v>5763.7037037037035</v>
      </c>
      <c r="PV140" s="547"/>
      <c r="PW140" s="546">
        <f>PW138*PW85</f>
        <v>6309.658979777184</v>
      </c>
      <c r="PX140" s="547"/>
      <c r="PY140" s="546">
        <f>PY138*PY85</f>
        <v>5763.7037037037035</v>
      </c>
      <c r="PZ140" s="547"/>
      <c r="QA140" s="546">
        <f>QA138*QA85</f>
        <v>6388.5297170243994</v>
      </c>
      <c r="QB140" s="547"/>
      <c r="QC140" s="546">
        <f>QC138*QC85</f>
        <v>5835.75</v>
      </c>
      <c r="QD140" s="547"/>
      <c r="QE140" s="547"/>
      <c r="QF140" s="547"/>
      <c r="QG140" s="546">
        <f>QG138*QG85</f>
        <v>7430.8148148148148</v>
      </c>
      <c r="QH140" s="547"/>
      <c r="QI140" s="546">
        <f>QI138*QI85</f>
        <v>6925.6296296296296</v>
      </c>
      <c r="QJ140" s="547"/>
      <c r="QK140" s="546">
        <f>QK138*QK85</f>
        <v>7430.8148148148148</v>
      </c>
      <c r="QL140" s="547"/>
      <c r="QM140" s="546">
        <f>QM138*QM85</f>
        <v>6925.6296296296296</v>
      </c>
      <c r="QN140" s="547"/>
      <c r="QO140" s="546">
        <f>QO138*QO85</f>
        <v>7430.8148148148148</v>
      </c>
      <c r="QP140" s="547"/>
      <c r="QQ140" s="546">
        <f>QQ138*QQ85</f>
        <v>6925.6296296296296</v>
      </c>
    </row>
    <row r="141" spans="1:459" x14ac:dyDescent="0.45">
      <c r="A141" s="549" t="s">
        <v>432</v>
      </c>
      <c r="B141" s="549"/>
      <c r="C141" s="549"/>
      <c r="D141" s="549"/>
      <c r="E141" s="549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  <c r="AA141" s="547"/>
      <c r="AB141" s="547"/>
      <c r="AC141" s="547"/>
      <c r="AD141" s="547"/>
      <c r="AE141" s="547"/>
      <c r="AF141" s="547"/>
      <c r="AG141" s="547"/>
      <c r="AH141" s="547"/>
      <c r="AI141" s="547"/>
      <c r="AJ141" s="549"/>
      <c r="AK141" s="549">
        <f>AK139-AK140</f>
        <v>9712.4267293281664</v>
      </c>
      <c r="AL141" s="549"/>
      <c r="AM141" s="549">
        <f>AM139-AM140</f>
        <v>0</v>
      </c>
      <c r="AN141" s="549"/>
      <c r="AO141" s="549">
        <f>AO139-AO140</f>
        <v>17268.678496709996</v>
      </c>
      <c r="AP141" s="549"/>
      <c r="AQ141" s="549">
        <f>AQ139-AQ140</f>
        <v>7269.9746495775325</v>
      </c>
      <c r="AR141" s="549"/>
      <c r="AS141" s="549">
        <f>AS139-AS140</f>
        <v>0</v>
      </c>
      <c r="AT141" s="549"/>
      <c r="AU141" s="549">
        <f>AU139-AU140</f>
        <v>0</v>
      </c>
      <c r="AV141" s="549"/>
      <c r="AW141" s="549">
        <f>AW139-AW140</f>
        <v>815.12365945273928</v>
      </c>
      <c r="AX141" s="549"/>
      <c r="AY141" s="549">
        <f>AY139-AY140</f>
        <v>5348.421842416461</v>
      </c>
      <c r="AZ141" s="549"/>
      <c r="BA141" s="549">
        <f>BA139-BA140</f>
        <v>16876.774274356354</v>
      </c>
      <c r="BB141" s="549"/>
      <c r="BC141" s="549">
        <f>BC139-BC140</f>
        <v>0</v>
      </c>
      <c r="BD141" s="549"/>
      <c r="BE141" s="549">
        <f>BE139-BE140</f>
        <v>10832.066429698971</v>
      </c>
      <c r="BF141" s="549"/>
      <c r="BG141" s="549">
        <f>BG139-BG140</f>
        <v>11880.77394600783</v>
      </c>
      <c r="BH141" s="549"/>
      <c r="BI141" s="549">
        <f>BI139-BI140</f>
        <v>5979.6138926171479</v>
      </c>
      <c r="BJ141" s="549"/>
      <c r="BK141" s="549">
        <f>BK139-BK140</f>
        <v>6414.3982900381598</v>
      </c>
      <c r="BL141" s="549"/>
      <c r="BM141" s="549">
        <f>BM139-BM140</f>
        <v>5517.3380295674506</v>
      </c>
      <c r="BN141" s="549"/>
      <c r="BO141" s="549">
        <f>BO139-BO140</f>
        <v>10623.113595908017</v>
      </c>
      <c r="BP141" s="549"/>
      <c r="BQ141" s="549">
        <f>BQ139-BQ140</f>
        <v>168.4556548462333</v>
      </c>
      <c r="BR141" s="549"/>
      <c r="BS141" s="549">
        <f>BS139-BS140</f>
        <v>28202.198716418701</v>
      </c>
      <c r="BT141" s="549"/>
      <c r="BU141" s="549">
        <f>BU139-BU140</f>
        <v>5365.7676486984928</v>
      </c>
      <c r="BV141" s="549"/>
      <c r="BW141" s="549">
        <f>BW139-BW140</f>
        <v>0</v>
      </c>
      <c r="BX141" s="549"/>
      <c r="BY141" s="549">
        <f>BY139-BY140</f>
        <v>28085.569294980662</v>
      </c>
      <c r="BZ141" s="549"/>
      <c r="CA141" s="549">
        <f>CA139-CA140</f>
        <v>26839.58716109908</v>
      </c>
      <c r="CB141" s="549"/>
      <c r="CC141" s="549">
        <f>CC139-CC140</f>
        <v>76862.046025712552</v>
      </c>
      <c r="CD141" s="549"/>
      <c r="CE141" s="549">
        <f>CE139-CE140</f>
        <v>27886.163504353433</v>
      </c>
      <c r="CF141" s="549"/>
      <c r="CG141" s="549">
        <f>CG139-CG140</f>
        <v>141274.70951324422</v>
      </c>
      <c r="CH141" s="549"/>
      <c r="CI141" s="549">
        <f>CI139-CI140</f>
        <v>145057.53244491963</v>
      </c>
      <c r="CJ141" s="549"/>
      <c r="CK141" s="549">
        <f>CK139-CK140</f>
        <v>292395.4773637536</v>
      </c>
      <c r="CL141" s="549"/>
      <c r="CM141" s="549">
        <f>CM139-CM140</f>
        <v>456745.70979051397</v>
      </c>
      <c r="CN141" s="549"/>
      <c r="CO141" s="549">
        <f>CO139-CO140</f>
        <v>735404.97168961493</v>
      </c>
      <c r="CP141" s="549"/>
      <c r="CQ141" s="549">
        <f>CQ139-CQ140</f>
        <v>10830.710493827159</v>
      </c>
      <c r="CR141" s="549"/>
      <c r="CS141" s="549">
        <f>CS139-CS140</f>
        <v>10830.710493827159</v>
      </c>
      <c r="CT141" s="549"/>
      <c r="CU141" s="549"/>
      <c r="CV141" s="549"/>
      <c r="CW141" s="549"/>
      <c r="CX141" s="549"/>
      <c r="CY141" s="549"/>
      <c r="CZ141" s="549"/>
      <c r="DA141" s="549"/>
      <c r="DB141" s="549"/>
      <c r="DC141" s="549"/>
      <c r="DD141" s="549"/>
      <c r="DE141" s="549"/>
      <c r="DF141" s="549"/>
      <c r="DG141" s="549"/>
      <c r="DH141" s="549"/>
      <c r="DI141" s="549"/>
      <c r="DJ141" s="549">
        <f>DJ139-DJ140</f>
        <v>52.341904020201028</v>
      </c>
      <c r="DK141" s="549"/>
      <c r="DL141" s="549">
        <f>DL139-DL140</f>
        <v>31133.381474021298</v>
      </c>
      <c r="DM141" s="549"/>
      <c r="DN141" s="549">
        <f>DN139-DN140</f>
        <v>24237.345501094103</v>
      </c>
      <c r="DO141" s="549"/>
      <c r="DP141" s="549">
        <f>DP139-DP140</f>
        <v>14657.84932758236</v>
      </c>
      <c r="DQ141" s="549"/>
      <c r="DR141" s="549">
        <f>DR139-DR140</f>
        <v>0</v>
      </c>
      <c r="DS141" s="549"/>
      <c r="DT141" s="549">
        <f>DT139-DT140</f>
        <v>0</v>
      </c>
      <c r="DU141" s="549"/>
      <c r="DV141" s="549">
        <f>DV139-DV140</f>
        <v>0</v>
      </c>
      <c r="DW141" s="549"/>
      <c r="DX141" s="549">
        <f>DX139-DX140</f>
        <v>0</v>
      </c>
      <c r="DY141" s="549"/>
      <c r="DZ141" s="549">
        <f>DZ139-DZ140</f>
        <v>14648.884616577467</v>
      </c>
      <c r="EA141" s="549"/>
      <c r="EB141" s="549">
        <f>EB139-EB140</f>
        <v>22269.758078153682</v>
      </c>
      <c r="EC141" s="549"/>
      <c r="ED141" s="549">
        <f>ED139-ED140</f>
        <v>15556.029938205436</v>
      </c>
      <c r="EE141" s="549"/>
      <c r="EF141" s="549">
        <f>EF139-EF140</f>
        <v>8574.1634885119838</v>
      </c>
      <c r="EG141" s="549"/>
      <c r="EH141" s="549">
        <f>EH139-EH140</f>
        <v>17401.125283475802</v>
      </c>
      <c r="EI141" s="549"/>
      <c r="EJ141" s="549">
        <f>EJ139-EJ140</f>
        <v>15634.577907279756</v>
      </c>
      <c r="EK141" s="549"/>
      <c r="EL141" s="549">
        <f>EL139-EL140</f>
        <v>15039.460779809269</v>
      </c>
      <c r="EM141" s="549"/>
      <c r="EN141" s="549">
        <f>EN139-EN140</f>
        <v>8168.2311186890092</v>
      </c>
      <c r="EO141" s="549"/>
      <c r="EP141" s="549">
        <f>EP139-EP140</f>
        <v>27370.537383378236</v>
      </c>
      <c r="EQ141" s="549"/>
      <c r="ER141" s="549">
        <f>ER139-ER140</f>
        <v>25602.905270760311</v>
      </c>
      <c r="ES141" s="549"/>
      <c r="ET141" s="549">
        <f>ET139-ET140</f>
        <v>24118.512221708646</v>
      </c>
      <c r="EU141" s="549"/>
      <c r="EV141" s="549">
        <f>EV139-EV140</f>
        <v>0</v>
      </c>
      <c r="EW141" s="549"/>
      <c r="EX141" s="549">
        <f>EX139-EX140</f>
        <v>24827.83575175047</v>
      </c>
      <c r="EY141" s="549"/>
      <c r="EZ141" s="549">
        <f>EZ139-EZ140</f>
        <v>23839.390936006224</v>
      </c>
      <c r="FA141" s="549"/>
      <c r="FB141" s="549">
        <f>FB139-FB140</f>
        <v>99251.399391222454</v>
      </c>
      <c r="FC141" s="549"/>
      <c r="FD141" s="549">
        <f>FD139-FD140</f>
        <v>225094.4734142549</v>
      </c>
      <c r="FE141" s="549"/>
      <c r="FF141" s="549">
        <f>FF139-FF140</f>
        <v>493048.25367023319</v>
      </c>
      <c r="FG141" s="549"/>
      <c r="FH141" s="549">
        <f>FH139-FH140</f>
        <v>901370.76248365361</v>
      </c>
      <c r="FI141" s="549"/>
      <c r="FJ141" s="549">
        <f>FJ139-FJ140</f>
        <v>1722493.6481796419</v>
      </c>
      <c r="FK141" s="549"/>
      <c r="FL141" s="549">
        <f>FL139-FL140</f>
        <v>3428927.6491166921</v>
      </c>
      <c r="FM141" s="549"/>
      <c r="FN141" s="549">
        <f>FN139-FN140</f>
        <v>6755586.6970126331</v>
      </c>
      <c r="FO141" s="549"/>
      <c r="FP141" s="549">
        <f>FP139-FP140</f>
        <v>13487405.059028268</v>
      </c>
      <c r="FQ141" s="547"/>
      <c r="FR141" s="547"/>
      <c r="FS141" s="547"/>
      <c r="FT141" s="547"/>
      <c r="FU141" s="547"/>
      <c r="FV141" s="547"/>
      <c r="FW141" s="547"/>
      <c r="FX141" s="547"/>
      <c r="FY141" s="547"/>
      <c r="FZ141" s="547"/>
      <c r="GA141" s="547"/>
      <c r="GB141" s="547"/>
      <c r="GC141" s="547"/>
      <c r="GD141" s="547"/>
      <c r="GE141" s="547"/>
      <c r="GF141" s="547"/>
      <c r="GG141" s="547"/>
      <c r="GH141" s="547"/>
      <c r="GI141" s="547"/>
      <c r="GJ141" s="547"/>
      <c r="GK141" s="547"/>
      <c r="GL141" s="547"/>
      <c r="GM141" s="547"/>
      <c r="GN141" s="547"/>
      <c r="GO141" s="547"/>
      <c r="GP141" s="549"/>
      <c r="GQ141" s="549">
        <f>GQ139-GQ140</f>
        <v>0</v>
      </c>
      <c r="GR141" s="549"/>
      <c r="GS141" s="549">
        <f>GS139-GS140</f>
        <v>4413.8885964098336</v>
      </c>
      <c r="GT141" s="549"/>
      <c r="GU141" s="549">
        <f>GU139-GU140</f>
        <v>0</v>
      </c>
      <c r="GV141" s="549"/>
      <c r="GW141" s="549">
        <f>GW139-GW140</f>
        <v>2974.96506792746</v>
      </c>
      <c r="GX141" s="547"/>
      <c r="GY141" s="547"/>
      <c r="GZ141" s="547"/>
      <c r="HA141" s="547"/>
      <c r="HB141" s="549"/>
      <c r="HC141" s="549">
        <f>HC139-HC140</f>
        <v>0</v>
      </c>
      <c r="HD141" s="549"/>
      <c r="HE141" s="549">
        <f>HE139-HE140</f>
        <v>5515.7629093651267</v>
      </c>
      <c r="HF141" s="549"/>
      <c r="HG141" s="549">
        <f>HG139-HG140</f>
        <v>0</v>
      </c>
      <c r="HH141" s="549"/>
      <c r="HI141" s="549">
        <f>HI139-HI140</f>
        <v>0</v>
      </c>
      <c r="HJ141" s="549"/>
      <c r="HK141" s="549">
        <f>HK139-HK140</f>
        <v>0</v>
      </c>
      <c r="HL141" s="549"/>
      <c r="HM141" s="549">
        <f>HM139-HM140</f>
        <v>6104.599592110977</v>
      </c>
      <c r="HN141" s="549"/>
      <c r="HO141" s="549">
        <f>HO139-HO140</f>
        <v>0</v>
      </c>
      <c r="HP141" s="549"/>
      <c r="HQ141" s="549">
        <f>HQ139-HQ140</f>
        <v>0</v>
      </c>
      <c r="HR141" s="549"/>
      <c r="HS141" s="549">
        <f>HS139-HS140</f>
        <v>0</v>
      </c>
      <c r="HT141" s="549"/>
      <c r="HU141" s="549">
        <f>HU139-HU140</f>
        <v>0</v>
      </c>
      <c r="HV141" s="549"/>
      <c r="HW141" s="549">
        <f>HW139-HW140</f>
        <v>0</v>
      </c>
      <c r="HX141" s="549"/>
      <c r="HY141" s="549">
        <f>HY139-HY140</f>
        <v>0</v>
      </c>
      <c r="HZ141" s="549"/>
      <c r="IA141" s="549">
        <f>IA139-IA140</f>
        <v>0</v>
      </c>
      <c r="IB141" s="549"/>
      <c r="IC141" s="549">
        <f>IC139-IC140</f>
        <v>11117.954303144707</v>
      </c>
      <c r="ID141" s="549"/>
      <c r="IE141" s="549">
        <f>IE139-IE140</f>
        <v>0</v>
      </c>
      <c r="IF141" s="549"/>
      <c r="IG141" s="549">
        <f>IG139-IG140</f>
        <v>0</v>
      </c>
      <c r="IH141" s="549"/>
      <c r="II141" s="549">
        <f>II139-II140</f>
        <v>0</v>
      </c>
      <c r="IJ141" s="549"/>
      <c r="IK141" s="549">
        <f>IK139-IK140</f>
        <v>0</v>
      </c>
      <c r="IL141" s="549"/>
      <c r="IM141" s="549">
        <f>IM139-IM140</f>
        <v>0</v>
      </c>
      <c r="IN141" s="549"/>
      <c r="IO141" s="549">
        <f>IO139-IO140</f>
        <v>0</v>
      </c>
      <c r="IP141" s="549"/>
      <c r="IQ141" s="549">
        <f>IQ139-IQ140</f>
        <v>0</v>
      </c>
      <c r="IR141" s="549"/>
      <c r="IS141" s="549">
        <f>IS139-IS140</f>
        <v>0</v>
      </c>
      <c r="IT141" s="549"/>
      <c r="IU141" s="549">
        <f>IU139-IU140</f>
        <v>0</v>
      </c>
      <c r="IV141" s="549"/>
      <c r="IW141" s="549">
        <f>IW139-IW140</f>
        <v>0</v>
      </c>
      <c r="IX141" s="549"/>
      <c r="IY141" s="549">
        <f>IY139-IY140</f>
        <v>0</v>
      </c>
      <c r="IZ141" s="550"/>
      <c r="JA141" s="547"/>
      <c r="JB141" s="547"/>
      <c r="JC141" s="547"/>
      <c r="JD141" s="547"/>
      <c r="JE141" s="547"/>
      <c r="JF141" s="547"/>
      <c r="JG141" s="547"/>
      <c r="JH141" s="547"/>
      <c r="JI141" s="547"/>
      <c r="JJ141" s="547"/>
      <c r="JK141" s="547"/>
      <c r="JL141" s="547"/>
      <c r="JM141" s="547"/>
      <c r="JN141" s="547"/>
      <c r="JO141" s="547"/>
      <c r="JP141" s="547"/>
      <c r="JQ141" s="547"/>
      <c r="JR141" s="547"/>
      <c r="JS141" s="547"/>
      <c r="JT141" s="547"/>
      <c r="JU141" s="547"/>
      <c r="JV141" s="547"/>
      <c r="JW141" s="547"/>
      <c r="JX141" s="547"/>
      <c r="JY141" s="547"/>
      <c r="JZ141" s="547"/>
      <c r="KA141" s="549">
        <f>KA139-KA140</f>
        <v>3421.2142182318585</v>
      </c>
      <c r="KB141" s="547"/>
      <c r="KC141" s="549">
        <f>KC139-KC140</f>
        <v>0</v>
      </c>
      <c r="KD141" s="547"/>
      <c r="KE141" s="549">
        <f>KE139-KE140</f>
        <v>3975.0014726768295</v>
      </c>
      <c r="KF141" s="547"/>
      <c r="KG141" s="549">
        <f>KG139-KG140</f>
        <v>2449.9837631586233</v>
      </c>
      <c r="KH141" s="547"/>
      <c r="KI141" s="549">
        <f>KI139-KI140</f>
        <v>0</v>
      </c>
      <c r="KJ141" s="547"/>
      <c r="KK141" s="549">
        <f>KK139-KK140</f>
        <v>0</v>
      </c>
      <c r="KL141" s="547"/>
      <c r="KM141" s="549">
        <f t="shared" ref="KM141:KU141" si="680">KM139-KM140</f>
        <v>3232.1880574438583</v>
      </c>
      <c r="KN141" s="547"/>
      <c r="KO141" s="549">
        <f t="shared" si="680"/>
        <v>7476.4968404681822</v>
      </c>
      <c r="KP141" s="547"/>
      <c r="KQ141" s="549">
        <f t="shared" si="680"/>
        <v>3081.2149289276658</v>
      </c>
      <c r="KR141" s="547"/>
      <c r="KS141" s="549">
        <f t="shared" si="680"/>
        <v>3570.6678025237125</v>
      </c>
      <c r="KT141" s="547"/>
      <c r="KU141" s="549">
        <f t="shared" si="680"/>
        <v>0</v>
      </c>
      <c r="KV141" s="547"/>
      <c r="KW141" s="549">
        <f>KW139-KW140</f>
        <v>0</v>
      </c>
      <c r="KX141" s="547"/>
      <c r="KY141" s="549">
        <f>KY139-KY140</f>
        <v>3158.4369448159605</v>
      </c>
      <c r="KZ141" s="547"/>
      <c r="LA141" s="549">
        <f>LA139-LA140</f>
        <v>4649.8872141705724</v>
      </c>
      <c r="LB141" s="547"/>
      <c r="LC141" s="549">
        <f>LC139-LC140</f>
        <v>3831.7197146157978</v>
      </c>
      <c r="LD141" s="547"/>
      <c r="LE141" s="549">
        <f>LE139-LE140</f>
        <v>3787.9156762472958</v>
      </c>
      <c r="LF141" s="547"/>
      <c r="LG141" s="549">
        <f>LG139-LG140</f>
        <v>0</v>
      </c>
      <c r="LH141" s="547"/>
      <c r="LI141" s="549">
        <f>LI139-LI140</f>
        <v>12079.915756655875</v>
      </c>
      <c r="LJ141" s="547"/>
      <c r="LK141" s="549">
        <f>LK139-LK140</f>
        <v>3496.4993444013926</v>
      </c>
      <c r="LL141" s="547"/>
      <c r="LM141" s="549">
        <f>LM139-LM140</f>
        <v>0</v>
      </c>
      <c r="LN141" s="547"/>
      <c r="LO141" s="549">
        <f>LO139-LO140</f>
        <v>8458.6381125716289</v>
      </c>
      <c r="LP141" s="547"/>
      <c r="LQ141" s="549">
        <f>LQ139-LQ140</f>
        <v>7956.006917113431</v>
      </c>
      <c r="LR141" s="547"/>
      <c r="LS141" s="549">
        <f>LS139-LS140</f>
        <v>25096.664845728927</v>
      </c>
      <c r="LT141" s="547"/>
      <c r="LU141" s="549">
        <f>LU139-LU140</f>
        <v>26490.058922309399</v>
      </c>
      <c r="LV141" s="547"/>
      <c r="LW141" s="549">
        <f>LW139-LW140</f>
        <v>51891.414088531601</v>
      </c>
      <c r="LX141" s="547"/>
      <c r="LY141" s="549">
        <f>LY139-LY140</f>
        <v>72063.37540698715</v>
      </c>
      <c r="LZ141" s="547"/>
      <c r="MA141" s="549">
        <f>MA139-MA140</f>
        <v>126651.82754782372</v>
      </c>
      <c r="MB141" s="547"/>
      <c r="MC141" s="549">
        <f>MC139-MC140</f>
        <v>198651.96377806424</v>
      </c>
      <c r="MD141" s="547"/>
      <c r="ME141" s="549">
        <f>ME139-ME140</f>
        <v>403099.4129908582</v>
      </c>
      <c r="MF141" s="547"/>
      <c r="MG141" s="549">
        <f>MG139-MG140</f>
        <v>0</v>
      </c>
      <c r="MH141" s="547"/>
      <c r="MI141" s="547"/>
      <c r="MJ141" s="547"/>
      <c r="MK141" s="547"/>
      <c r="ML141" s="547"/>
      <c r="MM141" s="547"/>
      <c r="MN141" s="547"/>
      <c r="MO141" s="547"/>
      <c r="MP141" s="547"/>
      <c r="MQ141" s="547"/>
      <c r="MR141" s="547"/>
      <c r="MS141" s="547"/>
      <c r="MT141" s="547"/>
      <c r="MU141" s="547"/>
      <c r="MV141" s="547"/>
      <c r="MW141" s="547"/>
      <c r="MX141" s="547"/>
      <c r="MY141" s="547"/>
      <c r="MZ141" s="547"/>
      <c r="NA141" s="547"/>
      <c r="NB141" s="547"/>
      <c r="NC141" s="547"/>
      <c r="ND141" s="549">
        <f>ND139-ND140</f>
        <v>0</v>
      </c>
      <c r="NE141" s="547"/>
      <c r="NF141" s="549">
        <f>NF139-NF140</f>
        <v>0</v>
      </c>
      <c r="NG141" s="547"/>
      <c r="NH141" s="549">
        <f>NH139-NH140</f>
        <v>4591.6028089673782</v>
      </c>
      <c r="NI141" s="547"/>
      <c r="NJ141" s="549">
        <f>NJ139-NJ140</f>
        <v>3742.4475596791835</v>
      </c>
      <c r="NK141" s="547"/>
      <c r="NL141" s="549">
        <f>NL139-NL140</f>
        <v>0</v>
      </c>
      <c r="NM141" s="547"/>
      <c r="NN141" s="549">
        <f>NN139-NN140</f>
        <v>0</v>
      </c>
      <c r="NO141" s="547"/>
      <c r="NP141" s="549">
        <f>NP139-NP140</f>
        <v>14683.095181207427</v>
      </c>
      <c r="NQ141" s="547"/>
      <c r="NR141" s="549">
        <f>NR139-NR140</f>
        <v>10945.901573629766</v>
      </c>
      <c r="NS141" s="547"/>
      <c r="NT141" s="549">
        <f>NT139-NT140</f>
        <v>0</v>
      </c>
      <c r="NU141" s="547"/>
      <c r="NV141" s="549">
        <f>NV139-NV140</f>
        <v>0</v>
      </c>
      <c r="NW141" s="547"/>
      <c r="NX141" s="549">
        <f>NX139-NX140</f>
        <v>0</v>
      </c>
      <c r="NY141" s="547"/>
      <c r="NZ141" s="549">
        <f>NZ139-NZ140</f>
        <v>9777.9749062947903</v>
      </c>
      <c r="OA141" s="547"/>
      <c r="OB141" s="549">
        <f>OB139-OB140</f>
        <v>966.91047803224819</v>
      </c>
      <c r="OC141" s="547"/>
      <c r="OD141" s="549">
        <f>OD139-OD140</f>
        <v>12490.782784695577</v>
      </c>
      <c r="OE141" s="547"/>
      <c r="OF141" s="549">
        <f>OF139-OF140</f>
        <v>11091.841501737317</v>
      </c>
      <c r="OG141" s="547"/>
      <c r="OH141" s="549">
        <f>OH139-OH140</f>
        <v>0</v>
      </c>
      <c r="OI141" s="547"/>
      <c r="OJ141" s="549">
        <f>OJ139-OJ140</f>
        <v>0</v>
      </c>
      <c r="OK141" s="547"/>
      <c r="OL141" s="549">
        <f>OL139-OL140</f>
        <v>4896.6461758103742</v>
      </c>
      <c r="OM141" s="547"/>
      <c r="ON141" s="549">
        <f>ON139-ON140</f>
        <v>4275.2475596791828</v>
      </c>
      <c r="OO141" s="547"/>
      <c r="OP141" s="549">
        <f>OP139-OP140</f>
        <v>0</v>
      </c>
      <c r="OQ141" s="547"/>
      <c r="OR141" s="549">
        <f>OR139-OR140</f>
        <v>21191.058425525363</v>
      </c>
      <c r="OS141" s="547"/>
      <c r="OT141" s="549">
        <f>OT139-OT140</f>
        <v>20568.116805130863</v>
      </c>
      <c r="OU141" s="547"/>
      <c r="OV141" s="549">
        <f>OV139-OV140</f>
        <v>22850.809182506426</v>
      </c>
      <c r="OW141" s="547"/>
      <c r="OX141" s="549">
        <f>OX139-OX140</f>
        <v>35906.195495546985</v>
      </c>
      <c r="OY141" s="547"/>
      <c r="OZ141" s="549">
        <f>OZ139-OZ140</f>
        <v>59520.372761477483</v>
      </c>
      <c r="PA141" s="547"/>
      <c r="PB141" s="549">
        <f>PB139-PB140</f>
        <v>97229.916474404396</v>
      </c>
      <c r="PC141" s="547"/>
      <c r="PD141" s="549">
        <f>PD139-PD140</f>
        <v>160835.76005754567</v>
      </c>
      <c r="PE141" s="547"/>
      <c r="PF141" s="549">
        <f>PF139-PF140</f>
        <v>296411.11371470359</v>
      </c>
      <c r="PG141" s="547"/>
      <c r="PH141" s="549">
        <f>PH139-PH140</f>
        <v>579664.47667986923</v>
      </c>
      <c r="PI141" s="547"/>
      <c r="PJ141" s="549">
        <f>PJ139-PJ140</f>
        <v>23054.701756560022</v>
      </c>
      <c r="PK141" s="547"/>
      <c r="PL141" s="549">
        <f>PL139-PL140</f>
        <v>11259.36842105263</v>
      </c>
      <c r="PM141" s="547"/>
      <c r="PN141" s="549">
        <f>PN139-PN140</f>
        <v>23830.725925925923</v>
      </c>
      <c r="PO141" s="547"/>
      <c r="PP141" s="549">
        <f>PP139-PP140</f>
        <v>23830.725925925923</v>
      </c>
      <c r="PQ141" s="547"/>
      <c r="PR141" s="547"/>
      <c r="PS141" s="549">
        <f>PS139-PS140</f>
        <v>8012.341020222816</v>
      </c>
      <c r="PT141" s="547"/>
      <c r="PU141" s="549">
        <f>PU139-PU140</f>
        <v>8558.2962962962956</v>
      </c>
      <c r="PV141" s="547"/>
      <c r="PW141" s="549">
        <f>PW139-PW140</f>
        <v>8012.341020222816</v>
      </c>
      <c r="PX141" s="547"/>
      <c r="PY141" s="549">
        <f>PY139-PY140</f>
        <v>8558.2962962962956</v>
      </c>
      <c r="PZ141" s="547"/>
      <c r="QA141" s="549">
        <f>QA139-QA140</f>
        <v>7933.4702829756006</v>
      </c>
      <c r="QB141" s="547"/>
      <c r="QC141" s="549">
        <f>QC139-QC140</f>
        <v>8486.25</v>
      </c>
      <c r="QD141" s="547"/>
      <c r="QE141" s="547"/>
      <c r="QF141" s="547"/>
      <c r="QG141" s="549">
        <f>QG139-QG140</f>
        <v>6891.1851851851852</v>
      </c>
      <c r="QH141" s="547"/>
      <c r="QI141" s="549">
        <f>QI139-QI140</f>
        <v>7396.3703703703704</v>
      </c>
      <c r="QJ141" s="547"/>
      <c r="QK141" s="549">
        <f>QK139-QK140</f>
        <v>6891.1851851851852</v>
      </c>
      <c r="QL141" s="547"/>
      <c r="QM141" s="549">
        <f>QM139-QM140</f>
        <v>7396.3703703703704</v>
      </c>
      <c r="QN141" s="547"/>
      <c r="QO141" s="549">
        <f>QO139-QO140</f>
        <v>5403.1851851851852</v>
      </c>
      <c r="QP141" s="547"/>
      <c r="QQ141" s="549">
        <f>QQ139-QQ140</f>
        <v>5908.3703703703704</v>
      </c>
    </row>
    <row r="142" spans="1:459" x14ac:dyDescent="0.45">
      <c r="A142" s="551" t="s">
        <v>433</v>
      </c>
      <c r="B142" s="551"/>
      <c r="C142" s="551"/>
      <c r="D142" s="551"/>
      <c r="E142" s="551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  <c r="AA142" s="547"/>
      <c r="AB142" s="547"/>
      <c r="AC142" s="547"/>
      <c r="AD142" s="547"/>
      <c r="AE142" s="547"/>
      <c r="AF142" s="547"/>
      <c r="AG142" s="547"/>
      <c r="AH142" s="547"/>
      <c r="AI142" s="547"/>
      <c r="AJ142" s="551"/>
      <c r="AK142" s="552">
        <f>IFERROR(AK141/AK$139,0)</f>
        <v>0.36007558323705913</v>
      </c>
      <c r="AL142" s="551"/>
      <c r="AM142" s="552">
        <f>IFERROR(AM141/AM$139,0)</f>
        <v>0</v>
      </c>
      <c r="AN142" s="551"/>
      <c r="AO142" s="552">
        <f>IFERROR(AO141/AO$139,0)</f>
        <v>0.32594250735804975</v>
      </c>
      <c r="AP142" s="551"/>
      <c r="AQ142" s="552">
        <f>IFERROR(AQ141/AQ$139,0)</f>
        <v>0.30329472881007646</v>
      </c>
      <c r="AR142" s="551"/>
      <c r="AS142" s="552">
        <f>IFERROR(AS141/AS$139,0)</f>
        <v>0</v>
      </c>
      <c r="AT142" s="551"/>
      <c r="AU142" s="552">
        <f>IFERROR(AU141/AU$139,0)</f>
        <v>0</v>
      </c>
      <c r="AV142" s="551"/>
      <c r="AW142" s="552">
        <f>IFERROR(AW141/AW$139,0)</f>
        <v>0.33914733381295192</v>
      </c>
      <c r="AX142" s="551"/>
      <c r="AY142" s="552">
        <f>IFERROR(AY141/AY$139,0)</f>
        <v>0.37335887180353861</v>
      </c>
      <c r="AZ142" s="551"/>
      <c r="BA142" s="552">
        <f>IFERROR(BA141/BA$139,0)</f>
        <v>0.38378067277595718</v>
      </c>
      <c r="BB142" s="551"/>
      <c r="BC142" s="552">
        <f>IFERROR(BC141/BC$139,0)</f>
        <v>0</v>
      </c>
      <c r="BD142" s="551"/>
      <c r="BE142" s="552">
        <f>IFERROR(BE141/BE$139,0)</f>
        <v>0.38579856928086942</v>
      </c>
      <c r="BF142" s="551"/>
      <c r="BG142" s="552">
        <f>IFERROR(BG141/BG$139,0)</f>
        <v>0.41617709304552536</v>
      </c>
      <c r="BH142" s="551"/>
      <c r="BI142" s="552">
        <f>IFERROR(BI141/BI$139,0)</f>
        <v>0.4433530847739271</v>
      </c>
      <c r="BJ142" s="551"/>
      <c r="BK142" s="552">
        <f>IFERROR(BK141/BK$139,0)</f>
        <v>0.44754217966427068</v>
      </c>
      <c r="BL142" s="551"/>
      <c r="BM142" s="552">
        <f>IFERROR(BM141/BM$139,0)</f>
        <v>0.38495294118733303</v>
      </c>
      <c r="BN142" s="551"/>
      <c r="BO142" s="552">
        <f>IFERROR(BO141/BO$139,0)</f>
        <v>0.37126164337902906</v>
      </c>
      <c r="BP142" s="551"/>
      <c r="BQ142" s="552">
        <f>IFERROR(BQ141/BQ$139,0)</f>
        <v>0.35260210328881902</v>
      </c>
      <c r="BR142" s="551"/>
      <c r="BS142" s="552">
        <f>IFERROR(BS141/BS$139,0)</f>
        <v>0.40081832643565557</v>
      </c>
      <c r="BT142" s="551"/>
      <c r="BU142" s="552">
        <f>IFERROR(BU141/BU$139,0)</f>
        <v>0.37437764860969774</v>
      </c>
      <c r="BV142" s="551"/>
      <c r="BW142" s="552">
        <f>IFERROR(BW141/BW$139,0)</f>
        <v>0</v>
      </c>
      <c r="BX142" s="551"/>
      <c r="BY142" s="552">
        <f>IFERROR(BY141/BY$139,0)</f>
        <v>0.40555783172081933</v>
      </c>
      <c r="BZ142" s="551"/>
      <c r="CA142" s="552">
        <f>IFERROR(CA141/CA$139,0)</f>
        <v>0.38756575161474854</v>
      </c>
      <c r="CB142" s="551"/>
      <c r="CC142" s="552">
        <f>IFERROR(CC141/CC$139,0)</f>
        <v>0.41992616263053056</v>
      </c>
      <c r="CD142" s="551"/>
      <c r="CE142" s="552">
        <f>IFERROR(CE141/CE$139,0)</f>
        <v>0.40267839640548081</v>
      </c>
      <c r="CF142" s="551"/>
      <c r="CG142" s="552">
        <f>IFERROR(CG141/CG$139,0)</f>
        <v>0.34776639973523721</v>
      </c>
      <c r="CH142" s="551"/>
      <c r="CI142" s="552">
        <f>IFERROR(CI141/CI$139,0)</f>
        <v>0.35805654492986205</v>
      </c>
      <c r="CJ142" s="551"/>
      <c r="CK142" s="552">
        <f>IFERROR(CK141/CK$139,0)</f>
        <v>0.36685784266279381</v>
      </c>
      <c r="CL142" s="551"/>
      <c r="CM142" s="552">
        <f>IFERROR(CM141/CM$139,0)</f>
        <v>0.37994028687613113</v>
      </c>
      <c r="CN142" s="551"/>
      <c r="CO142" s="552">
        <f>IFERROR(CO141/CO$139,0)</f>
        <v>0.3810534064136466</v>
      </c>
      <c r="CP142" s="551"/>
      <c r="CQ142" s="552">
        <f>IFERROR(CQ141/CQ$139,0)</f>
        <v>0.3785168388342991</v>
      </c>
      <c r="CR142" s="551"/>
      <c r="CS142" s="552">
        <f>IFERROR(CS141/CS$139,0)</f>
        <v>0.3785168388342991</v>
      </c>
      <c r="CT142" s="551"/>
      <c r="CU142" s="551"/>
      <c r="CV142" s="551"/>
      <c r="CW142" s="551"/>
      <c r="CX142" s="551"/>
      <c r="CY142" s="551"/>
      <c r="CZ142" s="551"/>
      <c r="DA142" s="551"/>
      <c r="DB142" s="551"/>
      <c r="DC142" s="551"/>
      <c r="DD142" s="551"/>
      <c r="DE142" s="551"/>
      <c r="DF142" s="551"/>
      <c r="DG142" s="551"/>
      <c r="DH142" s="551"/>
      <c r="DI142" s="551"/>
      <c r="DJ142" s="552">
        <f>IFERROR(DJ141/DJ$139,0)</f>
        <v>0.37280558418946602</v>
      </c>
      <c r="DK142" s="551"/>
      <c r="DL142" s="552">
        <f>IFERROR(DL141/DL$139,0)</f>
        <v>0.33745850214204121</v>
      </c>
      <c r="DM142" s="551"/>
      <c r="DN142" s="552">
        <f>IFERROR(DN141/DN$139,0)</f>
        <v>0.34199339503849402</v>
      </c>
      <c r="DO142" s="551"/>
      <c r="DP142" s="552">
        <f>IFERROR(DP141/DP$139,0)</f>
        <v>0.34813105821677448</v>
      </c>
      <c r="DQ142" s="551"/>
      <c r="DR142" s="552">
        <f>IFERROR(DR141/DR$139,0)</f>
        <v>0</v>
      </c>
      <c r="DS142" s="551"/>
      <c r="DT142" s="552">
        <f>IFERROR(DT141/DT$139,0)</f>
        <v>0</v>
      </c>
      <c r="DU142" s="551"/>
      <c r="DV142" s="552">
        <f>IFERROR(DV141/DV$139,0)</f>
        <v>0</v>
      </c>
      <c r="DW142" s="551"/>
      <c r="DX142" s="552">
        <f>IFERROR(DX141/DX$139,0)</f>
        <v>0</v>
      </c>
      <c r="DY142" s="551"/>
      <c r="DZ142" s="552">
        <f>IFERROR(DZ141/DZ$139,0)</f>
        <v>0.38608879707914018</v>
      </c>
      <c r="EA142" s="551"/>
      <c r="EB142" s="552">
        <f>IFERROR(EB141/EB$139,0)</f>
        <v>0.36873680736444586</v>
      </c>
      <c r="EC142" s="551"/>
      <c r="ED142" s="552">
        <f>IFERROR(ED141/ED$139,0)</f>
        <v>0.39478727344423536</v>
      </c>
      <c r="EE142" s="551"/>
      <c r="EF142" s="552">
        <f>IFERROR(EF141/EF$139,0)</f>
        <v>0.40942673416358294</v>
      </c>
      <c r="EG142" s="551"/>
      <c r="EH142" s="552">
        <f>IFERROR(EH141/EH$139,0)</f>
        <v>0.40374589977252018</v>
      </c>
      <c r="EI142" s="551"/>
      <c r="EJ142" s="552">
        <f>IFERROR(EJ141/EJ$139,0)</f>
        <v>0.39961246403530681</v>
      </c>
      <c r="EK142" s="551"/>
      <c r="EL142" s="552">
        <f>IFERROR(EL141/EL$139,0)</f>
        <v>0.38440154992502801</v>
      </c>
      <c r="EM142" s="551"/>
      <c r="EN142" s="552">
        <f>IFERROR(EN141/EN$139,0)</f>
        <v>0.41860672266495552</v>
      </c>
      <c r="EO142" s="551"/>
      <c r="EP142" s="552">
        <f>IFERROR(EP141/EP$139,0)</f>
        <v>0.3551566432371463</v>
      </c>
      <c r="EQ142" s="551"/>
      <c r="ER142" s="552">
        <f>IFERROR(ER141/ER$139,0)</f>
        <v>0.41745489464553071</v>
      </c>
      <c r="ES142" s="551"/>
      <c r="ET142" s="552">
        <f>IFERROR(ET141/ET$139,0)</f>
        <v>0.39462579160867212</v>
      </c>
      <c r="EU142" s="551"/>
      <c r="EV142" s="552">
        <f>IFERROR(EV141/EV$139,0)</f>
        <v>0</v>
      </c>
      <c r="EW142" s="551"/>
      <c r="EX142" s="552">
        <f>IFERROR(EX141/EX$139,0)</f>
        <v>0.41120461741636433</v>
      </c>
      <c r="EY142" s="551"/>
      <c r="EZ142" s="552">
        <f>IFERROR(EZ141/EZ$139,0)</f>
        <v>0.39483375543872923</v>
      </c>
      <c r="FA142" s="551"/>
      <c r="FB142" s="552">
        <f>IFERROR(FB141/FB$139,0)</f>
        <v>0.35522327666115749</v>
      </c>
      <c r="FC142" s="551"/>
      <c r="FD142" s="552">
        <f>IFERROR(FD141/FD$139,0)</f>
        <v>0.37535968071841186</v>
      </c>
      <c r="FE142" s="551"/>
      <c r="FF142" s="552">
        <f>IFERROR(FF141/FF$139,0)</f>
        <v>0.43932441339912864</v>
      </c>
      <c r="FG142" s="551"/>
      <c r="FH142" s="552">
        <f>IFERROR(FH141/FH$139,0)</f>
        <v>0.41285849149816856</v>
      </c>
      <c r="FI142" s="551"/>
      <c r="FJ142" s="552">
        <f>IFERROR(FJ141/FJ$139,0)</f>
        <v>0.40008025748253256</v>
      </c>
      <c r="FK142" s="551"/>
      <c r="FL142" s="552">
        <f>IFERROR(FL141/FL$139,0)</f>
        <v>0.39821518593040089</v>
      </c>
      <c r="FM142" s="551"/>
      <c r="FN142" s="552">
        <f>IFERROR(FN141/FN$139,0)</f>
        <v>0.39365690980026252</v>
      </c>
      <c r="FO142" s="551"/>
      <c r="FP142" s="552">
        <f>IFERROR(FP141/FP$139,0)</f>
        <v>0.39365690980026241</v>
      </c>
      <c r="FQ142" s="547"/>
      <c r="FR142" s="547"/>
      <c r="FS142" s="547"/>
      <c r="FT142" s="547"/>
      <c r="FU142" s="547"/>
      <c r="FV142" s="547"/>
      <c r="FW142" s="547"/>
      <c r="FX142" s="547"/>
      <c r="FY142" s="547"/>
      <c r="FZ142" s="547"/>
      <c r="GA142" s="547"/>
      <c r="GB142" s="547"/>
      <c r="GC142" s="547"/>
      <c r="GD142" s="547"/>
      <c r="GE142" s="547"/>
      <c r="GF142" s="547"/>
      <c r="GG142" s="547"/>
      <c r="GH142" s="547"/>
      <c r="GI142" s="547"/>
      <c r="GJ142" s="547"/>
      <c r="GK142" s="547"/>
      <c r="GL142" s="547"/>
      <c r="GM142" s="547"/>
      <c r="GN142" s="547"/>
      <c r="GO142" s="547"/>
      <c r="GP142" s="551"/>
      <c r="GQ142" s="552">
        <f>IFERROR(GQ141/GQ$139,0)</f>
        <v>0</v>
      </c>
      <c r="GR142" s="551"/>
      <c r="GS142" s="552">
        <f>IFERROR(GS141/GS$139,0)</f>
        <v>0.30919760680404845</v>
      </c>
      <c r="GT142" s="551"/>
      <c r="GU142" s="552">
        <f>IFERROR(GU141/GU$139,0)</f>
        <v>0</v>
      </c>
      <c r="GV142" s="551"/>
      <c r="GW142" s="552">
        <f>IFERROR(GW141/GW$139,0)</f>
        <v>0.21002669085313913</v>
      </c>
      <c r="GX142" s="547"/>
      <c r="GY142" s="547"/>
      <c r="GZ142" s="547"/>
      <c r="HA142" s="547"/>
      <c r="HB142" s="551"/>
      <c r="HC142" s="552">
        <f>IFERROR(HC141/HC$139,0)</f>
        <v>0</v>
      </c>
      <c r="HD142" s="551"/>
      <c r="HE142" s="552">
        <f>IFERROR(HE141/HE$139,0)</f>
        <v>0.35132807269957333</v>
      </c>
      <c r="HF142" s="551"/>
      <c r="HG142" s="552">
        <f>IFERROR(HG141/HG$139,0)</f>
        <v>0</v>
      </c>
      <c r="HH142" s="551"/>
      <c r="HI142" s="552">
        <f>IFERROR(HI141/HI$139,0)</f>
        <v>0</v>
      </c>
      <c r="HJ142" s="551"/>
      <c r="HK142" s="552">
        <f>IFERROR(HK141/HK$139,0)</f>
        <v>0</v>
      </c>
      <c r="HL142" s="551"/>
      <c r="HM142" s="552">
        <f>IFERROR(HM141/HM$139,0)</f>
        <v>0.38141828129403166</v>
      </c>
      <c r="HN142" s="551"/>
      <c r="HO142" s="552">
        <f>IFERROR(HO141/HO$139,0)</f>
        <v>0</v>
      </c>
      <c r="HP142" s="551"/>
      <c r="HQ142" s="552">
        <f>IFERROR(HQ141/HQ$139,0)</f>
        <v>0</v>
      </c>
      <c r="HR142" s="551"/>
      <c r="HS142" s="552">
        <f>IFERROR(HS141/HS$139,0)</f>
        <v>0</v>
      </c>
      <c r="HT142" s="551"/>
      <c r="HU142" s="552">
        <f>IFERROR(HU141/HU$139,0)</f>
        <v>0</v>
      </c>
      <c r="HV142" s="551"/>
      <c r="HW142" s="552">
        <f>IFERROR(HW141/HW$139,0)</f>
        <v>0</v>
      </c>
      <c r="HX142" s="551"/>
      <c r="HY142" s="552">
        <f>IFERROR(HY141/HY$139,0)</f>
        <v>0</v>
      </c>
      <c r="HZ142" s="551"/>
      <c r="IA142" s="552">
        <f>IFERROR(IA141/IA$139,0)</f>
        <v>0</v>
      </c>
      <c r="IB142" s="551"/>
      <c r="IC142" s="552">
        <f>IFERROR(IC141/IC$139,0)</f>
        <v>0.35370887785396349</v>
      </c>
      <c r="ID142" s="551"/>
      <c r="IE142" s="552">
        <f>IFERROR(IE141/IE$139,0)</f>
        <v>0</v>
      </c>
      <c r="IF142" s="551"/>
      <c r="IG142" s="552">
        <f>IFERROR(IG141/IG$139,0)</f>
        <v>0</v>
      </c>
      <c r="IH142" s="551"/>
      <c r="II142" s="552">
        <f>IFERROR(II141/II$139,0)</f>
        <v>0</v>
      </c>
      <c r="IJ142" s="551"/>
      <c r="IK142" s="552">
        <f>IFERROR(IK141/IK$139,0)</f>
        <v>0</v>
      </c>
      <c r="IL142" s="551"/>
      <c r="IM142" s="552">
        <f>IFERROR(IM141/IM$139,0)</f>
        <v>0</v>
      </c>
      <c r="IN142" s="551"/>
      <c r="IO142" s="552">
        <f>IFERROR(IO141/IO$139,0)</f>
        <v>0</v>
      </c>
      <c r="IP142" s="551"/>
      <c r="IQ142" s="552">
        <f>IFERROR(IQ141/IQ$139,0)</f>
        <v>0</v>
      </c>
      <c r="IR142" s="551"/>
      <c r="IS142" s="552">
        <f>IFERROR(IS141/IS$139,0)</f>
        <v>0</v>
      </c>
      <c r="IT142" s="551"/>
      <c r="IU142" s="552">
        <f>IFERROR(IU141/IU$139,0)</f>
        <v>0</v>
      </c>
      <c r="IV142" s="551"/>
      <c r="IW142" s="552">
        <f>IFERROR(IW141/IW$139,0)</f>
        <v>0</v>
      </c>
      <c r="IX142" s="551"/>
      <c r="IY142" s="552">
        <f>IFERROR(IY141/IY$139,0)</f>
        <v>0</v>
      </c>
      <c r="IZ142" s="553"/>
      <c r="JA142" s="547"/>
      <c r="JB142" s="547"/>
      <c r="JC142" s="547"/>
      <c r="JD142" s="547"/>
      <c r="JE142" s="547"/>
      <c r="JF142" s="547"/>
      <c r="JG142" s="547"/>
      <c r="JH142" s="547"/>
      <c r="JI142" s="547"/>
      <c r="JJ142" s="547"/>
      <c r="JK142" s="547"/>
      <c r="JL142" s="547"/>
      <c r="JM142" s="547"/>
      <c r="JN142" s="547"/>
      <c r="JO142" s="547"/>
      <c r="JP142" s="547"/>
      <c r="JQ142" s="547"/>
      <c r="JR142" s="547"/>
      <c r="JS142" s="547"/>
      <c r="JT142" s="547"/>
      <c r="JU142" s="547"/>
      <c r="JV142" s="547"/>
      <c r="JW142" s="547"/>
      <c r="JX142" s="547"/>
      <c r="JY142" s="547"/>
      <c r="JZ142" s="547"/>
      <c r="KA142" s="552">
        <f>IFERROR(KA141/KA$139,0)</f>
        <v>0.2858157241630625</v>
      </c>
      <c r="KB142" s="547"/>
      <c r="KC142" s="552">
        <f>IFERROR(KC141/KC$139,0)</f>
        <v>0</v>
      </c>
      <c r="KD142" s="547"/>
      <c r="KE142" s="552">
        <f>IFERROR(KE141/KE$139,0)</f>
        <v>0.27992573855838859</v>
      </c>
      <c r="KF142" s="547"/>
      <c r="KG142" s="552">
        <f>IFERROR(KG141/KG$139,0)</f>
        <v>0.20467700611183151</v>
      </c>
      <c r="KH142" s="547"/>
      <c r="KI142" s="552">
        <f>IFERROR(KI141/KI$139,0)</f>
        <v>0</v>
      </c>
      <c r="KJ142" s="547"/>
      <c r="KK142" s="552">
        <f>IFERROR(KK141/KK$139,0)</f>
        <v>0</v>
      </c>
      <c r="KL142" s="547"/>
      <c r="KM142" s="552">
        <f>IFERROR(KM141/KM$139,0)</f>
        <v>0.25775024381529971</v>
      </c>
      <c r="KN142" s="547"/>
      <c r="KO142" s="552">
        <f>IFERROR(KO141/KO$139,0)</f>
        <v>0.29446388135848411</v>
      </c>
      <c r="KP142" s="547"/>
      <c r="KQ142" s="552">
        <f>IFERROR(KQ141/KQ$139,0)</f>
        <v>0.26677185531841263</v>
      </c>
      <c r="KR142" s="547"/>
      <c r="KS142" s="552">
        <f>IFERROR(KS141/KS$139,0)</f>
        <v>0.30274777454373447</v>
      </c>
      <c r="KT142" s="547"/>
      <c r="KU142" s="552">
        <f>IFERROR(KU141/KU$139,0)</f>
        <v>0</v>
      </c>
      <c r="KV142" s="547"/>
      <c r="KW142" s="552">
        <f>IFERROR(KW141/KW$139,0)</f>
        <v>0</v>
      </c>
      <c r="KX142" s="547"/>
      <c r="KY142" s="552">
        <f>IFERROR(KY141/KY$139,0)</f>
        <v>0.35187577370944301</v>
      </c>
      <c r="KZ142" s="547"/>
      <c r="LA142" s="552">
        <f>IFERROR(LA141/LA$139,0)</f>
        <v>0.37080440304390527</v>
      </c>
      <c r="LB142" s="547"/>
      <c r="LC142" s="552">
        <f>IFERROR(LC141/LC$139,0)</f>
        <v>0.30555978585452931</v>
      </c>
      <c r="LD142" s="547"/>
      <c r="LE142" s="552">
        <f>IFERROR(LE141/LE$139,0)</f>
        <v>0.29845377931005029</v>
      </c>
      <c r="LF142" s="547"/>
      <c r="LG142" s="552">
        <f>IFERROR(LG141/LG$139,0)</f>
        <v>0</v>
      </c>
      <c r="LH142" s="547"/>
      <c r="LI142" s="552">
        <f>IFERROR(LI141/LI$139,0)</f>
        <v>0.32110355546666336</v>
      </c>
      <c r="LJ142" s="547"/>
      <c r="LK142" s="552">
        <f>IFERROR(LK141/LK$139,0)</f>
        <v>0.2754927862400442</v>
      </c>
      <c r="LL142" s="547"/>
      <c r="LM142" s="552">
        <f>IFERROR(LM141/LM$139,0)</f>
        <v>0</v>
      </c>
      <c r="LN142" s="547"/>
      <c r="LO142" s="552">
        <f>IFERROR(LO141/LO$139,0)</f>
        <v>0.3372662724310857</v>
      </c>
      <c r="LP142" s="547"/>
      <c r="LQ142" s="552">
        <f>IFERROR(LQ141/LQ$139,0)</f>
        <v>0.31722515618474606</v>
      </c>
      <c r="LR142" s="547"/>
      <c r="LS142" s="552">
        <f>IFERROR(LS141/LS$139,0)</f>
        <v>0.28491870048146228</v>
      </c>
      <c r="LT142" s="547"/>
      <c r="LU142" s="552">
        <f>IFERROR(LU141/LU$139,0)</f>
        <v>0.26365665711482628</v>
      </c>
      <c r="LV142" s="547"/>
      <c r="LW142" s="552">
        <f>IFERROR(LW141/LW$139,0)</f>
        <v>0.27520513381495093</v>
      </c>
      <c r="LX142" s="547"/>
      <c r="LY142" s="552">
        <f>IFERROR(LY141/LY$139,0)</f>
        <v>0.28664006204670017</v>
      </c>
      <c r="LZ142" s="547"/>
      <c r="MA142" s="552">
        <f>IFERROR(MA141/MA$139,0)</f>
        <v>0.29642050790230395</v>
      </c>
      <c r="MB142" s="547"/>
      <c r="MC142" s="552">
        <f>IFERROR(MC141/MC$139,0)</f>
        <v>0.29270429243037821</v>
      </c>
      <c r="MD142" s="547"/>
      <c r="ME142" s="552">
        <f>IFERROR(ME141/ME$139,0)</f>
        <v>0.3729401875517715</v>
      </c>
      <c r="MF142" s="547"/>
      <c r="MG142" s="552">
        <f>IFERROR(MG141/MG$139,0)</f>
        <v>0</v>
      </c>
      <c r="MH142" s="547"/>
      <c r="MI142" s="547"/>
      <c r="MJ142" s="547"/>
      <c r="MK142" s="547"/>
      <c r="ML142" s="547"/>
      <c r="MM142" s="547"/>
      <c r="MN142" s="547"/>
      <c r="MO142" s="547"/>
      <c r="MP142" s="547"/>
      <c r="MQ142" s="547"/>
      <c r="MR142" s="547"/>
      <c r="MS142" s="547"/>
      <c r="MT142" s="547"/>
      <c r="MU142" s="547"/>
      <c r="MV142" s="547"/>
      <c r="MW142" s="547"/>
      <c r="MX142" s="547"/>
      <c r="MY142" s="547"/>
      <c r="MZ142" s="547"/>
      <c r="NA142" s="547"/>
      <c r="NB142" s="547"/>
      <c r="NC142" s="547"/>
      <c r="ND142" s="552">
        <f>IFERROR(ND141/ND$139,0)</f>
        <v>0</v>
      </c>
      <c r="NE142" s="547"/>
      <c r="NF142" s="552">
        <f>IFERROR(NF141/NF$139,0)</f>
        <v>0</v>
      </c>
      <c r="NG142" s="547"/>
      <c r="NH142" s="552">
        <f>IFERROR(NH141/NH$139,0)</f>
        <v>0.39184185091034118</v>
      </c>
      <c r="NI142" s="547"/>
      <c r="NJ142" s="552">
        <f>IFERROR(NJ141/NJ$139,0)</f>
        <v>0.33448158512791215</v>
      </c>
      <c r="NK142" s="547"/>
      <c r="NL142" s="552">
        <f>IFERROR(NL141/NL$139,0)</f>
        <v>0</v>
      </c>
      <c r="NM142" s="547"/>
      <c r="NN142" s="552">
        <f>IFERROR(NN141/NN$139,0)</f>
        <v>0</v>
      </c>
      <c r="NO142" s="547"/>
      <c r="NP142" s="552">
        <f>IFERROR(NP141/NP$139,0)</f>
        <v>0.37745357840041305</v>
      </c>
      <c r="NQ142" s="547"/>
      <c r="NR142" s="552">
        <f>IFERROR(NR141/NR$139,0)</f>
        <v>0.41461748384961233</v>
      </c>
      <c r="NS142" s="547"/>
      <c r="NT142" s="552">
        <f>IFERROR(NT141/NT$139,0)</f>
        <v>0</v>
      </c>
      <c r="NU142" s="547"/>
      <c r="NV142" s="552">
        <f>IFERROR(NV141/NV$139,0)</f>
        <v>0</v>
      </c>
      <c r="NW142" s="547"/>
      <c r="NX142" s="552">
        <f>IFERROR(NX141/NX$139,0)</f>
        <v>0</v>
      </c>
      <c r="NY142" s="547"/>
      <c r="NZ142" s="552">
        <f>IFERROR(NZ141/NZ$139,0)</f>
        <v>0.39079697954065012</v>
      </c>
      <c r="OA142" s="547"/>
      <c r="OB142" s="552">
        <f>IFERROR(OB141/OB$139,0)</f>
        <v>0.45356528662737983</v>
      </c>
      <c r="OC142" s="547"/>
      <c r="OD142" s="552">
        <f>IFERROR(OD141/OD$139,0)</f>
        <v>0.46002499906805949</v>
      </c>
      <c r="OE142" s="547"/>
      <c r="OF142" s="552">
        <f>IFERROR(OF141/OF$139,0)</f>
        <v>0.40850317105439365</v>
      </c>
      <c r="OG142" s="547"/>
      <c r="OH142" s="552">
        <f>IFERROR(OH141/OH$139,0)</f>
        <v>0</v>
      </c>
      <c r="OI142" s="547"/>
      <c r="OJ142" s="552">
        <f>IFERROR(OJ141/OJ$139,0)</f>
        <v>0</v>
      </c>
      <c r="OK142" s="547"/>
      <c r="OL142" s="552">
        <f>IFERROR(OL141/OL$139,0)</f>
        <v>0.39887961679784734</v>
      </c>
      <c r="OM142" s="547"/>
      <c r="ON142" s="552">
        <f>IFERROR(ON141/ON$139,0)</f>
        <v>0.36473242216755247</v>
      </c>
      <c r="OO142" s="547"/>
      <c r="OP142" s="552">
        <f>IFERROR(OP141/OP$139,0)</f>
        <v>0</v>
      </c>
      <c r="OQ142" s="547"/>
      <c r="OR142" s="552">
        <f>IFERROR(OR141/OR$139,0)</f>
        <v>0.39022440788890422</v>
      </c>
      <c r="OS142" s="547"/>
      <c r="OT142" s="552">
        <f>IFERROR(OT141/OT$139,0)</f>
        <v>0.37875320054821793</v>
      </c>
      <c r="OU142" s="547"/>
      <c r="OV142" s="552">
        <f>IFERROR(OV141/OV$139,0)</f>
        <v>0.29182769854444346</v>
      </c>
      <c r="OW142" s="547"/>
      <c r="OX142" s="552">
        <f>IFERROR(OX141/OX$139,0)</f>
        <v>0.27077108554849955</v>
      </c>
      <c r="OY142" s="547"/>
      <c r="OZ142" s="552">
        <f>IFERROR(OZ141/OZ$139,0)</f>
        <v>0.28220798276359865</v>
      </c>
      <c r="PA142" s="547"/>
      <c r="PB142" s="552">
        <f>IFERROR(PB141/PB$139,0)</f>
        <v>0.29353242859697354</v>
      </c>
      <c r="PC142" s="547"/>
      <c r="PD142" s="552">
        <f>IFERROR(PD141/PD$139,0)</f>
        <v>0.30321837739117047</v>
      </c>
      <c r="PE142" s="547"/>
      <c r="PF142" s="552">
        <f>IFERROR(PF141/PF$139,0)</f>
        <v>0.34399625298920095</v>
      </c>
      <c r="PG142" s="547"/>
      <c r="PH142" s="552">
        <f>IFERROR(PH141/PH$139,0)</f>
        <v>0.43329888607619987</v>
      </c>
      <c r="PI142" s="547"/>
      <c r="PJ142" s="552">
        <f>IFERROR(PJ141/PJ$139,0)</f>
        <v>0.42454261421752815</v>
      </c>
      <c r="PK142" s="547"/>
      <c r="PL142" s="552">
        <f>IFERROR(PL141/PL$139,0)</f>
        <v>0.41467304625199358</v>
      </c>
      <c r="PM142" s="547"/>
      <c r="PN142" s="552">
        <f>IFERROR(PN141/PN$139,0)</f>
        <v>0.4388327721661055</v>
      </c>
      <c r="PO142" s="547"/>
      <c r="PP142" s="552">
        <f>IFERROR(PP141/PP$139,0)</f>
        <v>0.4388327721661055</v>
      </c>
      <c r="PQ142" s="547"/>
      <c r="PR142" s="547"/>
      <c r="PS142" s="552">
        <f>IFERROR(PS141/PS$139,0)</f>
        <v>0.55944288648392793</v>
      </c>
      <c r="PT142" s="547"/>
      <c r="PU142" s="552">
        <f>IFERROR(PU141/PU$139,0)</f>
        <v>0.59756293089626422</v>
      </c>
      <c r="PV142" s="547"/>
      <c r="PW142" s="552">
        <f>IFERROR(PW141/PW$139,0)</f>
        <v>0.55944288648392793</v>
      </c>
      <c r="PX142" s="547"/>
      <c r="PY142" s="552">
        <f>IFERROR(PY141/PY$139,0)</f>
        <v>0.59756293089626422</v>
      </c>
      <c r="PZ142" s="547"/>
      <c r="QA142" s="552">
        <f>IFERROR(QA141/QA$139,0)</f>
        <v>0.55393592256497703</v>
      </c>
      <c r="QB142" s="547"/>
      <c r="QC142" s="552">
        <f>IFERROR(QC141/QC$139,0)</f>
        <v>0.59253246753246758</v>
      </c>
      <c r="QD142" s="547"/>
      <c r="QE142" s="547"/>
      <c r="QF142" s="547"/>
      <c r="QG142" s="552">
        <f>IFERROR(QG141/QG$139,0)</f>
        <v>0.48116081449414783</v>
      </c>
      <c r="QH142" s="547"/>
      <c r="QI142" s="552">
        <f>IFERROR(QI141/QI$139,0)</f>
        <v>0.51643418310084976</v>
      </c>
      <c r="QJ142" s="547"/>
      <c r="QK142" s="552">
        <f>IFERROR(QK141/QK$139,0)</f>
        <v>0.48116081449414783</v>
      </c>
      <c r="QL142" s="547"/>
      <c r="QM142" s="552">
        <f>IFERROR(QM141/QM$139,0)</f>
        <v>0.51643418310084976</v>
      </c>
      <c r="QN142" s="547"/>
      <c r="QO142" s="552">
        <f>IFERROR(QO141/QO$139,0)</f>
        <v>0.42100554660941136</v>
      </c>
      <c r="QP142" s="547"/>
      <c r="QQ142" s="552">
        <f>IFERROR(QQ141/QQ$139,0)</f>
        <v>0.46036858114152801</v>
      </c>
    </row>
    <row r="143" spans="1:459" x14ac:dyDescent="0.45">
      <c r="A143" s="546" t="s">
        <v>434</v>
      </c>
      <c r="B143" s="546"/>
      <c r="C143" s="546"/>
      <c r="D143" s="546"/>
      <c r="E143" s="546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  <c r="AA143" s="547"/>
      <c r="AB143" s="547"/>
      <c r="AC143" s="547"/>
      <c r="AD143" s="547"/>
      <c r="AE143" s="547"/>
      <c r="AF143" s="547"/>
      <c r="AG143" s="547"/>
      <c r="AH143" s="547"/>
      <c r="AI143" s="547"/>
      <c r="AJ143" s="546"/>
      <c r="AK143" s="546">
        <f>AK138*AK57</f>
        <v>382.6</v>
      </c>
      <c r="AL143" s="546"/>
      <c r="AM143" s="546">
        <f>AM138*AM57</f>
        <v>0</v>
      </c>
      <c r="AN143" s="546"/>
      <c r="AO143" s="546">
        <f>AO138*AO57</f>
        <v>751.5</v>
      </c>
      <c r="AP143" s="546"/>
      <c r="AQ143" s="546">
        <f>AQ138*AQ57</f>
        <v>340</v>
      </c>
      <c r="AR143" s="546"/>
      <c r="AS143" s="546">
        <f>AS138*AS57</f>
        <v>0</v>
      </c>
      <c r="AT143" s="546"/>
      <c r="AU143" s="546">
        <f>AU138*AU57</f>
        <v>0</v>
      </c>
      <c r="AV143" s="546"/>
      <c r="AW143" s="546">
        <f>AW138*AW57</f>
        <v>32.700000000000003</v>
      </c>
      <c r="AX143" s="546"/>
      <c r="AY143" s="546">
        <f>AY138*AY57</f>
        <v>194.9</v>
      </c>
      <c r="AZ143" s="546"/>
      <c r="BA143" s="546">
        <f>BA138*BA57</f>
        <v>598.30000000000007</v>
      </c>
      <c r="BB143" s="546"/>
      <c r="BC143" s="546">
        <f>BC138*BC57</f>
        <v>0</v>
      </c>
      <c r="BD143" s="546"/>
      <c r="BE143" s="546">
        <f>BE138*BE57</f>
        <v>382</v>
      </c>
      <c r="BF143" s="546"/>
      <c r="BG143" s="546">
        <f>BG138*BG57</f>
        <v>388.40000000000003</v>
      </c>
      <c r="BH143" s="546"/>
      <c r="BI143" s="546">
        <f>BI138*BI57</f>
        <v>183.5</v>
      </c>
      <c r="BJ143" s="546"/>
      <c r="BK143" s="546">
        <f>BK138*BK57</f>
        <v>195</v>
      </c>
      <c r="BL143" s="546"/>
      <c r="BM143" s="546">
        <f>BM138*BM57</f>
        <v>195</v>
      </c>
      <c r="BN143" s="546"/>
      <c r="BO143" s="546">
        <f>BO138*BO57</f>
        <v>389.3</v>
      </c>
      <c r="BP143" s="546"/>
      <c r="BQ143" s="546">
        <f>BQ138*BQ57</f>
        <v>6.5</v>
      </c>
      <c r="BR143" s="546"/>
      <c r="BS143" s="546">
        <f>BS138*BS57</f>
        <v>957.30000000000007</v>
      </c>
      <c r="BT143" s="546"/>
      <c r="BU143" s="546">
        <f>BU138*BU57</f>
        <v>195</v>
      </c>
      <c r="BV143" s="546"/>
      <c r="BW143" s="546">
        <f>BW138*BW57</f>
        <v>0</v>
      </c>
      <c r="BX143" s="546"/>
      <c r="BY143" s="546">
        <f>BY138*BY57</f>
        <v>942.2</v>
      </c>
      <c r="BZ143" s="546"/>
      <c r="CA143" s="546">
        <f>CA138*CA57</f>
        <v>942.2</v>
      </c>
      <c r="CB143" s="546"/>
      <c r="CC143" s="546">
        <f>CC138*CC57</f>
        <v>2490.3000000000002</v>
      </c>
      <c r="CD143" s="546"/>
      <c r="CE143" s="546">
        <f>CE138*CE57</f>
        <v>942.2</v>
      </c>
      <c r="CF143" s="546"/>
      <c r="CG143" s="546">
        <f>CG138*CG57</f>
        <v>5527</v>
      </c>
      <c r="CH143" s="546"/>
      <c r="CI143" s="546">
        <f>CI138*CI57</f>
        <v>5511.9000000000005</v>
      </c>
      <c r="CJ143" s="546"/>
      <c r="CK143" s="546">
        <f>CK138*CK57</f>
        <v>10843.900000000001</v>
      </c>
      <c r="CL143" s="546"/>
      <c r="CM143" s="546">
        <f>CM138*CM57</f>
        <v>16355.800000000001</v>
      </c>
      <c r="CN143" s="546"/>
      <c r="CO143" s="546">
        <f>CO138*CO57</f>
        <v>26257.5</v>
      </c>
      <c r="CP143" s="546"/>
      <c r="CQ143" s="546">
        <f>CQ138*CQ57</f>
        <v>389.3</v>
      </c>
      <c r="CR143" s="546"/>
      <c r="CS143" s="546">
        <f>CS138*CS57</f>
        <v>389.3</v>
      </c>
      <c r="CT143" s="546"/>
      <c r="CU143" s="546"/>
      <c r="CV143" s="546"/>
      <c r="CW143" s="546"/>
      <c r="CX143" s="546"/>
      <c r="CY143" s="546"/>
      <c r="CZ143" s="546"/>
      <c r="DA143" s="546"/>
      <c r="DB143" s="546"/>
      <c r="DC143" s="546"/>
      <c r="DD143" s="546"/>
      <c r="DE143" s="546"/>
      <c r="DF143" s="546"/>
      <c r="DG143" s="546"/>
      <c r="DH143" s="546"/>
      <c r="DI143" s="546"/>
      <c r="DJ143" s="546">
        <f>DJ138*DJ57</f>
        <v>6.0750000000000002</v>
      </c>
      <c r="DK143" s="546"/>
      <c r="DL143" s="546">
        <f>DL138*DL57</f>
        <v>3991.9500000000003</v>
      </c>
      <c r="DM143" s="546"/>
      <c r="DN143" s="546">
        <f>DN138*DN57</f>
        <v>3066.5250000000001</v>
      </c>
      <c r="DO143" s="546"/>
      <c r="DP143" s="546">
        <f>DP138*DP57</f>
        <v>1821.825</v>
      </c>
      <c r="DQ143" s="546"/>
      <c r="DR143" s="546">
        <f>DR138*DR57</f>
        <v>0</v>
      </c>
      <c r="DS143" s="546"/>
      <c r="DT143" s="546">
        <f>DT138*DT57</f>
        <v>0</v>
      </c>
      <c r="DU143" s="546"/>
      <c r="DV143" s="546">
        <f>DV138*DV57</f>
        <v>0</v>
      </c>
      <c r="DW143" s="546"/>
      <c r="DX143" s="546">
        <f>DX138*DX57</f>
        <v>0</v>
      </c>
      <c r="DY143" s="546"/>
      <c r="DZ143" s="546">
        <f>DZ138*DZ57</f>
        <v>1559.25</v>
      </c>
      <c r="EA143" s="546"/>
      <c r="EB143" s="546">
        <f>EB138*EB57</f>
        <v>2481.9749999999999</v>
      </c>
      <c r="EC143" s="546"/>
      <c r="ED143" s="546">
        <f>ED138*ED57</f>
        <v>1619.325</v>
      </c>
      <c r="EE143" s="546"/>
      <c r="EF143" s="546">
        <f>EF138*EF57</f>
        <v>860.625</v>
      </c>
      <c r="EG143" s="546"/>
      <c r="EH143" s="546">
        <f>EH138*EH57</f>
        <v>1771.2</v>
      </c>
      <c r="EI143" s="546"/>
      <c r="EJ143" s="546">
        <f>EJ138*EJ57</f>
        <v>1607.8500000000001</v>
      </c>
      <c r="EK143" s="546"/>
      <c r="EL143" s="546">
        <f>EL138*EL57</f>
        <v>1607.8500000000001</v>
      </c>
      <c r="EM143" s="546"/>
      <c r="EN143" s="546">
        <f>EN138*EN57</f>
        <v>801.9</v>
      </c>
      <c r="EO143" s="546"/>
      <c r="EP143" s="546">
        <f>EP138*EP57</f>
        <v>3167.1</v>
      </c>
      <c r="EQ143" s="546"/>
      <c r="ER143" s="546">
        <f>ER138*ER57</f>
        <v>2520.4500000000003</v>
      </c>
      <c r="ES143" s="546"/>
      <c r="ET143" s="546">
        <f>ET138*ET57</f>
        <v>2511.6750000000002</v>
      </c>
      <c r="EU143" s="546"/>
      <c r="EV143" s="546">
        <f>EV138*EV57</f>
        <v>0</v>
      </c>
      <c r="EW143" s="546"/>
      <c r="EX143" s="546">
        <f>EX138*EX57</f>
        <v>2481.3000000000002</v>
      </c>
      <c r="EY143" s="546"/>
      <c r="EZ143" s="546">
        <f>EZ138*EZ57</f>
        <v>2481.3000000000002</v>
      </c>
      <c r="FA143" s="546"/>
      <c r="FB143" s="546">
        <f>FB138*FB57</f>
        <v>11482.425000000001</v>
      </c>
      <c r="FC143" s="546"/>
      <c r="FD143" s="546">
        <f>FD138*FD57</f>
        <v>24644.25</v>
      </c>
      <c r="FE143" s="546"/>
      <c r="FF143" s="546">
        <f>FF138*FF57</f>
        <v>46121.4</v>
      </c>
      <c r="FG143" s="546"/>
      <c r="FH143" s="546">
        <f>FH138*FH57</f>
        <v>89722.35</v>
      </c>
      <c r="FI143" s="546"/>
      <c r="FJ143" s="546">
        <f>FJ138*FJ57</f>
        <v>176933.02499999999</v>
      </c>
      <c r="FK143" s="546"/>
      <c r="FL143" s="546">
        <f>FL138*FL57</f>
        <v>353866.05</v>
      </c>
      <c r="FM143" s="546"/>
      <c r="FN143" s="546">
        <f>FN138*FN57</f>
        <v>705250.8</v>
      </c>
      <c r="FO143" s="546"/>
      <c r="FP143" s="546">
        <f>FP138*FP57</f>
        <v>1408020.3</v>
      </c>
      <c r="FQ143" s="547"/>
      <c r="FR143" s="547"/>
      <c r="FS143" s="547"/>
      <c r="FT143" s="547"/>
      <c r="FU143" s="547"/>
      <c r="FV143" s="547"/>
      <c r="FW143" s="547"/>
      <c r="FX143" s="547"/>
      <c r="FY143" s="547"/>
      <c r="FZ143" s="547"/>
      <c r="GA143" s="547"/>
      <c r="GB143" s="547"/>
      <c r="GC143" s="547"/>
      <c r="GD143" s="547"/>
      <c r="GE143" s="547"/>
      <c r="GF143" s="547"/>
      <c r="GG143" s="547"/>
      <c r="GH143" s="547"/>
      <c r="GI143" s="547"/>
      <c r="GJ143" s="547"/>
      <c r="GK143" s="547"/>
      <c r="GL143" s="547"/>
      <c r="GM143" s="547"/>
      <c r="GN143" s="547"/>
      <c r="GO143" s="547"/>
      <c r="GP143" s="546"/>
      <c r="GQ143" s="546">
        <f>GQ138*GQ57</f>
        <v>0</v>
      </c>
      <c r="GR143" s="546"/>
      <c r="GS143" s="546">
        <f>GS138*GS57</f>
        <v>542.1</v>
      </c>
      <c r="GT143" s="546"/>
      <c r="GU143" s="546">
        <f>GU138*GU57</f>
        <v>0</v>
      </c>
      <c r="GV143" s="546"/>
      <c r="GW143" s="546">
        <f>GW138*GW57</f>
        <v>537.9</v>
      </c>
      <c r="GX143" s="547"/>
      <c r="GY143" s="547"/>
      <c r="GZ143" s="547"/>
      <c r="HA143" s="547"/>
      <c r="HB143" s="546"/>
      <c r="HC143" s="546">
        <f>HC138*HC57</f>
        <v>0</v>
      </c>
      <c r="HD143" s="546"/>
      <c r="HE143" s="546">
        <f>HE138*HE57</f>
        <v>570.9</v>
      </c>
      <c r="HF143" s="546"/>
      <c r="HG143" s="546">
        <f>HG138*HG57</f>
        <v>0</v>
      </c>
      <c r="HH143" s="546"/>
      <c r="HI143" s="546">
        <f>HI138*HI57</f>
        <v>0</v>
      </c>
      <c r="HJ143" s="546"/>
      <c r="HK143" s="546">
        <f>HK138*HK57</f>
        <v>0</v>
      </c>
      <c r="HL143" s="546"/>
      <c r="HM143" s="546">
        <f>HM138*HM57</f>
        <v>582</v>
      </c>
      <c r="HN143" s="546"/>
      <c r="HO143" s="546">
        <f>HO138*HO57</f>
        <v>0</v>
      </c>
      <c r="HP143" s="546"/>
      <c r="HQ143" s="546">
        <f>HQ138*HQ57</f>
        <v>0</v>
      </c>
      <c r="HR143" s="546"/>
      <c r="HS143" s="546">
        <f>HS138*HS57</f>
        <v>0</v>
      </c>
      <c r="HT143" s="546"/>
      <c r="HU143" s="546">
        <f>HU138*HU57</f>
        <v>0</v>
      </c>
      <c r="HV143" s="546"/>
      <c r="HW143" s="546">
        <f>HW138*HW57</f>
        <v>0</v>
      </c>
      <c r="HX143" s="546"/>
      <c r="HY143" s="546">
        <f>HY138*HY57</f>
        <v>0</v>
      </c>
      <c r="HZ143" s="546"/>
      <c r="IA143" s="546">
        <f>IA138*IA57</f>
        <v>0</v>
      </c>
      <c r="IB143" s="546"/>
      <c r="IC143" s="546">
        <f>IC138*IC57</f>
        <v>1143</v>
      </c>
      <c r="ID143" s="546"/>
      <c r="IE143" s="546">
        <f>IE138*IE57</f>
        <v>0</v>
      </c>
      <c r="IF143" s="546"/>
      <c r="IG143" s="546">
        <f>IG138*IG57</f>
        <v>0</v>
      </c>
      <c r="IH143" s="546"/>
      <c r="II143" s="546">
        <f>II138*II57</f>
        <v>0</v>
      </c>
      <c r="IJ143" s="546"/>
      <c r="IK143" s="546">
        <f>IK138*IK57</f>
        <v>0</v>
      </c>
      <c r="IL143" s="546"/>
      <c r="IM143" s="546">
        <f>IM138*IM57</f>
        <v>0</v>
      </c>
      <c r="IN143" s="546"/>
      <c r="IO143" s="546">
        <f>IO138*IO57</f>
        <v>0</v>
      </c>
      <c r="IP143" s="546"/>
      <c r="IQ143" s="546">
        <f>IQ138*IQ57</f>
        <v>0</v>
      </c>
      <c r="IR143" s="546"/>
      <c r="IS143" s="546">
        <f>IS138*IS57</f>
        <v>0</v>
      </c>
      <c r="IT143" s="546"/>
      <c r="IU143" s="546">
        <f>IU138*IU57</f>
        <v>0</v>
      </c>
      <c r="IV143" s="546"/>
      <c r="IW143" s="546">
        <f>IW138*IW57</f>
        <v>0</v>
      </c>
      <c r="IX143" s="546"/>
      <c r="IY143" s="546">
        <f>IY138*IY57</f>
        <v>0</v>
      </c>
      <c r="IZ143" s="548"/>
      <c r="JA143" s="547"/>
      <c r="JB143" s="547"/>
      <c r="JC143" s="547"/>
      <c r="JD143" s="547"/>
      <c r="JE143" s="547"/>
      <c r="JF143" s="547"/>
      <c r="JG143" s="547"/>
      <c r="JH143" s="547"/>
      <c r="JI143" s="547"/>
      <c r="JJ143" s="547"/>
      <c r="JK143" s="547"/>
      <c r="JL143" s="547"/>
      <c r="JM143" s="547"/>
      <c r="JN143" s="547"/>
      <c r="JO143" s="547"/>
      <c r="JP143" s="547"/>
      <c r="JQ143" s="547"/>
      <c r="JR143" s="547"/>
      <c r="JS143" s="547"/>
      <c r="JT143" s="547"/>
      <c r="JU143" s="547"/>
      <c r="JV143" s="547"/>
      <c r="JW143" s="547"/>
      <c r="JX143" s="547"/>
      <c r="JY143" s="547"/>
      <c r="JZ143" s="547"/>
      <c r="KA143" s="546">
        <f>KA138*KA57</f>
        <v>190</v>
      </c>
      <c r="KB143" s="547"/>
      <c r="KC143" s="546">
        <f>KC138*KC57</f>
        <v>0</v>
      </c>
      <c r="KD143" s="547"/>
      <c r="KE143" s="546">
        <f>KE138*KE57</f>
        <v>225.4</v>
      </c>
      <c r="KF143" s="547"/>
      <c r="KG143" s="546">
        <f>KG138*KG57</f>
        <v>190</v>
      </c>
      <c r="KH143" s="547"/>
      <c r="KI143" s="546">
        <f>KI138*KI57</f>
        <v>0</v>
      </c>
      <c r="KJ143" s="547"/>
      <c r="KK143" s="546">
        <f>KK138*KK57</f>
        <v>0</v>
      </c>
      <c r="KL143" s="547"/>
      <c r="KM143" s="546">
        <f>KM138*KM57</f>
        <v>190</v>
      </c>
      <c r="KN143" s="547"/>
      <c r="KO143" s="546">
        <f>KO138*KO57</f>
        <v>384.70000000000005</v>
      </c>
      <c r="KP143" s="547"/>
      <c r="KQ143" s="546">
        <f>KQ138*KQ57</f>
        <v>175</v>
      </c>
      <c r="KR143" s="547"/>
      <c r="KS143" s="546">
        <f>KS138*KS57</f>
        <v>178.70000000000002</v>
      </c>
      <c r="KT143" s="547"/>
      <c r="KU143" s="546">
        <f>KU138*KU57</f>
        <v>0</v>
      </c>
      <c r="KV143" s="547"/>
      <c r="KW143" s="546">
        <f>KW138*KW57</f>
        <v>0</v>
      </c>
      <c r="KX143" s="547"/>
      <c r="KY143" s="546">
        <f>KY138*KY57</f>
        <v>136</v>
      </c>
      <c r="KZ143" s="547"/>
      <c r="LA143" s="546">
        <f>LA138*LA57</f>
        <v>190</v>
      </c>
      <c r="LB143" s="547"/>
      <c r="LC143" s="546">
        <f>LC138*LC57</f>
        <v>190</v>
      </c>
      <c r="LD143" s="547"/>
      <c r="LE143" s="546">
        <f>LE138*LE57</f>
        <v>192.3</v>
      </c>
      <c r="LF143" s="547"/>
      <c r="LG143" s="546">
        <f>LG138*LG57</f>
        <v>0</v>
      </c>
      <c r="LH143" s="547"/>
      <c r="LI143" s="546">
        <f>LI138*LI57</f>
        <v>570</v>
      </c>
      <c r="LJ143" s="547"/>
      <c r="LK143" s="546">
        <f>LK138*LK57</f>
        <v>192.3</v>
      </c>
      <c r="LL143" s="547"/>
      <c r="LM143" s="546">
        <f>LM138*LM57</f>
        <v>0</v>
      </c>
      <c r="LN143" s="547"/>
      <c r="LO143" s="546">
        <f>LO138*LO57</f>
        <v>380</v>
      </c>
      <c r="LP143" s="547"/>
      <c r="LQ143" s="546">
        <f>LQ138*LQ57</f>
        <v>380</v>
      </c>
      <c r="LR143" s="547"/>
      <c r="LS143" s="546">
        <f>LS138*LS57</f>
        <v>1334.6000000000001</v>
      </c>
      <c r="LT143" s="547"/>
      <c r="LU143" s="546">
        <f>LU138*LU57</f>
        <v>1522.3000000000002</v>
      </c>
      <c r="LV143" s="547"/>
      <c r="LW143" s="546">
        <f>LW138*LW57</f>
        <v>2856.9</v>
      </c>
      <c r="LX143" s="547"/>
      <c r="LY143" s="546">
        <f>LY138*LY57</f>
        <v>3809.2000000000003</v>
      </c>
      <c r="LZ143" s="547"/>
      <c r="MA143" s="546">
        <f>MA138*MA57</f>
        <v>6473.8</v>
      </c>
      <c r="MB143" s="547"/>
      <c r="MC143" s="546">
        <f>MC138*MC57</f>
        <v>10283</v>
      </c>
      <c r="MD143" s="547"/>
      <c r="ME143" s="546">
        <f>ME138*ME57</f>
        <v>16376.800000000001</v>
      </c>
      <c r="MF143" s="547"/>
      <c r="MG143" s="546">
        <f>MG138*MG57</f>
        <v>0</v>
      </c>
      <c r="MH143" s="547"/>
      <c r="MI143" s="547"/>
      <c r="MJ143" s="547"/>
      <c r="MK143" s="547"/>
      <c r="ML143" s="547"/>
      <c r="MM143" s="547"/>
      <c r="MN143" s="547"/>
      <c r="MO143" s="547"/>
      <c r="MP143" s="547"/>
      <c r="MQ143" s="547"/>
      <c r="MR143" s="547"/>
      <c r="MS143" s="547"/>
      <c r="MT143" s="547"/>
      <c r="MU143" s="547"/>
      <c r="MV143" s="547"/>
      <c r="MW143" s="547"/>
      <c r="MX143" s="547"/>
      <c r="MY143" s="547"/>
      <c r="MZ143" s="547"/>
      <c r="NA143" s="547"/>
      <c r="NB143" s="547"/>
      <c r="NC143" s="547"/>
      <c r="ND143" s="546">
        <f>ND138*ND57</f>
        <v>0</v>
      </c>
      <c r="NE143" s="547"/>
      <c r="NF143" s="546">
        <f>NF138*NF57</f>
        <v>0</v>
      </c>
      <c r="NG143" s="547"/>
      <c r="NH143" s="546">
        <f>NH138*NH57</f>
        <v>1116</v>
      </c>
      <c r="NI143" s="547"/>
      <c r="NJ143" s="546">
        <f>NJ138*NJ57</f>
        <v>1065.5999999999999</v>
      </c>
      <c r="NK143" s="547"/>
      <c r="NL143" s="546">
        <f>NL138*NL57</f>
        <v>0</v>
      </c>
      <c r="NM143" s="547"/>
      <c r="NN143" s="546">
        <f>NN138*NN57</f>
        <v>0</v>
      </c>
      <c r="NO143" s="547"/>
      <c r="NP143" s="546">
        <f>NP138*NP57</f>
        <v>3536.4</v>
      </c>
      <c r="NQ143" s="547"/>
      <c r="NR143" s="546">
        <f>NR138*NR57</f>
        <v>2400</v>
      </c>
      <c r="NS143" s="547"/>
      <c r="NT143" s="546">
        <f>NT138*NT57</f>
        <v>0</v>
      </c>
      <c r="NU143" s="547"/>
      <c r="NV143" s="546">
        <f>NV138*NV57</f>
        <v>0</v>
      </c>
      <c r="NW143" s="547"/>
      <c r="NX143" s="546">
        <f>NX138*NX57</f>
        <v>0</v>
      </c>
      <c r="NY143" s="547"/>
      <c r="NZ143" s="546">
        <f>NZ138*NZ57</f>
        <v>2274.6</v>
      </c>
      <c r="OA143" s="547"/>
      <c r="OB143" s="546">
        <f>OB138*OB57</f>
        <v>193.79999999999998</v>
      </c>
      <c r="OC143" s="547"/>
      <c r="OD143" s="546">
        <f>OD138*OD57</f>
        <v>2468.4</v>
      </c>
      <c r="OE143" s="547"/>
      <c r="OF143" s="546">
        <f>OF138*OF57</f>
        <v>2468.4</v>
      </c>
      <c r="OG143" s="547"/>
      <c r="OH143" s="546">
        <f>OH138*OH57</f>
        <v>0</v>
      </c>
      <c r="OI143" s="547"/>
      <c r="OJ143" s="546">
        <f>OJ138*OJ57</f>
        <v>0</v>
      </c>
      <c r="OK143" s="547"/>
      <c r="OL143" s="546">
        <f>OL138*OL57</f>
        <v>1116</v>
      </c>
      <c r="OM143" s="547"/>
      <c r="ON143" s="546">
        <f>ON138*ON57</f>
        <v>1065.5999999999999</v>
      </c>
      <c r="OO143" s="547"/>
      <c r="OP143" s="546">
        <f>OP138*OP57</f>
        <v>0</v>
      </c>
      <c r="OQ143" s="547"/>
      <c r="OR143" s="546">
        <f>OR138*OR57</f>
        <v>4936.8</v>
      </c>
      <c r="OS143" s="547"/>
      <c r="OT143" s="546">
        <f>OT138*OT57</f>
        <v>4936.8</v>
      </c>
      <c r="OU143" s="547"/>
      <c r="OV143" s="546">
        <f>OV138*OV57</f>
        <v>7118.4</v>
      </c>
      <c r="OW143" s="547"/>
      <c r="OX143" s="546">
        <f>OX138*OX57</f>
        <v>12055.199999999999</v>
      </c>
      <c r="OY143" s="547"/>
      <c r="OZ143" s="546">
        <f>OZ138*OZ57</f>
        <v>19173.599999999999</v>
      </c>
      <c r="PA143" s="547"/>
      <c r="PB143" s="546">
        <f>PB138*PB57</f>
        <v>30112.799999999999</v>
      </c>
      <c r="PC143" s="547"/>
      <c r="PD143" s="546">
        <f>PD138*PD57</f>
        <v>48220.799999999996</v>
      </c>
      <c r="PE143" s="547"/>
      <c r="PF143" s="546">
        <f>PF138*PF57</f>
        <v>78333.599999999991</v>
      </c>
      <c r="PG143" s="547"/>
      <c r="PH143" s="546">
        <f>PH138*PH57</f>
        <v>121617.59999999999</v>
      </c>
      <c r="PI143" s="547"/>
      <c r="PJ143" s="546">
        <f>PJ138*PJ57</f>
        <v>4936.8</v>
      </c>
      <c r="PK143" s="547"/>
      <c r="PL143" s="546">
        <f>PL138*PL57</f>
        <v>2468.4</v>
      </c>
      <c r="PM143" s="547"/>
      <c r="PN143" s="546">
        <f>PN138*PN57</f>
        <v>4936.8</v>
      </c>
      <c r="PO143" s="547"/>
      <c r="PP143" s="546">
        <f>PP138*PP57</f>
        <v>4936.8</v>
      </c>
      <c r="PQ143" s="547"/>
      <c r="PR143" s="547"/>
      <c r="PS143" s="546">
        <f>PS138*PS57</f>
        <v>930</v>
      </c>
      <c r="PT143" s="547"/>
      <c r="PU143" s="546">
        <f>PU138*PU57</f>
        <v>930</v>
      </c>
      <c r="PV143" s="547"/>
      <c r="PW143" s="546">
        <f>PW138*PW57</f>
        <v>930</v>
      </c>
      <c r="PX143" s="547"/>
      <c r="PY143" s="546">
        <f>PY138*PY57</f>
        <v>930</v>
      </c>
      <c r="PZ143" s="547"/>
      <c r="QA143" s="546">
        <f>QA138*QA57</f>
        <v>930</v>
      </c>
      <c r="QB143" s="547"/>
      <c r="QC143" s="546">
        <f>QC138*QC57</f>
        <v>930</v>
      </c>
      <c r="QD143" s="547"/>
      <c r="QE143" s="547"/>
      <c r="QF143" s="547"/>
      <c r="QG143" s="546">
        <f>QG138*QG57</f>
        <v>930</v>
      </c>
      <c r="QH143" s="547"/>
      <c r="QI143" s="546">
        <f>QI138*QI57</f>
        <v>930</v>
      </c>
      <c r="QJ143" s="547"/>
      <c r="QK143" s="546">
        <f>QK138*QK57</f>
        <v>930</v>
      </c>
      <c r="QL143" s="547"/>
      <c r="QM143" s="546">
        <f>QM138*QM57</f>
        <v>930</v>
      </c>
      <c r="QN143" s="547"/>
      <c r="QO143" s="546">
        <f>QO138*QO57</f>
        <v>930</v>
      </c>
      <c r="QP143" s="547"/>
      <c r="QQ143" s="546">
        <f>QQ138*QQ57</f>
        <v>930</v>
      </c>
    </row>
    <row r="144" spans="1:459" x14ac:dyDescent="0.45">
      <c r="A144" s="549" t="s">
        <v>435</v>
      </c>
      <c r="B144" s="549"/>
      <c r="C144" s="549"/>
      <c r="D144" s="549"/>
      <c r="E144" s="549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  <c r="AA144" s="547"/>
      <c r="AB144" s="547"/>
      <c r="AC144" s="547"/>
      <c r="AD144" s="547"/>
      <c r="AE144" s="547"/>
      <c r="AF144" s="547"/>
      <c r="AG144" s="547"/>
      <c r="AH144" s="547"/>
      <c r="AI144" s="547"/>
      <c r="AJ144" s="549"/>
      <c r="AK144" s="549">
        <f>AK141-AK143</f>
        <v>9329.826729328166</v>
      </c>
      <c r="AL144" s="549"/>
      <c r="AM144" s="549">
        <f>AM141-AM143</f>
        <v>0</v>
      </c>
      <c r="AN144" s="549"/>
      <c r="AO144" s="549">
        <f>AO141-AO143</f>
        <v>16517.178496709996</v>
      </c>
      <c r="AP144" s="549"/>
      <c r="AQ144" s="549">
        <f>AQ141-AQ143</f>
        <v>6929.9746495775325</v>
      </c>
      <c r="AR144" s="549"/>
      <c r="AS144" s="549">
        <f>AS141-AS143</f>
        <v>0</v>
      </c>
      <c r="AT144" s="549"/>
      <c r="AU144" s="549">
        <f>AU141-AU143</f>
        <v>0</v>
      </c>
      <c r="AV144" s="549"/>
      <c r="AW144" s="549">
        <f>AW141-AW143</f>
        <v>782.42365945273923</v>
      </c>
      <c r="AX144" s="549"/>
      <c r="AY144" s="549">
        <f>AY141-AY143</f>
        <v>5153.5218424164614</v>
      </c>
      <c r="AZ144" s="549"/>
      <c r="BA144" s="549">
        <f>BA141-BA143</f>
        <v>16278.474274356355</v>
      </c>
      <c r="BB144" s="549"/>
      <c r="BC144" s="549">
        <f>BC141-BC143</f>
        <v>0</v>
      </c>
      <c r="BD144" s="549"/>
      <c r="BE144" s="549">
        <f>BE141-BE143</f>
        <v>10450.066429698971</v>
      </c>
      <c r="BF144" s="549"/>
      <c r="BG144" s="549">
        <f>BG141-BG143</f>
        <v>11492.37394600783</v>
      </c>
      <c r="BH144" s="549"/>
      <c r="BI144" s="549">
        <f>BI141-BI143</f>
        <v>5796.1138926171479</v>
      </c>
      <c r="BJ144" s="549"/>
      <c r="BK144" s="549">
        <f>BK141-BK143</f>
        <v>6219.3982900381598</v>
      </c>
      <c r="BL144" s="549"/>
      <c r="BM144" s="549">
        <f>BM141-BM143</f>
        <v>5322.3380295674506</v>
      </c>
      <c r="BN144" s="549"/>
      <c r="BO144" s="549">
        <f>BO141-BO143</f>
        <v>10233.813595908017</v>
      </c>
      <c r="BP144" s="549"/>
      <c r="BQ144" s="549">
        <f>BQ141-BQ143</f>
        <v>161.9556548462333</v>
      </c>
      <c r="BR144" s="549"/>
      <c r="BS144" s="549">
        <f>BS141-BS143</f>
        <v>27244.898716418702</v>
      </c>
      <c r="BT144" s="549"/>
      <c r="BU144" s="549">
        <f>BU141-BU143</f>
        <v>5170.7676486984928</v>
      </c>
      <c r="BV144" s="549"/>
      <c r="BW144" s="549">
        <f>BW141-BW143</f>
        <v>0</v>
      </c>
      <c r="BX144" s="549"/>
      <c r="BY144" s="549">
        <f>BY141-BY143</f>
        <v>27143.369294980661</v>
      </c>
      <c r="BZ144" s="549"/>
      <c r="CA144" s="549">
        <f>CA141-CA143</f>
        <v>25897.387161099079</v>
      </c>
      <c r="CB144" s="549"/>
      <c r="CC144" s="549">
        <f>CC141-CC143</f>
        <v>74371.746025712549</v>
      </c>
      <c r="CD144" s="549"/>
      <c r="CE144" s="549">
        <f>CE141-CE143</f>
        <v>26943.963504353433</v>
      </c>
      <c r="CF144" s="549"/>
      <c r="CG144" s="549">
        <f>CG141-CG143</f>
        <v>135747.70951324422</v>
      </c>
      <c r="CH144" s="549"/>
      <c r="CI144" s="549">
        <f>CI141-CI143</f>
        <v>139545.63244491964</v>
      </c>
      <c r="CJ144" s="549"/>
      <c r="CK144" s="549">
        <f>CK141-CK143</f>
        <v>281551.57736375357</v>
      </c>
      <c r="CL144" s="549"/>
      <c r="CM144" s="549">
        <f>CM141-CM143</f>
        <v>440389.90979051398</v>
      </c>
      <c r="CN144" s="549"/>
      <c r="CO144" s="549">
        <f>CO141-CO143</f>
        <v>709147.47168961493</v>
      </c>
      <c r="CP144" s="549"/>
      <c r="CQ144" s="549">
        <f>CQ141-CQ143</f>
        <v>10441.410493827159</v>
      </c>
      <c r="CR144" s="549"/>
      <c r="CS144" s="549">
        <f>CS141-CS143</f>
        <v>10441.410493827159</v>
      </c>
      <c r="CT144" s="549"/>
      <c r="CU144" s="549"/>
      <c r="CV144" s="549"/>
      <c r="CW144" s="549"/>
      <c r="CX144" s="549"/>
      <c r="CY144" s="549"/>
      <c r="CZ144" s="549"/>
      <c r="DA144" s="549"/>
      <c r="DB144" s="549"/>
      <c r="DC144" s="549"/>
      <c r="DD144" s="549"/>
      <c r="DE144" s="549"/>
      <c r="DF144" s="549"/>
      <c r="DG144" s="549"/>
      <c r="DH144" s="549"/>
      <c r="DI144" s="549"/>
      <c r="DJ144" s="549">
        <f>DJ141-DJ143</f>
        <v>46.266904020201025</v>
      </c>
      <c r="DK144" s="549"/>
      <c r="DL144" s="549">
        <f>DL141-DL143</f>
        <v>27141.431474021298</v>
      </c>
      <c r="DM144" s="549"/>
      <c r="DN144" s="549">
        <f>DN141-DN143</f>
        <v>21170.820501094102</v>
      </c>
      <c r="DO144" s="549"/>
      <c r="DP144" s="549">
        <f>DP141-DP143</f>
        <v>12836.02432758236</v>
      </c>
      <c r="DQ144" s="549"/>
      <c r="DR144" s="549">
        <f>DR141-DR143</f>
        <v>0</v>
      </c>
      <c r="DS144" s="549"/>
      <c r="DT144" s="549">
        <f>DT141-DT143</f>
        <v>0</v>
      </c>
      <c r="DU144" s="549"/>
      <c r="DV144" s="549">
        <f>DV141-DV143</f>
        <v>0</v>
      </c>
      <c r="DW144" s="549"/>
      <c r="DX144" s="549">
        <f>DX141-DX143</f>
        <v>0</v>
      </c>
      <c r="DY144" s="549"/>
      <c r="DZ144" s="549">
        <f>DZ141-DZ143</f>
        <v>13089.634616577467</v>
      </c>
      <c r="EA144" s="549"/>
      <c r="EB144" s="549">
        <f>EB141-EB143</f>
        <v>19787.783078153683</v>
      </c>
      <c r="EC144" s="549"/>
      <c r="ED144" s="549">
        <f>ED141-ED143</f>
        <v>13936.704938205436</v>
      </c>
      <c r="EE144" s="549"/>
      <c r="EF144" s="549">
        <f>EF141-EF143</f>
        <v>7713.5384885119838</v>
      </c>
      <c r="EG144" s="549"/>
      <c r="EH144" s="549">
        <f>EH141-EH143</f>
        <v>15629.925283475801</v>
      </c>
      <c r="EI144" s="549"/>
      <c r="EJ144" s="549">
        <f>EJ141-EJ143</f>
        <v>14026.727907279756</v>
      </c>
      <c r="EK144" s="549"/>
      <c r="EL144" s="549">
        <f>EL141-EL143</f>
        <v>13431.610779809269</v>
      </c>
      <c r="EM144" s="549"/>
      <c r="EN144" s="549">
        <f>EN141-EN143</f>
        <v>7366.3311186890096</v>
      </c>
      <c r="EO144" s="549"/>
      <c r="EP144" s="549">
        <f>EP141-EP143</f>
        <v>24203.437383378237</v>
      </c>
      <c r="EQ144" s="549"/>
      <c r="ER144" s="549">
        <f>ER141-ER143</f>
        <v>23082.455270760311</v>
      </c>
      <c r="ES144" s="549"/>
      <c r="ET144" s="549">
        <f>ET141-ET143</f>
        <v>21606.837221708647</v>
      </c>
      <c r="EU144" s="549"/>
      <c r="EV144" s="549">
        <f>EV141-EV143</f>
        <v>0</v>
      </c>
      <c r="EW144" s="549"/>
      <c r="EX144" s="549">
        <f>EX141-EX143</f>
        <v>22346.535751750471</v>
      </c>
      <c r="EY144" s="549"/>
      <c r="EZ144" s="549">
        <f>EZ141-EZ143</f>
        <v>21358.090936006225</v>
      </c>
      <c r="FA144" s="549"/>
      <c r="FB144" s="549">
        <f>FB141-FB143</f>
        <v>87768.974391222451</v>
      </c>
      <c r="FC144" s="549"/>
      <c r="FD144" s="549">
        <f>FD141-FD143</f>
        <v>200450.2234142549</v>
      </c>
      <c r="FE144" s="549"/>
      <c r="FF144" s="549">
        <f>FF141-FF143</f>
        <v>446926.85367023316</v>
      </c>
      <c r="FG144" s="549"/>
      <c r="FH144" s="549">
        <f>FH141-FH143</f>
        <v>811648.41248365364</v>
      </c>
      <c r="FI144" s="549"/>
      <c r="FJ144" s="549">
        <f>FJ141-FJ143</f>
        <v>1545560.623179642</v>
      </c>
      <c r="FK144" s="549"/>
      <c r="FL144" s="549">
        <f>FL141-FL143</f>
        <v>3075061.5991166923</v>
      </c>
      <c r="FM144" s="549"/>
      <c r="FN144" s="549">
        <f>FN141-FN143</f>
        <v>6050335.8970126333</v>
      </c>
      <c r="FO144" s="549"/>
      <c r="FP144" s="549">
        <f>FP141-FP143</f>
        <v>12079384.759028267</v>
      </c>
      <c r="FQ144" s="547"/>
      <c r="FR144" s="547"/>
      <c r="FS144" s="547"/>
      <c r="FT144" s="547"/>
      <c r="FU144" s="547"/>
      <c r="FV144" s="547"/>
      <c r="FW144" s="547"/>
      <c r="FX144" s="547"/>
      <c r="FY144" s="547"/>
      <c r="FZ144" s="547"/>
      <c r="GA144" s="547"/>
      <c r="GB144" s="547"/>
      <c r="GC144" s="547"/>
      <c r="GD144" s="547"/>
      <c r="GE144" s="547"/>
      <c r="GF144" s="547"/>
      <c r="GG144" s="547"/>
      <c r="GH144" s="547"/>
      <c r="GI144" s="547"/>
      <c r="GJ144" s="547"/>
      <c r="GK144" s="547"/>
      <c r="GL144" s="547"/>
      <c r="GM144" s="547"/>
      <c r="GN144" s="547"/>
      <c r="GO144" s="547"/>
      <c r="GP144" s="549"/>
      <c r="GQ144" s="549">
        <f>GQ141-GQ143</f>
        <v>0</v>
      </c>
      <c r="GR144" s="549"/>
      <c r="GS144" s="549">
        <f>GS141-GS143</f>
        <v>3871.7885964098336</v>
      </c>
      <c r="GT144" s="549"/>
      <c r="GU144" s="549">
        <f>GU141-GU143</f>
        <v>0</v>
      </c>
      <c r="GV144" s="549"/>
      <c r="GW144" s="549">
        <f>GW141-GW143</f>
        <v>2437.0650679274599</v>
      </c>
      <c r="GX144" s="547"/>
      <c r="GY144" s="547"/>
      <c r="GZ144" s="547"/>
      <c r="HA144" s="547"/>
      <c r="HB144" s="549"/>
      <c r="HC144" s="549">
        <f>HC141-HC143</f>
        <v>0</v>
      </c>
      <c r="HD144" s="549"/>
      <c r="HE144" s="549">
        <f>HE141-HE143</f>
        <v>4944.8629093651271</v>
      </c>
      <c r="HF144" s="549"/>
      <c r="HG144" s="549">
        <f>HG141-HG143</f>
        <v>0</v>
      </c>
      <c r="HH144" s="549"/>
      <c r="HI144" s="549">
        <f>HI141-HI143</f>
        <v>0</v>
      </c>
      <c r="HJ144" s="549"/>
      <c r="HK144" s="549">
        <f>HK141-HK143</f>
        <v>0</v>
      </c>
      <c r="HL144" s="549"/>
      <c r="HM144" s="549">
        <f>HM141-HM143</f>
        <v>5522.599592110977</v>
      </c>
      <c r="HN144" s="549"/>
      <c r="HO144" s="549">
        <f>HO141-HO143</f>
        <v>0</v>
      </c>
      <c r="HP144" s="549"/>
      <c r="HQ144" s="549">
        <f>HQ141-HQ143</f>
        <v>0</v>
      </c>
      <c r="HR144" s="549"/>
      <c r="HS144" s="549">
        <f>HS141-HS143</f>
        <v>0</v>
      </c>
      <c r="HT144" s="549"/>
      <c r="HU144" s="549">
        <f>HU141-HU143</f>
        <v>0</v>
      </c>
      <c r="HV144" s="549"/>
      <c r="HW144" s="549">
        <f>HW141-HW143</f>
        <v>0</v>
      </c>
      <c r="HX144" s="549"/>
      <c r="HY144" s="549">
        <f>HY141-HY143</f>
        <v>0</v>
      </c>
      <c r="HZ144" s="549"/>
      <c r="IA144" s="549">
        <f>IA141-IA143</f>
        <v>0</v>
      </c>
      <c r="IB144" s="549"/>
      <c r="IC144" s="549">
        <f>IC141-IC143</f>
        <v>9974.9543031447065</v>
      </c>
      <c r="ID144" s="549"/>
      <c r="IE144" s="549">
        <f>IE141-IE143</f>
        <v>0</v>
      </c>
      <c r="IF144" s="549"/>
      <c r="IG144" s="549">
        <f>IG141-IG143</f>
        <v>0</v>
      </c>
      <c r="IH144" s="549"/>
      <c r="II144" s="549">
        <f>II141-II143</f>
        <v>0</v>
      </c>
      <c r="IJ144" s="549"/>
      <c r="IK144" s="549">
        <f>IK141-IK143</f>
        <v>0</v>
      </c>
      <c r="IL144" s="549"/>
      <c r="IM144" s="549">
        <f>IM141-IM143</f>
        <v>0</v>
      </c>
      <c r="IN144" s="549"/>
      <c r="IO144" s="549">
        <f>IO141-IO143</f>
        <v>0</v>
      </c>
      <c r="IP144" s="549"/>
      <c r="IQ144" s="549">
        <f>IQ141-IQ143</f>
        <v>0</v>
      </c>
      <c r="IR144" s="549"/>
      <c r="IS144" s="549">
        <f>IS141-IS143</f>
        <v>0</v>
      </c>
      <c r="IT144" s="549"/>
      <c r="IU144" s="549">
        <f>IU141-IU143</f>
        <v>0</v>
      </c>
      <c r="IV144" s="549"/>
      <c r="IW144" s="549">
        <f>IW141-IW143</f>
        <v>0</v>
      </c>
      <c r="IX144" s="549"/>
      <c r="IY144" s="549">
        <f>IY141-IY143</f>
        <v>0</v>
      </c>
      <c r="IZ144" s="550"/>
      <c r="JA144" s="547"/>
      <c r="JB144" s="547"/>
      <c r="JC144" s="547"/>
      <c r="JD144" s="547"/>
      <c r="JE144" s="547"/>
      <c r="JF144" s="547"/>
      <c r="JG144" s="547"/>
      <c r="JH144" s="547"/>
      <c r="JI144" s="547"/>
      <c r="JJ144" s="547"/>
      <c r="JK144" s="547"/>
      <c r="JL144" s="547"/>
      <c r="JM144" s="547"/>
      <c r="JN144" s="547"/>
      <c r="JO144" s="547"/>
      <c r="JP144" s="547"/>
      <c r="JQ144" s="547"/>
      <c r="JR144" s="547"/>
      <c r="JS144" s="547"/>
      <c r="JT144" s="547"/>
      <c r="JU144" s="547"/>
      <c r="JV144" s="547"/>
      <c r="JW144" s="547"/>
      <c r="JX144" s="547"/>
      <c r="JY144" s="547"/>
      <c r="JZ144" s="547"/>
      <c r="KA144" s="549">
        <f>KA141-KA143</f>
        <v>3231.2142182318585</v>
      </c>
      <c r="KB144" s="547"/>
      <c r="KC144" s="549">
        <f>KC141-KC143</f>
        <v>0</v>
      </c>
      <c r="KD144" s="547"/>
      <c r="KE144" s="549">
        <f>KE141-KE143</f>
        <v>3749.6014726768294</v>
      </c>
      <c r="KF144" s="547"/>
      <c r="KG144" s="549">
        <f>KG141-KG143</f>
        <v>2259.9837631586233</v>
      </c>
      <c r="KH144" s="547"/>
      <c r="KI144" s="549">
        <f>KI141-KI143</f>
        <v>0</v>
      </c>
      <c r="KJ144" s="547"/>
      <c r="KK144" s="549">
        <f>KK141-KK143</f>
        <v>0</v>
      </c>
      <c r="KL144" s="547"/>
      <c r="KM144" s="549">
        <f t="shared" ref="KM144:KU144" si="681">KM141-KM143</f>
        <v>3042.1880574438583</v>
      </c>
      <c r="KN144" s="547"/>
      <c r="KO144" s="549">
        <f t="shared" si="681"/>
        <v>7091.7968404681824</v>
      </c>
      <c r="KP144" s="547"/>
      <c r="KQ144" s="549">
        <f t="shared" si="681"/>
        <v>2906.2149289276658</v>
      </c>
      <c r="KR144" s="547"/>
      <c r="KS144" s="549">
        <f t="shared" si="681"/>
        <v>3391.9678025237126</v>
      </c>
      <c r="KT144" s="547"/>
      <c r="KU144" s="549">
        <f t="shared" si="681"/>
        <v>0</v>
      </c>
      <c r="KV144" s="547"/>
      <c r="KW144" s="549">
        <f>KW141-KW143</f>
        <v>0</v>
      </c>
      <c r="KX144" s="547"/>
      <c r="KY144" s="549">
        <f>KY141-KY143</f>
        <v>3022.4369448159605</v>
      </c>
      <c r="KZ144" s="547"/>
      <c r="LA144" s="549">
        <f>LA141-LA143</f>
        <v>4459.8872141705724</v>
      </c>
      <c r="LB144" s="547"/>
      <c r="LC144" s="549">
        <f>LC141-LC143</f>
        <v>3641.7197146157978</v>
      </c>
      <c r="LD144" s="547"/>
      <c r="LE144" s="549">
        <f>LE141-LE143</f>
        <v>3595.6156762472956</v>
      </c>
      <c r="LF144" s="547"/>
      <c r="LG144" s="549">
        <f>LG141-LG143</f>
        <v>0</v>
      </c>
      <c r="LH144" s="547"/>
      <c r="LI144" s="549">
        <f>LI141-LI143</f>
        <v>11509.915756655875</v>
      </c>
      <c r="LJ144" s="547"/>
      <c r="LK144" s="549">
        <f>LK141-LK143</f>
        <v>3304.1993444013924</v>
      </c>
      <c r="LL144" s="547"/>
      <c r="LM144" s="549">
        <f>LM141-LM143</f>
        <v>0</v>
      </c>
      <c r="LN144" s="547"/>
      <c r="LO144" s="549">
        <f>LO141-LO143</f>
        <v>8078.6381125716289</v>
      </c>
      <c r="LP144" s="547"/>
      <c r="LQ144" s="549">
        <f>LQ141-LQ143</f>
        <v>7576.006917113431</v>
      </c>
      <c r="LR144" s="547"/>
      <c r="LS144" s="549">
        <f>LS141-LS143</f>
        <v>23762.064845728928</v>
      </c>
      <c r="LT144" s="547"/>
      <c r="LU144" s="549">
        <f>LU141-LU143</f>
        <v>24967.7589223094</v>
      </c>
      <c r="LV144" s="547"/>
      <c r="LW144" s="549">
        <f>LW141-LW143</f>
        <v>49034.5140885316</v>
      </c>
      <c r="LX144" s="547"/>
      <c r="LY144" s="549">
        <f>LY141-LY143</f>
        <v>68254.175406987153</v>
      </c>
      <c r="LZ144" s="547"/>
      <c r="MA144" s="549">
        <f>MA141-MA143</f>
        <v>120178.02754782372</v>
      </c>
      <c r="MB144" s="547"/>
      <c r="MC144" s="549">
        <f>MC141-MC143</f>
        <v>188368.96377806424</v>
      </c>
      <c r="MD144" s="547"/>
      <c r="ME144" s="549">
        <f>ME141-ME143</f>
        <v>386722.61299085821</v>
      </c>
      <c r="MF144" s="547"/>
      <c r="MG144" s="549">
        <f>MG141-MG143</f>
        <v>0</v>
      </c>
      <c r="MH144" s="547"/>
      <c r="MI144" s="547"/>
      <c r="MJ144" s="547"/>
      <c r="MK144" s="547"/>
      <c r="ML144" s="547"/>
      <c r="MM144" s="547"/>
      <c r="MN144" s="547"/>
      <c r="MO144" s="547"/>
      <c r="MP144" s="547"/>
      <c r="MQ144" s="547"/>
      <c r="MR144" s="547"/>
      <c r="MS144" s="547"/>
      <c r="MT144" s="547"/>
      <c r="MU144" s="547"/>
      <c r="MV144" s="547"/>
      <c r="MW144" s="547"/>
      <c r="MX144" s="547"/>
      <c r="MY144" s="547"/>
      <c r="MZ144" s="547"/>
      <c r="NA144" s="547"/>
      <c r="NB144" s="547"/>
      <c r="NC144" s="547"/>
      <c r="ND144" s="549">
        <f>ND141-ND143</f>
        <v>0</v>
      </c>
      <c r="NE144" s="547"/>
      <c r="NF144" s="549">
        <f>NF141-NF143</f>
        <v>0</v>
      </c>
      <c r="NG144" s="547"/>
      <c r="NH144" s="549">
        <f>NH141-NH143</f>
        <v>3475.6028089673782</v>
      </c>
      <c r="NI144" s="547"/>
      <c r="NJ144" s="549">
        <f>NJ141-NJ143</f>
        <v>2676.8475596791836</v>
      </c>
      <c r="NK144" s="547"/>
      <c r="NL144" s="549">
        <f>NL141-NL143</f>
        <v>0</v>
      </c>
      <c r="NM144" s="547"/>
      <c r="NN144" s="549">
        <f>NN141-NN143</f>
        <v>0</v>
      </c>
      <c r="NO144" s="547"/>
      <c r="NP144" s="549">
        <f>NP141-NP143</f>
        <v>11146.695181207428</v>
      </c>
      <c r="NQ144" s="547"/>
      <c r="NR144" s="549">
        <f>NR141-NR143</f>
        <v>8545.9015736297661</v>
      </c>
      <c r="NS144" s="547"/>
      <c r="NT144" s="549">
        <f>NT141-NT143</f>
        <v>0</v>
      </c>
      <c r="NU144" s="547"/>
      <c r="NV144" s="549">
        <f>NV141-NV143</f>
        <v>0</v>
      </c>
      <c r="NW144" s="547"/>
      <c r="NX144" s="549">
        <f>NX141-NX143</f>
        <v>0</v>
      </c>
      <c r="NY144" s="547"/>
      <c r="NZ144" s="549">
        <f>NZ141-NZ143</f>
        <v>7503.37490629479</v>
      </c>
      <c r="OA144" s="547"/>
      <c r="OB144" s="549">
        <f>OB141-OB143</f>
        <v>773.11047803224824</v>
      </c>
      <c r="OC144" s="547"/>
      <c r="OD144" s="549">
        <f>OD141-OD143</f>
        <v>10022.382784695577</v>
      </c>
      <c r="OE144" s="547"/>
      <c r="OF144" s="549">
        <f>OF141-OF143</f>
        <v>8623.4415017373176</v>
      </c>
      <c r="OG144" s="547"/>
      <c r="OH144" s="549">
        <f>OH141-OH143</f>
        <v>0</v>
      </c>
      <c r="OI144" s="547"/>
      <c r="OJ144" s="549">
        <f>OJ141-OJ143</f>
        <v>0</v>
      </c>
      <c r="OK144" s="547"/>
      <c r="OL144" s="549">
        <f>OL141-OL143</f>
        <v>3780.6461758103742</v>
      </c>
      <c r="OM144" s="547"/>
      <c r="ON144" s="549">
        <f>ON141-ON143</f>
        <v>3209.6475596791829</v>
      </c>
      <c r="OO144" s="547"/>
      <c r="OP144" s="549">
        <f>OP141-OP143</f>
        <v>0</v>
      </c>
      <c r="OQ144" s="547"/>
      <c r="OR144" s="549">
        <f>OR141-OR143</f>
        <v>16254.258425525364</v>
      </c>
      <c r="OS144" s="547"/>
      <c r="OT144" s="549">
        <f>OT141-OT143</f>
        <v>15631.316805130864</v>
      </c>
      <c r="OU144" s="547"/>
      <c r="OV144" s="549">
        <f>OV141-OV143</f>
        <v>15732.409182506426</v>
      </c>
      <c r="OW144" s="547"/>
      <c r="OX144" s="549">
        <f>OX141-OX143</f>
        <v>23850.995495546988</v>
      </c>
      <c r="OY144" s="547"/>
      <c r="OZ144" s="549">
        <f>OZ141-OZ143</f>
        <v>40346.772761477485</v>
      </c>
      <c r="PA144" s="547"/>
      <c r="PB144" s="549">
        <f>PB141-PB143</f>
        <v>67117.116474404393</v>
      </c>
      <c r="PC144" s="547"/>
      <c r="PD144" s="549">
        <f>PD141-PD143</f>
        <v>112614.96005754569</v>
      </c>
      <c r="PE144" s="547"/>
      <c r="PF144" s="549">
        <f>PF141-PF143</f>
        <v>218077.51371470361</v>
      </c>
      <c r="PG144" s="547"/>
      <c r="PH144" s="549">
        <f>PH141-PH143</f>
        <v>458046.87667986925</v>
      </c>
      <c r="PI144" s="547"/>
      <c r="PJ144" s="549">
        <f>PJ141-PJ143</f>
        <v>18117.901756560022</v>
      </c>
      <c r="PK144" s="547"/>
      <c r="PL144" s="549">
        <f>PL141-PL143</f>
        <v>8790.9684210526302</v>
      </c>
      <c r="PM144" s="547"/>
      <c r="PN144" s="549">
        <f>PN141-PN143</f>
        <v>18893.925925925923</v>
      </c>
      <c r="PO144" s="547"/>
      <c r="PP144" s="549">
        <f>PP141-PP143</f>
        <v>18893.925925925923</v>
      </c>
      <c r="PQ144" s="547"/>
      <c r="PR144" s="547"/>
      <c r="PS144" s="549">
        <f>PS141-PS143</f>
        <v>7082.341020222816</v>
      </c>
      <c r="PT144" s="547"/>
      <c r="PU144" s="549">
        <f>PU141-PU143</f>
        <v>7628.2962962962956</v>
      </c>
      <c r="PV144" s="547"/>
      <c r="PW144" s="549">
        <f>PW141-PW143</f>
        <v>7082.341020222816</v>
      </c>
      <c r="PX144" s="547"/>
      <c r="PY144" s="549">
        <f>PY141-PY143</f>
        <v>7628.2962962962956</v>
      </c>
      <c r="PZ144" s="547"/>
      <c r="QA144" s="549">
        <f>QA141-QA143</f>
        <v>7003.4702829756006</v>
      </c>
      <c r="QB144" s="547"/>
      <c r="QC144" s="549">
        <f>QC141-QC143</f>
        <v>7556.25</v>
      </c>
      <c r="QD144" s="547"/>
      <c r="QE144" s="547"/>
      <c r="QF144" s="547"/>
      <c r="QG144" s="549">
        <f>QG141-QG143</f>
        <v>5961.1851851851852</v>
      </c>
      <c r="QH144" s="547"/>
      <c r="QI144" s="549">
        <f>QI141-QI143</f>
        <v>6466.3703703703704</v>
      </c>
      <c r="QJ144" s="547"/>
      <c r="QK144" s="549">
        <f>QK141-QK143</f>
        <v>5961.1851851851852</v>
      </c>
      <c r="QL144" s="547"/>
      <c r="QM144" s="549">
        <f>QM141-QM143</f>
        <v>6466.3703703703704</v>
      </c>
      <c r="QN144" s="547"/>
      <c r="QO144" s="549">
        <f>QO141-QO143</f>
        <v>4473.1851851851852</v>
      </c>
      <c r="QP144" s="547"/>
      <c r="QQ144" s="549">
        <f>QQ141-QQ143</f>
        <v>4978.3703703703704</v>
      </c>
    </row>
    <row r="145" spans="1:459" x14ac:dyDescent="0.45">
      <c r="A145" s="551" t="s">
        <v>436</v>
      </c>
      <c r="B145" s="551"/>
      <c r="C145" s="551"/>
      <c r="D145" s="551"/>
      <c r="E145" s="551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  <c r="AA145" s="547"/>
      <c r="AB145" s="547"/>
      <c r="AC145" s="547"/>
      <c r="AD145" s="547"/>
      <c r="AE145" s="547"/>
      <c r="AF145" s="547"/>
      <c r="AG145" s="547"/>
      <c r="AH145" s="547"/>
      <c r="AI145" s="547"/>
      <c r="AJ145" s="551"/>
      <c r="AK145" s="552">
        <f>IFERROR(AK144/AK$139,0)</f>
        <v>0.34589118607393854</v>
      </c>
      <c r="AL145" s="551"/>
      <c r="AM145" s="552">
        <f>IFERROR(AM144/AM$139,0)</f>
        <v>0</v>
      </c>
      <c r="AN145" s="551"/>
      <c r="AO145" s="552">
        <f>IFERROR(AO144/AO$139,0)</f>
        <v>0.31175811019492922</v>
      </c>
      <c r="AP145" s="551"/>
      <c r="AQ145" s="552">
        <f>IFERROR(AQ144/AQ$139,0)</f>
        <v>0.28911033164695588</v>
      </c>
      <c r="AR145" s="551"/>
      <c r="AS145" s="552">
        <f>IFERROR(AS144/AS$139,0)</f>
        <v>0</v>
      </c>
      <c r="AT145" s="551"/>
      <c r="AU145" s="552">
        <f>IFERROR(AU144/AU$139,0)</f>
        <v>0</v>
      </c>
      <c r="AV145" s="551"/>
      <c r="AW145" s="552">
        <f>IFERROR(AW144/AW$139,0)</f>
        <v>0.32554189163608116</v>
      </c>
      <c r="AX145" s="551"/>
      <c r="AY145" s="552">
        <f>IFERROR(AY144/AY$139,0)</f>
        <v>0.3597534296266679</v>
      </c>
      <c r="AZ145" s="551"/>
      <c r="BA145" s="552">
        <f>IFERROR(BA144/BA$139,0)</f>
        <v>0.37017523059908647</v>
      </c>
      <c r="BB145" s="551"/>
      <c r="BC145" s="552">
        <f>IFERROR(BC144/BC$139,0)</f>
        <v>0</v>
      </c>
      <c r="BD145" s="551"/>
      <c r="BE145" s="552">
        <f>IFERROR(BE144/BE$139,0)</f>
        <v>0.37219312710399866</v>
      </c>
      <c r="BF145" s="551"/>
      <c r="BG145" s="552">
        <f>IFERROR(BG144/BG$139,0)</f>
        <v>0.40257165086865465</v>
      </c>
      <c r="BH145" s="551"/>
      <c r="BI145" s="552">
        <f>IFERROR(BI144/BI$139,0)</f>
        <v>0.42974764259705633</v>
      </c>
      <c r="BJ145" s="551"/>
      <c r="BK145" s="552">
        <f>IFERROR(BK144/BK$139,0)</f>
        <v>0.43393673748739997</v>
      </c>
      <c r="BL145" s="551"/>
      <c r="BM145" s="552">
        <f>IFERROR(BM144/BM$139,0)</f>
        <v>0.37134749901046227</v>
      </c>
      <c r="BN145" s="551"/>
      <c r="BO145" s="552">
        <f>IFERROR(BO144/BO$139,0)</f>
        <v>0.35765620120215835</v>
      </c>
      <c r="BP145" s="551"/>
      <c r="BQ145" s="552">
        <f>IFERROR(BQ144/BQ$139,0)</f>
        <v>0.33899666111194832</v>
      </c>
      <c r="BR145" s="551"/>
      <c r="BS145" s="552">
        <f>IFERROR(BS144/BS$139,0)</f>
        <v>0.38721288425878481</v>
      </c>
      <c r="BT145" s="551"/>
      <c r="BU145" s="552">
        <f>IFERROR(BU144/BU$139,0)</f>
        <v>0.36077220643282698</v>
      </c>
      <c r="BV145" s="551"/>
      <c r="BW145" s="552">
        <f>IFERROR(BW144/BW$139,0)</f>
        <v>0</v>
      </c>
      <c r="BX145" s="551"/>
      <c r="BY145" s="552">
        <f>IFERROR(BY144/BY$139,0)</f>
        <v>0.39195238954394857</v>
      </c>
      <c r="BZ145" s="551"/>
      <c r="CA145" s="552">
        <f>IFERROR(CA144/CA$139,0)</f>
        <v>0.37396030943787778</v>
      </c>
      <c r="CB145" s="551"/>
      <c r="CC145" s="552">
        <f>IFERROR(CC144/CC$139,0)</f>
        <v>0.4063207204536598</v>
      </c>
      <c r="CD145" s="551"/>
      <c r="CE145" s="552">
        <f>IFERROR(CE144/CE$139,0)</f>
        <v>0.38907295422861005</v>
      </c>
      <c r="CF145" s="551"/>
      <c r="CG145" s="552">
        <f>IFERROR(CG144/CG$139,0)</f>
        <v>0.33416095755836644</v>
      </c>
      <c r="CH145" s="551"/>
      <c r="CI145" s="552">
        <f>IFERROR(CI144/CI$139,0)</f>
        <v>0.34445110275299134</v>
      </c>
      <c r="CJ145" s="551"/>
      <c r="CK145" s="552">
        <f>IFERROR(CK144/CK$139,0)</f>
        <v>0.35325240048592305</v>
      </c>
      <c r="CL145" s="551"/>
      <c r="CM145" s="552">
        <f>IFERROR(CM144/CM$139,0)</f>
        <v>0.36633484469926036</v>
      </c>
      <c r="CN145" s="551"/>
      <c r="CO145" s="552">
        <f>IFERROR(CO144/CO$139,0)</f>
        <v>0.36744796423677584</v>
      </c>
      <c r="CP145" s="551"/>
      <c r="CQ145" s="552">
        <f>IFERROR(CQ144/CQ$139,0)</f>
        <v>0.36491139665742839</v>
      </c>
      <c r="CR145" s="551"/>
      <c r="CS145" s="552">
        <f>IFERROR(CS144/CS$139,0)</f>
        <v>0.36491139665742839</v>
      </c>
      <c r="CT145" s="551"/>
      <c r="CU145" s="551"/>
      <c r="CV145" s="551"/>
      <c r="CW145" s="551"/>
      <c r="CX145" s="551"/>
      <c r="CY145" s="551"/>
      <c r="CZ145" s="551"/>
      <c r="DA145" s="551"/>
      <c r="DB145" s="551"/>
      <c r="DC145" s="551"/>
      <c r="DD145" s="551"/>
      <c r="DE145" s="551"/>
      <c r="DF145" s="551"/>
      <c r="DG145" s="551"/>
      <c r="DH145" s="551"/>
      <c r="DI145" s="551"/>
      <c r="DJ145" s="552">
        <f>IFERROR(DJ144/DJ$139,0)</f>
        <v>0.32953635342023518</v>
      </c>
      <c r="DK145" s="551"/>
      <c r="DL145" s="552">
        <f>IFERROR(DL144/DL$139,0)</f>
        <v>0.29418927137281042</v>
      </c>
      <c r="DM145" s="551"/>
      <c r="DN145" s="552">
        <f>IFERROR(DN144/DN$139,0)</f>
        <v>0.29872416426926324</v>
      </c>
      <c r="DO145" s="551"/>
      <c r="DP145" s="552">
        <f>IFERROR(DP144/DP$139,0)</f>
        <v>0.3048618274475437</v>
      </c>
      <c r="DQ145" s="551"/>
      <c r="DR145" s="552">
        <f>IFERROR(DR144/DR$139,0)</f>
        <v>0</v>
      </c>
      <c r="DS145" s="551"/>
      <c r="DT145" s="552">
        <f>IFERROR(DT144/DT$139,0)</f>
        <v>0</v>
      </c>
      <c r="DU145" s="551"/>
      <c r="DV145" s="552">
        <f>IFERROR(DV144/DV$139,0)</f>
        <v>0</v>
      </c>
      <c r="DW145" s="551"/>
      <c r="DX145" s="552">
        <f>IFERROR(DX144/DX$139,0)</f>
        <v>0</v>
      </c>
      <c r="DY145" s="551"/>
      <c r="DZ145" s="552">
        <f>IFERROR(DZ144/DZ$139,0)</f>
        <v>0.34499290666818128</v>
      </c>
      <c r="EA145" s="551"/>
      <c r="EB145" s="552">
        <f>IFERROR(EB144/EB$139,0)</f>
        <v>0.32764091695348696</v>
      </c>
      <c r="EC145" s="551"/>
      <c r="ED145" s="552">
        <f>IFERROR(ED144/ED$139,0)</f>
        <v>0.35369138303327646</v>
      </c>
      <c r="EE145" s="551"/>
      <c r="EF145" s="552">
        <f>IFERROR(EF144/EF$139,0)</f>
        <v>0.36833084375262404</v>
      </c>
      <c r="EG145" s="551"/>
      <c r="EH145" s="552">
        <f>IFERROR(EH144/EH$139,0)</f>
        <v>0.36265000936156128</v>
      </c>
      <c r="EI145" s="551"/>
      <c r="EJ145" s="552">
        <f>IFERROR(EJ144/EJ$139,0)</f>
        <v>0.35851657362434791</v>
      </c>
      <c r="EK145" s="551"/>
      <c r="EL145" s="552">
        <f>IFERROR(EL144/EL$139,0)</f>
        <v>0.34330565951406911</v>
      </c>
      <c r="EM145" s="551"/>
      <c r="EN145" s="552">
        <f>IFERROR(EN144/EN$139,0)</f>
        <v>0.37751083225399662</v>
      </c>
      <c r="EO145" s="551"/>
      <c r="EP145" s="552">
        <f>IFERROR(EP144/EP$139,0)</f>
        <v>0.31406075282618739</v>
      </c>
      <c r="EQ145" s="551"/>
      <c r="ER145" s="552">
        <f>IFERROR(ER144/ER$139,0)</f>
        <v>0.3763590042345718</v>
      </c>
      <c r="ES145" s="551"/>
      <c r="ET145" s="552">
        <f>IFERROR(ET144/ET$139,0)</f>
        <v>0.35352990119771321</v>
      </c>
      <c r="EU145" s="551"/>
      <c r="EV145" s="552">
        <f>IFERROR(EV144/EV$139,0)</f>
        <v>0</v>
      </c>
      <c r="EW145" s="551"/>
      <c r="EX145" s="552">
        <f>IFERROR(EX144/EX$139,0)</f>
        <v>0.37010872700540548</v>
      </c>
      <c r="EY145" s="551"/>
      <c r="EZ145" s="552">
        <f>IFERROR(EZ144/EZ$139,0)</f>
        <v>0.35373786502777033</v>
      </c>
      <c r="FA145" s="551"/>
      <c r="FB145" s="552">
        <f>IFERROR(FB144/FB$139,0)</f>
        <v>0.31412738625019859</v>
      </c>
      <c r="FC145" s="551"/>
      <c r="FD145" s="552">
        <f>IFERROR(FD144/FD$139,0)</f>
        <v>0.33426379030745296</v>
      </c>
      <c r="FE145" s="551"/>
      <c r="FF145" s="552">
        <f>IFERROR(FF144/FF$139,0)</f>
        <v>0.39822852298816969</v>
      </c>
      <c r="FG145" s="551"/>
      <c r="FH145" s="552">
        <f>IFERROR(FH144/FH$139,0)</f>
        <v>0.37176260108720965</v>
      </c>
      <c r="FI145" s="551"/>
      <c r="FJ145" s="552">
        <f>IFERROR(FJ144/FJ$139,0)</f>
        <v>0.35898436707157372</v>
      </c>
      <c r="FK145" s="551"/>
      <c r="FL145" s="552">
        <f>IFERROR(FL144/FL$139,0)</f>
        <v>0.35711929551944199</v>
      </c>
      <c r="FM145" s="551"/>
      <c r="FN145" s="552">
        <f>IFERROR(FN144/FN$139,0)</f>
        <v>0.35256101938930362</v>
      </c>
      <c r="FO145" s="551"/>
      <c r="FP145" s="552">
        <f>IFERROR(FP144/FP$139,0)</f>
        <v>0.35256101938930351</v>
      </c>
      <c r="FQ145" s="547"/>
      <c r="FR145" s="547"/>
      <c r="FS145" s="547"/>
      <c r="FT145" s="547"/>
      <c r="FU145" s="547"/>
      <c r="FV145" s="547"/>
      <c r="FW145" s="547"/>
      <c r="FX145" s="547"/>
      <c r="FY145" s="547"/>
      <c r="FZ145" s="547"/>
      <c r="GA145" s="547"/>
      <c r="GB145" s="547"/>
      <c r="GC145" s="547"/>
      <c r="GD145" s="547"/>
      <c r="GE145" s="547"/>
      <c r="GF145" s="547"/>
      <c r="GG145" s="547"/>
      <c r="GH145" s="547"/>
      <c r="GI145" s="547"/>
      <c r="GJ145" s="547"/>
      <c r="GK145" s="547"/>
      <c r="GL145" s="547"/>
      <c r="GM145" s="547"/>
      <c r="GN145" s="547"/>
      <c r="GO145" s="547"/>
      <c r="GP145" s="551"/>
      <c r="GQ145" s="552">
        <f>IFERROR(GQ144/GQ$139,0)</f>
        <v>0</v>
      </c>
      <c r="GR145" s="551"/>
      <c r="GS145" s="552">
        <f>IFERROR(GS144/GS$139,0)</f>
        <v>0.27122292325974467</v>
      </c>
      <c r="GT145" s="551"/>
      <c r="GU145" s="552">
        <f>IFERROR(GU144/GU$139,0)</f>
        <v>0</v>
      </c>
      <c r="GV145" s="551"/>
      <c r="GW145" s="552">
        <f>IFERROR(GW144/GW$139,0)</f>
        <v>0.17205200730883533</v>
      </c>
      <c r="GX145" s="547"/>
      <c r="GY145" s="547"/>
      <c r="GZ145" s="547"/>
      <c r="HA145" s="547"/>
      <c r="HB145" s="551"/>
      <c r="HC145" s="552">
        <f>IFERROR(HC144/HC$139,0)</f>
        <v>0</v>
      </c>
      <c r="HD145" s="551"/>
      <c r="HE145" s="552">
        <f>IFERROR(HE144/HE$139,0)</f>
        <v>0.31496443633593701</v>
      </c>
      <c r="HF145" s="551"/>
      <c r="HG145" s="552">
        <f>IFERROR(HG144/HG$139,0)</f>
        <v>0</v>
      </c>
      <c r="HH145" s="551"/>
      <c r="HI145" s="552">
        <f>IFERROR(HI144/HI$139,0)</f>
        <v>0</v>
      </c>
      <c r="HJ145" s="551"/>
      <c r="HK145" s="552">
        <f>IFERROR(HK144/HK$139,0)</f>
        <v>0</v>
      </c>
      <c r="HL145" s="551"/>
      <c r="HM145" s="552">
        <f>IFERROR(HM144/HM$139,0)</f>
        <v>0.34505464493039534</v>
      </c>
      <c r="HN145" s="551"/>
      <c r="HO145" s="552">
        <f>IFERROR(HO144/HO$139,0)</f>
        <v>0</v>
      </c>
      <c r="HP145" s="551"/>
      <c r="HQ145" s="552">
        <f>IFERROR(HQ144/HQ$139,0)</f>
        <v>0</v>
      </c>
      <c r="HR145" s="551"/>
      <c r="HS145" s="552">
        <f>IFERROR(HS144/HS$139,0)</f>
        <v>0</v>
      </c>
      <c r="HT145" s="551"/>
      <c r="HU145" s="552">
        <f>IFERROR(HU144/HU$139,0)</f>
        <v>0</v>
      </c>
      <c r="HV145" s="551"/>
      <c r="HW145" s="552">
        <f>IFERROR(HW144/HW$139,0)</f>
        <v>0</v>
      </c>
      <c r="HX145" s="551"/>
      <c r="HY145" s="552">
        <f>IFERROR(HY144/HY$139,0)</f>
        <v>0</v>
      </c>
      <c r="HZ145" s="551"/>
      <c r="IA145" s="552">
        <f>IFERROR(IA144/IA$139,0)</f>
        <v>0</v>
      </c>
      <c r="IB145" s="551"/>
      <c r="IC145" s="552">
        <f>IFERROR(IC144/IC$139,0)</f>
        <v>0.31734524149032711</v>
      </c>
      <c r="ID145" s="551"/>
      <c r="IE145" s="552">
        <f>IFERROR(IE144/IE$139,0)</f>
        <v>0</v>
      </c>
      <c r="IF145" s="551"/>
      <c r="IG145" s="552">
        <f>IFERROR(IG144/IG$139,0)</f>
        <v>0</v>
      </c>
      <c r="IH145" s="551"/>
      <c r="II145" s="552">
        <f>IFERROR(II144/II$139,0)</f>
        <v>0</v>
      </c>
      <c r="IJ145" s="551"/>
      <c r="IK145" s="552">
        <f>IFERROR(IK144/IK$139,0)</f>
        <v>0</v>
      </c>
      <c r="IL145" s="551"/>
      <c r="IM145" s="552">
        <f>IFERROR(IM144/IM$139,0)</f>
        <v>0</v>
      </c>
      <c r="IN145" s="551"/>
      <c r="IO145" s="552">
        <f>IFERROR(IO144/IO$139,0)</f>
        <v>0</v>
      </c>
      <c r="IP145" s="551"/>
      <c r="IQ145" s="552">
        <f>IFERROR(IQ144/IQ$139,0)</f>
        <v>0</v>
      </c>
      <c r="IR145" s="551"/>
      <c r="IS145" s="552">
        <f>IFERROR(IS144/IS$139,0)</f>
        <v>0</v>
      </c>
      <c r="IT145" s="551"/>
      <c r="IU145" s="552">
        <f>IFERROR(IU144/IU$139,0)</f>
        <v>0</v>
      </c>
      <c r="IV145" s="551"/>
      <c r="IW145" s="552">
        <f>IFERROR(IW144/IW$139,0)</f>
        <v>0</v>
      </c>
      <c r="IX145" s="551"/>
      <c r="IY145" s="552">
        <f>IFERROR(IY144/IY$139,0)</f>
        <v>0</v>
      </c>
      <c r="IZ145" s="553"/>
      <c r="JA145" s="547"/>
      <c r="JB145" s="547"/>
      <c r="JC145" s="547"/>
      <c r="JD145" s="547"/>
      <c r="JE145" s="547"/>
      <c r="JF145" s="547"/>
      <c r="JG145" s="547"/>
      <c r="JH145" s="547"/>
      <c r="JI145" s="547"/>
      <c r="JJ145" s="547"/>
      <c r="JK145" s="547"/>
      <c r="JL145" s="547"/>
      <c r="JM145" s="547"/>
      <c r="JN145" s="547"/>
      <c r="JO145" s="547"/>
      <c r="JP145" s="547"/>
      <c r="JQ145" s="547"/>
      <c r="JR145" s="547"/>
      <c r="JS145" s="547"/>
      <c r="JT145" s="547"/>
      <c r="JU145" s="547"/>
      <c r="JV145" s="547"/>
      <c r="JW145" s="547"/>
      <c r="JX145" s="547"/>
      <c r="JY145" s="547"/>
      <c r="JZ145" s="547"/>
      <c r="KA145" s="552">
        <f>IFERROR(KA144/KA$139,0)</f>
        <v>0.26994270829004663</v>
      </c>
      <c r="KB145" s="547"/>
      <c r="KC145" s="552">
        <f>IFERROR(KC144/KC$139,0)</f>
        <v>0</v>
      </c>
      <c r="KD145" s="547"/>
      <c r="KE145" s="552">
        <f>IFERROR(KE144/KE$139,0)</f>
        <v>0.26405272268537272</v>
      </c>
      <c r="KF145" s="547"/>
      <c r="KG145" s="552">
        <f>IFERROR(KG144/KG$139,0)</f>
        <v>0.18880399023881564</v>
      </c>
      <c r="KH145" s="547"/>
      <c r="KI145" s="552">
        <f>IFERROR(KI144/KI$139,0)</f>
        <v>0</v>
      </c>
      <c r="KJ145" s="547"/>
      <c r="KK145" s="552">
        <f>IFERROR(KK144/KK$139,0)</f>
        <v>0</v>
      </c>
      <c r="KL145" s="547"/>
      <c r="KM145" s="552">
        <f>IFERROR(KM144/KM$139,0)</f>
        <v>0.24259872866378454</v>
      </c>
      <c r="KN145" s="547"/>
      <c r="KO145" s="552">
        <f>IFERROR(KO144/KO$139,0)</f>
        <v>0.27931236620696898</v>
      </c>
      <c r="KP145" s="547"/>
      <c r="KQ145" s="552">
        <f>IFERROR(KQ144/KQ$139,0)</f>
        <v>0.25162034016689749</v>
      </c>
      <c r="KR145" s="547"/>
      <c r="KS145" s="552">
        <f>IFERROR(KS144/KS$139,0)</f>
        <v>0.28759625939221933</v>
      </c>
      <c r="KT145" s="547"/>
      <c r="KU145" s="552">
        <f>IFERROR(KU144/KU$139,0)</f>
        <v>0</v>
      </c>
      <c r="KV145" s="547"/>
      <c r="KW145" s="552">
        <f>IFERROR(KW144/KW$139,0)</f>
        <v>0</v>
      </c>
      <c r="KX145" s="547"/>
      <c r="KY145" s="552">
        <f>IFERROR(KY144/KY$139,0)</f>
        <v>0.33672425855792787</v>
      </c>
      <c r="KZ145" s="547"/>
      <c r="LA145" s="552">
        <f>IFERROR(LA144/LA$139,0)</f>
        <v>0.35565288789239013</v>
      </c>
      <c r="LB145" s="547"/>
      <c r="LC145" s="552">
        <f>IFERROR(LC144/LC$139,0)</f>
        <v>0.29040827070301417</v>
      </c>
      <c r="LD145" s="547"/>
      <c r="LE145" s="552">
        <f>IFERROR(LE144/LE$139,0)</f>
        <v>0.2833022641585351</v>
      </c>
      <c r="LF145" s="547"/>
      <c r="LG145" s="552">
        <f>IFERROR(LG144/LG$139,0)</f>
        <v>0</v>
      </c>
      <c r="LH145" s="547"/>
      <c r="LI145" s="552">
        <f>IFERROR(LI144/LI$139,0)</f>
        <v>0.30595204031514822</v>
      </c>
      <c r="LJ145" s="547"/>
      <c r="LK145" s="552">
        <f>IFERROR(LK144/LK$139,0)</f>
        <v>0.260341271088529</v>
      </c>
      <c r="LL145" s="547"/>
      <c r="LM145" s="552">
        <f>IFERROR(LM144/LM$139,0)</f>
        <v>0</v>
      </c>
      <c r="LN145" s="547"/>
      <c r="LO145" s="552">
        <f>IFERROR(LO144/LO$139,0)</f>
        <v>0.32211475727957051</v>
      </c>
      <c r="LP145" s="547"/>
      <c r="LQ145" s="552">
        <f>IFERROR(LQ144/LQ$139,0)</f>
        <v>0.30207364103323092</v>
      </c>
      <c r="LR145" s="547"/>
      <c r="LS145" s="552">
        <f>IFERROR(LS144/LS$139,0)</f>
        <v>0.26976718532994715</v>
      </c>
      <c r="LT145" s="547"/>
      <c r="LU145" s="552">
        <f>IFERROR(LU144/LU$139,0)</f>
        <v>0.24850514196331114</v>
      </c>
      <c r="LV145" s="547"/>
      <c r="LW145" s="552">
        <f>IFERROR(LW144/LW$139,0)</f>
        <v>0.26005361866343579</v>
      </c>
      <c r="LX145" s="547"/>
      <c r="LY145" s="552">
        <f>IFERROR(LY144/LY$139,0)</f>
        <v>0.27148854689518503</v>
      </c>
      <c r="LZ145" s="547"/>
      <c r="MA145" s="552">
        <f>IFERROR(MA144/MA$139,0)</f>
        <v>0.28126899275078876</v>
      </c>
      <c r="MB145" s="547"/>
      <c r="MC145" s="552">
        <f>IFERROR(MC144/MC$139,0)</f>
        <v>0.27755277727886307</v>
      </c>
      <c r="MD145" s="547"/>
      <c r="ME145" s="552">
        <f>IFERROR(ME144/ME$139,0)</f>
        <v>0.35778867240025636</v>
      </c>
      <c r="MF145" s="547"/>
      <c r="MG145" s="552">
        <f>IFERROR(MG144/MG$139,0)</f>
        <v>0</v>
      </c>
      <c r="MH145" s="547"/>
      <c r="MI145" s="547"/>
      <c r="MJ145" s="547"/>
      <c r="MK145" s="547"/>
      <c r="ML145" s="547"/>
      <c r="MM145" s="547"/>
      <c r="MN145" s="547"/>
      <c r="MO145" s="547"/>
      <c r="MP145" s="547"/>
      <c r="MQ145" s="547"/>
      <c r="MR145" s="547"/>
      <c r="MS145" s="547"/>
      <c r="MT145" s="547"/>
      <c r="MU145" s="547"/>
      <c r="MV145" s="547"/>
      <c r="MW145" s="547"/>
      <c r="MX145" s="547"/>
      <c r="MY145" s="547"/>
      <c r="MZ145" s="547"/>
      <c r="NA145" s="547"/>
      <c r="NB145" s="547"/>
      <c r="NC145" s="547"/>
      <c r="ND145" s="552">
        <f>IFERROR(ND144/ND$139,0)</f>
        <v>0</v>
      </c>
      <c r="NE145" s="547"/>
      <c r="NF145" s="552">
        <f>IFERROR(NF144/NF$139,0)</f>
        <v>0</v>
      </c>
      <c r="NG145" s="547"/>
      <c r="NH145" s="552">
        <f>IFERROR(NH144/NH$139,0)</f>
        <v>0.29660375567224595</v>
      </c>
      <c r="NI145" s="547"/>
      <c r="NJ145" s="552">
        <f>IFERROR(NJ144/NJ$139,0)</f>
        <v>0.23924348988981695</v>
      </c>
      <c r="NK145" s="547"/>
      <c r="NL145" s="552">
        <f>IFERROR(NL144/NL$139,0)</f>
        <v>0</v>
      </c>
      <c r="NM145" s="547"/>
      <c r="NN145" s="552">
        <f>IFERROR(NN144/NN$139,0)</f>
        <v>0</v>
      </c>
      <c r="NO145" s="547"/>
      <c r="NP145" s="552">
        <f>IFERROR(NP144/NP$139,0)</f>
        <v>0.28654448749132211</v>
      </c>
      <c r="NQ145" s="547"/>
      <c r="NR145" s="552">
        <f>IFERROR(NR144/NR$139,0)</f>
        <v>0.32370839294052145</v>
      </c>
      <c r="NS145" s="547"/>
      <c r="NT145" s="552">
        <f>IFERROR(NT144/NT$139,0)</f>
        <v>0</v>
      </c>
      <c r="NU145" s="547"/>
      <c r="NV145" s="552">
        <f>IFERROR(NV144/NV$139,0)</f>
        <v>0</v>
      </c>
      <c r="NW145" s="547"/>
      <c r="NX145" s="552">
        <f>IFERROR(NX144/NX$139,0)</f>
        <v>0</v>
      </c>
      <c r="NY145" s="547"/>
      <c r="NZ145" s="552">
        <f>IFERROR(NZ144/NZ$139,0)</f>
        <v>0.29988788863155919</v>
      </c>
      <c r="OA145" s="547"/>
      <c r="OB145" s="552">
        <f>IFERROR(OB144/OB$139,0)</f>
        <v>0.36265619571828894</v>
      </c>
      <c r="OC145" s="547"/>
      <c r="OD145" s="552">
        <f>IFERROR(OD144/OD$139,0)</f>
        <v>0.36911590815896855</v>
      </c>
      <c r="OE145" s="547"/>
      <c r="OF145" s="552">
        <f>IFERROR(OF144/OF$139,0)</f>
        <v>0.31759408014530277</v>
      </c>
      <c r="OG145" s="547"/>
      <c r="OH145" s="552">
        <f>IFERROR(OH144/OH$139,0)</f>
        <v>0</v>
      </c>
      <c r="OI145" s="547"/>
      <c r="OJ145" s="552">
        <f>IFERROR(OJ144/OJ$139,0)</f>
        <v>0</v>
      </c>
      <c r="OK145" s="547"/>
      <c r="OL145" s="552">
        <f>IFERROR(OL144/OL$139,0)</f>
        <v>0.30797052588875645</v>
      </c>
      <c r="OM145" s="547"/>
      <c r="ON145" s="552">
        <f>IFERROR(ON144/ON$139,0)</f>
        <v>0.27382333125846159</v>
      </c>
      <c r="OO145" s="547"/>
      <c r="OP145" s="552">
        <f>IFERROR(OP144/OP$139,0)</f>
        <v>0</v>
      </c>
      <c r="OQ145" s="547"/>
      <c r="OR145" s="552">
        <f>IFERROR(OR144/OR$139,0)</f>
        <v>0.29931531697981328</v>
      </c>
      <c r="OS145" s="547"/>
      <c r="OT145" s="552">
        <f>IFERROR(OT144/OT$139,0)</f>
        <v>0.28784410963912704</v>
      </c>
      <c r="OU145" s="547"/>
      <c r="OV145" s="552">
        <f>IFERROR(OV144/OV$139,0)</f>
        <v>0.20091860763535252</v>
      </c>
      <c r="OW145" s="547"/>
      <c r="OX145" s="552">
        <f>IFERROR(OX144/OX$139,0)</f>
        <v>0.17986199463940866</v>
      </c>
      <c r="OY145" s="547"/>
      <c r="OZ145" s="552">
        <f>IFERROR(OZ144/OZ$139,0)</f>
        <v>0.19129889185450777</v>
      </c>
      <c r="PA145" s="547"/>
      <c r="PB145" s="552">
        <f>IFERROR(PB144/PB$139,0)</f>
        <v>0.20262333768788263</v>
      </c>
      <c r="PC145" s="547"/>
      <c r="PD145" s="552">
        <f>IFERROR(PD144/PD$139,0)</f>
        <v>0.21230928648207958</v>
      </c>
      <c r="PE145" s="547"/>
      <c r="PF145" s="552">
        <f>IFERROR(PF144/PF$139,0)</f>
        <v>0.25308716208011006</v>
      </c>
      <c r="PG145" s="547"/>
      <c r="PH145" s="552">
        <f>IFERROR(PH144/PH$139,0)</f>
        <v>0.34238979516710893</v>
      </c>
      <c r="PI145" s="547"/>
      <c r="PJ145" s="552">
        <f>IFERROR(PJ144/PJ$139,0)</f>
        <v>0.33363352330843726</v>
      </c>
      <c r="PK145" s="547"/>
      <c r="PL145" s="552">
        <f>IFERROR(PL144/PL$139,0)</f>
        <v>0.3237639553429027</v>
      </c>
      <c r="PM145" s="547"/>
      <c r="PN145" s="552">
        <f>IFERROR(PN144/PN$139,0)</f>
        <v>0.34792368125701456</v>
      </c>
      <c r="PO145" s="547"/>
      <c r="PP145" s="552">
        <f>IFERROR(PP144/PP$139,0)</f>
        <v>0.34792368125701456</v>
      </c>
      <c r="PQ145" s="547"/>
      <c r="PR145" s="547"/>
      <c r="PS145" s="552">
        <f>IFERROR(PS144/PS$139,0)</f>
        <v>0.49450782154886302</v>
      </c>
      <c r="PT145" s="547"/>
      <c r="PU145" s="552">
        <f>IFERROR(PU144/PU$139,0)</f>
        <v>0.53262786596119926</v>
      </c>
      <c r="PV145" s="547"/>
      <c r="PW145" s="552">
        <f>IFERROR(PW144/PW$139,0)</f>
        <v>0.49450782154886302</v>
      </c>
      <c r="PX145" s="547"/>
      <c r="PY145" s="552">
        <f>IFERROR(PY144/PY$139,0)</f>
        <v>0.53262786596119926</v>
      </c>
      <c r="PZ145" s="547"/>
      <c r="QA145" s="552">
        <f>IFERROR(QA144/QA$139,0)</f>
        <v>0.48900085762991208</v>
      </c>
      <c r="QB145" s="547"/>
      <c r="QC145" s="552">
        <f>IFERROR(QC144/QC$139,0)</f>
        <v>0.52759740259740262</v>
      </c>
      <c r="QD145" s="547"/>
      <c r="QE145" s="547"/>
      <c r="QF145" s="547"/>
      <c r="QG145" s="552">
        <f>IFERROR(QG144/QG$139,0)</f>
        <v>0.41622574955908287</v>
      </c>
      <c r="QH145" s="547"/>
      <c r="QI145" s="552">
        <f>IFERROR(QI144/QI$139,0)</f>
        <v>0.45149911816578486</v>
      </c>
      <c r="QJ145" s="547"/>
      <c r="QK145" s="552">
        <f>IFERROR(QK144/QK$139,0)</f>
        <v>0.41622574955908287</v>
      </c>
      <c r="QL145" s="547"/>
      <c r="QM145" s="552">
        <f>IFERROR(QM144/QM$139,0)</f>
        <v>0.45149911816578486</v>
      </c>
      <c r="QN145" s="547"/>
      <c r="QO145" s="552">
        <f>IFERROR(QO144/QO$139,0)</f>
        <v>0.34854177849346929</v>
      </c>
      <c r="QP145" s="547"/>
      <c r="QQ145" s="552">
        <f>IFERROR(QQ144/QQ$139,0)</f>
        <v>0.38790481302558599</v>
      </c>
    </row>
    <row r="146" spans="1:459" x14ac:dyDescent="0.45">
      <c r="A146" s="546" t="s">
        <v>437</v>
      </c>
      <c r="B146" s="546"/>
      <c r="C146" s="546"/>
      <c r="D146" s="546"/>
      <c r="E146" s="546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  <c r="AA146" s="547"/>
      <c r="AB146" s="547"/>
      <c r="AC146" s="547"/>
      <c r="AD146" s="547"/>
      <c r="AE146" s="547"/>
      <c r="AF146" s="547"/>
      <c r="AG146" s="547"/>
      <c r="AH146" s="547"/>
      <c r="AI146" s="547"/>
      <c r="AJ146" s="546"/>
      <c r="AK146" s="546">
        <f>AK139*8%</f>
        <v>2157.864</v>
      </c>
      <c r="AL146" s="546"/>
      <c r="AM146" s="546">
        <f>AM139*8%</f>
        <v>0</v>
      </c>
      <c r="AN146" s="546"/>
      <c r="AO146" s="546">
        <f>AO139*8%</f>
        <v>4238.46</v>
      </c>
      <c r="AP146" s="546"/>
      <c r="AQ146" s="546">
        <f>AQ139*8%</f>
        <v>1917.6000000000001</v>
      </c>
      <c r="AR146" s="546"/>
      <c r="AS146" s="546">
        <f>AS139*8%</f>
        <v>0</v>
      </c>
      <c r="AT146" s="546"/>
      <c r="AU146" s="546">
        <f>AU139*8%</f>
        <v>0</v>
      </c>
      <c r="AV146" s="546"/>
      <c r="AW146" s="546">
        <f>AW139*8%</f>
        <v>192.27599999999998</v>
      </c>
      <c r="AX146" s="546"/>
      <c r="AY146" s="546">
        <f>AY139*8%</f>
        <v>1146.0119999999999</v>
      </c>
      <c r="AZ146" s="546"/>
      <c r="BA146" s="546">
        <f>BA139*8%</f>
        <v>3518.0039999999999</v>
      </c>
      <c r="BB146" s="546"/>
      <c r="BC146" s="546">
        <f>BC139*8%</f>
        <v>0</v>
      </c>
      <c r="BD146" s="546"/>
      <c r="BE146" s="546">
        <f>BE139*8%</f>
        <v>2246.16</v>
      </c>
      <c r="BF146" s="546"/>
      <c r="BG146" s="546">
        <f>BG139*8%</f>
        <v>2283.7919999999999</v>
      </c>
      <c r="BH146" s="546"/>
      <c r="BI146" s="546">
        <f>BI139*8%</f>
        <v>1078.98</v>
      </c>
      <c r="BJ146" s="546"/>
      <c r="BK146" s="546">
        <f>BK139*8%</f>
        <v>1146.6000000000001</v>
      </c>
      <c r="BL146" s="546"/>
      <c r="BM146" s="546">
        <f>BM139*8%</f>
        <v>1146.6000000000001</v>
      </c>
      <c r="BN146" s="546"/>
      <c r="BO146" s="546">
        <f>BO139*8%</f>
        <v>2289.0839999999998</v>
      </c>
      <c r="BP146" s="546"/>
      <c r="BQ146" s="546">
        <f>BQ139*8%</f>
        <v>38.22</v>
      </c>
      <c r="BR146" s="546"/>
      <c r="BS146" s="546">
        <f>BS139*8%</f>
        <v>5628.924</v>
      </c>
      <c r="BT146" s="546"/>
      <c r="BU146" s="546">
        <f>BU139*8%</f>
        <v>1146.6000000000001</v>
      </c>
      <c r="BV146" s="546"/>
      <c r="BW146" s="546">
        <f>BW139*8%</f>
        <v>0</v>
      </c>
      <c r="BX146" s="546"/>
      <c r="BY146" s="546">
        <f>BY139*8%</f>
        <v>5540.1359999999995</v>
      </c>
      <c r="BZ146" s="546"/>
      <c r="CA146" s="546">
        <f>CA139*8%</f>
        <v>5540.1359999999995</v>
      </c>
      <c r="CB146" s="546"/>
      <c r="CC146" s="546">
        <f>CC139*8%</f>
        <v>14642.964</v>
      </c>
      <c r="CD146" s="546"/>
      <c r="CE146" s="546">
        <f>CE139*8%</f>
        <v>5540.1359999999995</v>
      </c>
      <c r="CF146" s="546"/>
      <c r="CG146" s="546">
        <f>CG139*8%</f>
        <v>32498.760000000002</v>
      </c>
      <c r="CH146" s="546"/>
      <c r="CI146" s="546">
        <f>CI139*8%</f>
        <v>32409.971999999998</v>
      </c>
      <c r="CJ146" s="546"/>
      <c r="CK146" s="546">
        <f>CK139*8%</f>
        <v>63762.131999999991</v>
      </c>
      <c r="CL146" s="546"/>
      <c r="CM146" s="546">
        <f>CM139*8%</f>
        <v>96172.104000000007</v>
      </c>
      <c r="CN146" s="546"/>
      <c r="CO146" s="546">
        <f>CO139*8%</f>
        <v>154394.1</v>
      </c>
      <c r="CP146" s="546"/>
      <c r="CQ146" s="546">
        <f>CQ139*8%</f>
        <v>2289.0839999999998</v>
      </c>
      <c r="CR146" s="546"/>
      <c r="CS146" s="546">
        <f>CS139*8%</f>
        <v>2289.0839999999998</v>
      </c>
      <c r="CT146" s="546"/>
      <c r="CU146" s="546"/>
      <c r="CV146" s="546"/>
      <c r="CW146" s="546"/>
      <c r="CX146" s="546"/>
      <c r="CY146" s="546"/>
      <c r="CZ146" s="546"/>
      <c r="DA146" s="546"/>
      <c r="DB146" s="546"/>
      <c r="DC146" s="546"/>
      <c r="DD146" s="546"/>
      <c r="DE146" s="546"/>
      <c r="DF146" s="546"/>
      <c r="DG146" s="546"/>
      <c r="DH146" s="546"/>
      <c r="DI146" s="546"/>
      <c r="DJ146" s="546">
        <f>DJ139*8%</f>
        <v>11.232000000000001</v>
      </c>
      <c r="DK146" s="546"/>
      <c r="DL146" s="546">
        <f>DL139*8%</f>
        <v>7380.6720000000005</v>
      </c>
      <c r="DM146" s="546"/>
      <c r="DN146" s="546">
        <f>DN139*8%</f>
        <v>5669.6640000000007</v>
      </c>
      <c r="DO146" s="546"/>
      <c r="DP146" s="546">
        <f>DP139*8%</f>
        <v>3368.3520000000003</v>
      </c>
      <c r="DQ146" s="546"/>
      <c r="DR146" s="546">
        <f>DR139*8%</f>
        <v>0</v>
      </c>
      <c r="DS146" s="546"/>
      <c r="DT146" s="546">
        <f>DT139*8%</f>
        <v>0</v>
      </c>
      <c r="DU146" s="546"/>
      <c r="DV146" s="546">
        <f>DV139*8%</f>
        <v>0</v>
      </c>
      <c r="DW146" s="546"/>
      <c r="DX146" s="546">
        <f>DX139*8%</f>
        <v>0</v>
      </c>
      <c r="DY146" s="546"/>
      <c r="DZ146" s="546">
        <f>DZ139*8%</f>
        <v>3035.34</v>
      </c>
      <c r="EA146" s="546"/>
      <c r="EB146" s="546">
        <f>EB139*8%</f>
        <v>4831.5780000000004</v>
      </c>
      <c r="EC146" s="546"/>
      <c r="ED146" s="546">
        <f>ED139*8%</f>
        <v>3152.2860000000001</v>
      </c>
      <c r="EE146" s="546"/>
      <c r="EF146" s="546">
        <f>EF139*8%</f>
        <v>1675.3500000000001</v>
      </c>
      <c r="EG146" s="546"/>
      <c r="EH146" s="546">
        <f>EH139*8%</f>
        <v>3447.9359999999997</v>
      </c>
      <c r="EI146" s="546"/>
      <c r="EJ146" s="546">
        <f>EJ139*8%</f>
        <v>3129.9479999999999</v>
      </c>
      <c r="EK146" s="546"/>
      <c r="EL146" s="546">
        <f>EL139*8%</f>
        <v>3129.9479999999999</v>
      </c>
      <c r="EM146" s="546"/>
      <c r="EN146" s="546">
        <f>EN139*8%</f>
        <v>1561.0319999999999</v>
      </c>
      <c r="EO146" s="546"/>
      <c r="EP146" s="546">
        <f>EP139*8%</f>
        <v>6165.2879999999996</v>
      </c>
      <c r="EQ146" s="546"/>
      <c r="ER146" s="546">
        <f>ER139*8%</f>
        <v>4906.4759999999997</v>
      </c>
      <c r="ES146" s="546"/>
      <c r="ET146" s="546">
        <f>ET139*8%</f>
        <v>4889.3939999999993</v>
      </c>
      <c r="EU146" s="546"/>
      <c r="EV146" s="546">
        <f>EV139*8%</f>
        <v>0</v>
      </c>
      <c r="EW146" s="546"/>
      <c r="EX146" s="546">
        <f>EX139*8%</f>
        <v>4830.2640000000001</v>
      </c>
      <c r="EY146" s="546"/>
      <c r="EZ146" s="546">
        <f>EZ139*8%</f>
        <v>4830.2640000000001</v>
      </c>
      <c r="FA146" s="546"/>
      <c r="FB146" s="546">
        <f>FB139*8%</f>
        <v>22352.453999999998</v>
      </c>
      <c r="FC146" s="546"/>
      <c r="FD146" s="546">
        <f>FD139*8%</f>
        <v>47974.14</v>
      </c>
      <c r="FE146" s="546"/>
      <c r="FF146" s="546">
        <f>FF139*8%</f>
        <v>89782.991999999998</v>
      </c>
      <c r="FG146" s="546"/>
      <c r="FH146" s="546">
        <f>FH139*8%</f>
        <v>174659.50799999997</v>
      </c>
      <c r="FI146" s="546"/>
      <c r="FJ146" s="546">
        <f>FJ139*8%</f>
        <v>344429.62199999997</v>
      </c>
      <c r="FK146" s="546"/>
      <c r="FL146" s="546">
        <f>FL139*8%</f>
        <v>688859.24399999995</v>
      </c>
      <c r="FM146" s="546"/>
      <c r="FN146" s="546">
        <f>FN139*8%</f>
        <v>1372888.2240000002</v>
      </c>
      <c r="FO146" s="546"/>
      <c r="FP146" s="546">
        <f>FP139*8%</f>
        <v>2740946.1839999999</v>
      </c>
      <c r="FQ146" s="547"/>
      <c r="FR146" s="547"/>
      <c r="FS146" s="547"/>
      <c r="FT146" s="547"/>
      <c r="FU146" s="547"/>
      <c r="FV146" s="547"/>
      <c r="FW146" s="547"/>
      <c r="FX146" s="547"/>
      <c r="FY146" s="547"/>
      <c r="FZ146" s="547"/>
      <c r="GA146" s="547"/>
      <c r="GB146" s="547"/>
      <c r="GC146" s="547"/>
      <c r="GD146" s="547"/>
      <c r="GE146" s="547"/>
      <c r="GF146" s="547"/>
      <c r="GG146" s="547"/>
      <c r="GH146" s="547"/>
      <c r="GI146" s="547"/>
      <c r="GJ146" s="547"/>
      <c r="GK146" s="547"/>
      <c r="GL146" s="547"/>
      <c r="GM146" s="547"/>
      <c r="GN146" s="547"/>
      <c r="GO146" s="547"/>
      <c r="GP146" s="546"/>
      <c r="GQ146" s="546">
        <f>GQ139*8%</f>
        <v>0</v>
      </c>
      <c r="GR146" s="546"/>
      <c r="GS146" s="546">
        <f>GS139*8%</f>
        <v>1142.0240000000001</v>
      </c>
      <c r="GT146" s="546"/>
      <c r="GU146" s="546">
        <f>GU139*8%</f>
        <v>0</v>
      </c>
      <c r="GV146" s="546"/>
      <c r="GW146" s="546">
        <f>GW139*8%</f>
        <v>1133.1760000000002</v>
      </c>
      <c r="GX146" s="547"/>
      <c r="GY146" s="547"/>
      <c r="GZ146" s="547"/>
      <c r="HA146" s="547"/>
      <c r="HB146" s="546"/>
      <c r="HC146" s="546">
        <f>HC139*8%</f>
        <v>0</v>
      </c>
      <c r="HD146" s="546"/>
      <c r="HE146" s="546">
        <f>HE139*8%</f>
        <v>1255.98</v>
      </c>
      <c r="HF146" s="546"/>
      <c r="HG146" s="546">
        <f>HG139*8%</f>
        <v>0</v>
      </c>
      <c r="HH146" s="546"/>
      <c r="HI146" s="546">
        <f>HI139*8%</f>
        <v>0</v>
      </c>
      <c r="HJ146" s="546"/>
      <c r="HK146" s="546">
        <f>HK139*8%</f>
        <v>0</v>
      </c>
      <c r="HL146" s="546"/>
      <c r="HM146" s="546">
        <f>HM139*8%</f>
        <v>1280.4000000000001</v>
      </c>
      <c r="HN146" s="546"/>
      <c r="HO146" s="546">
        <f>HO139*8%</f>
        <v>0</v>
      </c>
      <c r="HP146" s="546"/>
      <c r="HQ146" s="546">
        <f>HQ139*8%</f>
        <v>0</v>
      </c>
      <c r="HR146" s="546"/>
      <c r="HS146" s="546">
        <f>HS139*8%</f>
        <v>0</v>
      </c>
      <c r="HT146" s="546"/>
      <c r="HU146" s="546">
        <f>HU139*8%</f>
        <v>0</v>
      </c>
      <c r="HV146" s="546"/>
      <c r="HW146" s="546">
        <f>HW139*8%</f>
        <v>0</v>
      </c>
      <c r="HX146" s="546"/>
      <c r="HY146" s="546">
        <f>HY139*8%</f>
        <v>0</v>
      </c>
      <c r="HZ146" s="546"/>
      <c r="IA146" s="546">
        <f>IA139*8%</f>
        <v>0</v>
      </c>
      <c r="IB146" s="546"/>
      <c r="IC146" s="546">
        <f>IC139*8%</f>
        <v>2514.6</v>
      </c>
      <c r="ID146" s="546"/>
      <c r="IE146" s="546">
        <f>IE139*8%</f>
        <v>0</v>
      </c>
      <c r="IF146" s="546"/>
      <c r="IG146" s="546">
        <f>IG139*8%</f>
        <v>0</v>
      </c>
      <c r="IH146" s="546"/>
      <c r="II146" s="546">
        <f>II139*8%</f>
        <v>0</v>
      </c>
      <c r="IJ146" s="546"/>
      <c r="IK146" s="546">
        <f>IK139*8%</f>
        <v>0</v>
      </c>
      <c r="IL146" s="546"/>
      <c r="IM146" s="546">
        <f>IM139*8%</f>
        <v>0</v>
      </c>
      <c r="IN146" s="546"/>
      <c r="IO146" s="546">
        <f>IO139*8%</f>
        <v>0</v>
      </c>
      <c r="IP146" s="546"/>
      <c r="IQ146" s="546">
        <f>IQ139*8%</f>
        <v>0</v>
      </c>
      <c r="IR146" s="546"/>
      <c r="IS146" s="546">
        <f>IS139*8%</f>
        <v>0</v>
      </c>
      <c r="IT146" s="546"/>
      <c r="IU146" s="546">
        <f>IU139*8%</f>
        <v>0</v>
      </c>
      <c r="IV146" s="546"/>
      <c r="IW146" s="546">
        <f>IW139*8%</f>
        <v>0</v>
      </c>
      <c r="IX146" s="546"/>
      <c r="IY146" s="546">
        <f>IY139*8%</f>
        <v>0</v>
      </c>
      <c r="IZ146" s="548"/>
      <c r="JA146" s="547"/>
      <c r="JB146" s="547"/>
      <c r="JC146" s="547"/>
      <c r="JD146" s="547"/>
      <c r="JE146" s="547"/>
      <c r="JF146" s="547"/>
      <c r="JG146" s="547"/>
      <c r="JH146" s="547"/>
      <c r="JI146" s="547"/>
      <c r="JJ146" s="547"/>
      <c r="JK146" s="547"/>
      <c r="JL146" s="547"/>
      <c r="JM146" s="547"/>
      <c r="JN146" s="547"/>
      <c r="JO146" s="547"/>
      <c r="JP146" s="547"/>
      <c r="JQ146" s="547"/>
      <c r="JR146" s="547"/>
      <c r="JS146" s="547"/>
      <c r="JT146" s="547"/>
      <c r="JU146" s="547"/>
      <c r="JV146" s="547"/>
      <c r="JW146" s="547"/>
      <c r="JX146" s="547"/>
      <c r="JY146" s="547"/>
      <c r="JZ146" s="547"/>
      <c r="KA146" s="546">
        <f>KA139*8%</f>
        <v>957.6</v>
      </c>
      <c r="KB146" s="547"/>
      <c r="KC146" s="546">
        <f>KC139*8%</f>
        <v>0</v>
      </c>
      <c r="KD146" s="547"/>
      <c r="KE146" s="546">
        <f>KE139*8%</f>
        <v>1136.0159999999998</v>
      </c>
      <c r="KF146" s="547"/>
      <c r="KG146" s="546">
        <f>KG139*8%</f>
        <v>957.6</v>
      </c>
      <c r="KH146" s="547"/>
      <c r="KI146" s="546">
        <f>KI139*8%</f>
        <v>0</v>
      </c>
      <c r="KJ146" s="547"/>
      <c r="KK146" s="546">
        <f>KK139*8%</f>
        <v>0</v>
      </c>
      <c r="KL146" s="547"/>
      <c r="KM146" s="546">
        <f t="shared" ref="KM146:KU146" si="682">KM139*8%</f>
        <v>1003.2</v>
      </c>
      <c r="KN146" s="547"/>
      <c r="KO146" s="546">
        <f t="shared" si="682"/>
        <v>2031.2159999999999</v>
      </c>
      <c r="KP146" s="547"/>
      <c r="KQ146" s="546">
        <f t="shared" si="682"/>
        <v>924</v>
      </c>
      <c r="KR146" s="547"/>
      <c r="KS146" s="546">
        <f t="shared" si="682"/>
        <v>943.53599999999994</v>
      </c>
      <c r="KT146" s="547"/>
      <c r="KU146" s="546">
        <f t="shared" si="682"/>
        <v>0</v>
      </c>
      <c r="KV146" s="547"/>
      <c r="KW146" s="546">
        <f>KW139*8%</f>
        <v>0</v>
      </c>
      <c r="KX146" s="547"/>
      <c r="KY146" s="546">
        <f>KY139*8%</f>
        <v>718.08</v>
      </c>
      <c r="KZ146" s="547"/>
      <c r="LA146" s="546">
        <f>LA139*8%</f>
        <v>1003.2</v>
      </c>
      <c r="LB146" s="547"/>
      <c r="LC146" s="546">
        <f>LC139*8%</f>
        <v>1003.2</v>
      </c>
      <c r="LD146" s="547"/>
      <c r="LE146" s="546">
        <f>LE139*8%</f>
        <v>1015.3439999999999</v>
      </c>
      <c r="LF146" s="547"/>
      <c r="LG146" s="546">
        <f>LG139*8%</f>
        <v>0</v>
      </c>
      <c r="LH146" s="547"/>
      <c r="LI146" s="546">
        <f>LI139*8%</f>
        <v>3009.6</v>
      </c>
      <c r="LJ146" s="547"/>
      <c r="LK146" s="546">
        <f>LK139*8%</f>
        <v>1015.3439999999999</v>
      </c>
      <c r="LL146" s="547"/>
      <c r="LM146" s="546">
        <f>LM139*8%</f>
        <v>0</v>
      </c>
      <c r="LN146" s="547"/>
      <c r="LO146" s="546">
        <f>LO139*8%</f>
        <v>2006.4</v>
      </c>
      <c r="LP146" s="547"/>
      <c r="LQ146" s="546">
        <f>LQ139*8%</f>
        <v>2006.4</v>
      </c>
      <c r="LR146" s="547"/>
      <c r="LS146" s="546">
        <f>LS139*8%</f>
        <v>7046.6879999999992</v>
      </c>
      <c r="LT146" s="547"/>
      <c r="LU146" s="546">
        <f>LU139*8%</f>
        <v>8037.7439999999997</v>
      </c>
      <c r="LV146" s="547"/>
      <c r="LW146" s="546">
        <f>LW139*8%</f>
        <v>15084.432000000001</v>
      </c>
      <c r="LX146" s="547"/>
      <c r="LY146" s="546">
        <f>LY139*8%</f>
        <v>20112.575999999997</v>
      </c>
      <c r="LZ146" s="547"/>
      <c r="MA146" s="546">
        <f>MA139*8%</f>
        <v>34181.663999999997</v>
      </c>
      <c r="MB146" s="547"/>
      <c r="MC146" s="546">
        <f>MC139*8%</f>
        <v>54294.239999999998</v>
      </c>
      <c r="MD146" s="547"/>
      <c r="ME146" s="546">
        <f>ME139*8%</f>
        <v>86469.504000000001</v>
      </c>
      <c r="MF146" s="547"/>
      <c r="MG146" s="546">
        <f>MG139*8%</f>
        <v>0</v>
      </c>
      <c r="MH146" s="547"/>
      <c r="MI146" s="547"/>
      <c r="MJ146" s="547"/>
      <c r="MK146" s="547"/>
      <c r="ML146" s="547"/>
      <c r="MM146" s="547"/>
      <c r="MN146" s="547"/>
      <c r="MO146" s="547"/>
      <c r="MP146" s="547"/>
      <c r="MQ146" s="547"/>
      <c r="MR146" s="547"/>
      <c r="MS146" s="547"/>
      <c r="MT146" s="547"/>
      <c r="MU146" s="547"/>
      <c r="MV146" s="547"/>
      <c r="MW146" s="547"/>
      <c r="MX146" s="547"/>
      <c r="MY146" s="547"/>
      <c r="MZ146" s="547"/>
      <c r="NA146" s="547"/>
      <c r="NB146" s="547"/>
      <c r="NC146" s="547"/>
      <c r="ND146" s="546">
        <f>ND139*8%</f>
        <v>0</v>
      </c>
      <c r="NE146" s="547"/>
      <c r="NF146" s="546">
        <f>NF139*8%</f>
        <v>0</v>
      </c>
      <c r="NG146" s="547"/>
      <c r="NH146" s="546">
        <f>NH139*8%</f>
        <v>937.44</v>
      </c>
      <c r="NI146" s="547"/>
      <c r="NJ146" s="546">
        <f>NJ139*8%</f>
        <v>895.10399999999993</v>
      </c>
      <c r="NK146" s="547"/>
      <c r="NL146" s="546">
        <f>NL139*8%</f>
        <v>0</v>
      </c>
      <c r="NM146" s="547"/>
      <c r="NN146" s="546">
        <f>NN139*8%</f>
        <v>0</v>
      </c>
      <c r="NO146" s="547"/>
      <c r="NP146" s="546">
        <f>NP139*8%</f>
        <v>3112.0320000000002</v>
      </c>
      <c r="NQ146" s="547"/>
      <c r="NR146" s="546">
        <f>NR139*8%</f>
        <v>2112</v>
      </c>
      <c r="NS146" s="547"/>
      <c r="NT146" s="546">
        <f>NT139*8%</f>
        <v>0</v>
      </c>
      <c r="NU146" s="547"/>
      <c r="NV146" s="546">
        <f>NV139*8%</f>
        <v>0</v>
      </c>
      <c r="NW146" s="547"/>
      <c r="NX146" s="546">
        <f>NX139*8%</f>
        <v>0</v>
      </c>
      <c r="NY146" s="547"/>
      <c r="NZ146" s="546">
        <f>NZ139*8%</f>
        <v>2001.6479999999999</v>
      </c>
      <c r="OA146" s="547"/>
      <c r="OB146" s="546">
        <f>OB139*8%</f>
        <v>170.54399999999998</v>
      </c>
      <c r="OC146" s="547"/>
      <c r="OD146" s="546">
        <f>OD139*8%</f>
        <v>2172.192</v>
      </c>
      <c r="OE146" s="547"/>
      <c r="OF146" s="546">
        <f>OF139*8%</f>
        <v>2172.192</v>
      </c>
      <c r="OG146" s="547"/>
      <c r="OH146" s="546">
        <f>OH139*8%</f>
        <v>0</v>
      </c>
      <c r="OI146" s="547"/>
      <c r="OJ146" s="546">
        <f>OJ139*8%</f>
        <v>0</v>
      </c>
      <c r="OK146" s="547"/>
      <c r="OL146" s="546">
        <f>OL139*8%</f>
        <v>982.08</v>
      </c>
      <c r="OM146" s="547"/>
      <c r="ON146" s="546">
        <f>ON139*8%</f>
        <v>937.72799999999995</v>
      </c>
      <c r="OO146" s="547"/>
      <c r="OP146" s="546">
        <f>OP139*8%</f>
        <v>0</v>
      </c>
      <c r="OQ146" s="547"/>
      <c r="OR146" s="546">
        <f>OR139*8%</f>
        <v>4344.384</v>
      </c>
      <c r="OS146" s="547"/>
      <c r="OT146" s="546">
        <f>OT139*8%</f>
        <v>4344.384</v>
      </c>
      <c r="OU146" s="547"/>
      <c r="OV146" s="546">
        <f>OV139*8%</f>
        <v>6264.192</v>
      </c>
      <c r="OW146" s="547"/>
      <c r="OX146" s="546">
        <f>OX139*8%</f>
        <v>10608.575999999999</v>
      </c>
      <c r="OY146" s="547"/>
      <c r="OZ146" s="546">
        <f>OZ139*8%</f>
        <v>16872.768</v>
      </c>
      <c r="PA146" s="547"/>
      <c r="PB146" s="546">
        <f>PB139*8%</f>
        <v>26499.263999999999</v>
      </c>
      <c r="PC146" s="547"/>
      <c r="PD146" s="546">
        <f>PD139*8%</f>
        <v>42434.303999999996</v>
      </c>
      <c r="PE146" s="547"/>
      <c r="PF146" s="546">
        <f>PF139*8%</f>
        <v>68933.567999999999</v>
      </c>
      <c r="PG146" s="547"/>
      <c r="PH146" s="546">
        <f>PH139*8%</f>
        <v>107023.488</v>
      </c>
      <c r="PI146" s="547"/>
      <c r="PJ146" s="546">
        <f>PJ139*8%</f>
        <v>4344.384</v>
      </c>
      <c r="PK146" s="547"/>
      <c r="PL146" s="546">
        <f>PL139*8%</f>
        <v>2172.192</v>
      </c>
      <c r="PM146" s="547"/>
      <c r="PN146" s="546">
        <f>PN139*8%</f>
        <v>4344.384</v>
      </c>
      <c r="PO146" s="547"/>
      <c r="PP146" s="546">
        <f>PP139*8%</f>
        <v>4344.384</v>
      </c>
      <c r="PQ146" s="547"/>
      <c r="PR146" s="547"/>
      <c r="PS146" s="546">
        <f>PS139*8%</f>
        <v>1145.76</v>
      </c>
      <c r="PT146" s="547"/>
      <c r="PU146" s="546">
        <f>PU139*8%</f>
        <v>1145.76</v>
      </c>
      <c r="PV146" s="547"/>
      <c r="PW146" s="546">
        <f>PW139*8%</f>
        <v>1145.76</v>
      </c>
      <c r="PX146" s="547"/>
      <c r="PY146" s="546">
        <f>PY139*8%</f>
        <v>1145.76</v>
      </c>
      <c r="PZ146" s="547"/>
      <c r="QA146" s="546">
        <f>QA139*8%</f>
        <v>1145.76</v>
      </c>
      <c r="QB146" s="547"/>
      <c r="QC146" s="546">
        <f>QC139*8%</f>
        <v>1145.76</v>
      </c>
      <c r="QD146" s="547"/>
      <c r="QE146" s="547"/>
      <c r="QF146" s="547"/>
      <c r="QG146" s="546">
        <f>QG139*8%</f>
        <v>1145.76</v>
      </c>
      <c r="QH146" s="547"/>
      <c r="QI146" s="546">
        <f>QI139*8%</f>
        <v>1145.76</v>
      </c>
      <c r="QJ146" s="547"/>
      <c r="QK146" s="546">
        <f>QK139*8%</f>
        <v>1145.76</v>
      </c>
      <c r="QL146" s="547"/>
      <c r="QM146" s="546">
        <f>QM139*8%</f>
        <v>1145.76</v>
      </c>
      <c r="QN146" s="547"/>
      <c r="QO146" s="546">
        <f>QO139*8%</f>
        <v>1026.72</v>
      </c>
      <c r="QP146" s="547"/>
      <c r="QQ146" s="546">
        <f>QQ139*8%</f>
        <v>1026.72</v>
      </c>
    </row>
    <row r="147" spans="1:459" x14ac:dyDescent="0.45">
      <c r="A147" s="546" t="s">
        <v>438</v>
      </c>
      <c r="B147" s="546"/>
      <c r="C147" s="546"/>
      <c r="D147" s="546"/>
      <c r="E147" s="546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  <c r="AA147" s="547"/>
      <c r="AB147" s="547"/>
      <c r="AC147" s="547"/>
      <c r="AD147" s="547"/>
      <c r="AE147" s="547"/>
      <c r="AF147" s="547"/>
      <c r="AG147" s="547"/>
      <c r="AH147" s="547"/>
      <c r="AI147" s="547"/>
      <c r="AJ147" s="546"/>
      <c r="AK147" s="546">
        <f>AK140*3%</f>
        <v>517.82619812015491</v>
      </c>
      <c r="AL147" s="546"/>
      <c r="AM147" s="546">
        <f>AM140*3%</f>
        <v>0</v>
      </c>
      <c r="AN147" s="546"/>
      <c r="AO147" s="546">
        <f>AO140*3%</f>
        <v>1071.3621450987</v>
      </c>
      <c r="AP147" s="546"/>
      <c r="AQ147" s="546">
        <f>AQ140*3%</f>
        <v>501.00076051267399</v>
      </c>
      <c r="AR147" s="546"/>
      <c r="AS147" s="546">
        <f>AS140*3%</f>
        <v>0</v>
      </c>
      <c r="AT147" s="546"/>
      <c r="AU147" s="546">
        <f>AU140*3%</f>
        <v>0</v>
      </c>
      <c r="AV147" s="546"/>
      <c r="AW147" s="546">
        <f>AW140*3%</f>
        <v>47.649790216417813</v>
      </c>
      <c r="AX147" s="546"/>
      <c r="AY147" s="546">
        <f>AY140*3%</f>
        <v>269.30184472750614</v>
      </c>
      <c r="AZ147" s="546"/>
      <c r="BA147" s="546">
        <f>BA140*3%</f>
        <v>812.94827176930926</v>
      </c>
      <c r="BB147" s="546"/>
      <c r="BC147" s="546">
        <f>BC140*3%</f>
        <v>0</v>
      </c>
      <c r="BD147" s="546"/>
      <c r="BE147" s="546">
        <f>BE140*3%</f>
        <v>517.34800710903085</v>
      </c>
      <c r="BF147" s="546"/>
      <c r="BG147" s="546">
        <f>BG140*3%</f>
        <v>499.998781619765</v>
      </c>
      <c r="BH147" s="546"/>
      <c r="BI147" s="546">
        <f>BI140*3%</f>
        <v>225.22908322148555</v>
      </c>
      <c r="BJ147" s="546"/>
      <c r="BK147" s="546">
        <f>BK140*3%</f>
        <v>237.5430512988552</v>
      </c>
      <c r="BL147" s="546"/>
      <c r="BM147" s="546">
        <f>BM140*3%</f>
        <v>264.45485911297646</v>
      </c>
      <c r="BN147" s="546"/>
      <c r="BO147" s="546">
        <f>BO140*3%</f>
        <v>539.71309212275946</v>
      </c>
      <c r="BP147" s="546"/>
      <c r="BQ147" s="546">
        <f>BQ140*3%</f>
        <v>9.2788303546130013</v>
      </c>
      <c r="BR147" s="546"/>
      <c r="BS147" s="546">
        <f>BS140*3%</f>
        <v>1264.7805385074389</v>
      </c>
      <c r="BT147" s="546"/>
      <c r="BU147" s="546">
        <f>BU140*3%</f>
        <v>269.0019705390452</v>
      </c>
      <c r="BV147" s="546"/>
      <c r="BW147" s="546">
        <f>BW140*3%</f>
        <v>0</v>
      </c>
      <c r="BX147" s="546"/>
      <c r="BY147" s="546">
        <f>BY140*3%</f>
        <v>1234.98392115058</v>
      </c>
      <c r="BZ147" s="546"/>
      <c r="CA147" s="546">
        <f>CA140*3%</f>
        <v>1272.3633851670274</v>
      </c>
      <c r="CB147" s="546"/>
      <c r="CC147" s="546">
        <f>CC140*3%</f>
        <v>3185.2501192286231</v>
      </c>
      <c r="CD147" s="546"/>
      <c r="CE147" s="546">
        <f>CE140*3%</f>
        <v>1240.9660948693968</v>
      </c>
      <c r="CF147" s="546"/>
      <c r="CG147" s="546">
        <f>CG140*3%</f>
        <v>7948.7937146026734</v>
      </c>
      <c r="CH147" s="546"/>
      <c r="CI147" s="546">
        <f>CI140*3%</f>
        <v>7802.0135266524094</v>
      </c>
      <c r="CJ147" s="546"/>
      <c r="CK147" s="546">
        <f>CK140*3%</f>
        <v>15138.935179087388</v>
      </c>
      <c r="CL147" s="546"/>
      <c r="CM147" s="546">
        <f>CM140*3%</f>
        <v>22362.167706284581</v>
      </c>
      <c r="CN147" s="546"/>
      <c r="CO147" s="546">
        <f>CO140*3%</f>
        <v>35835.63834931155</v>
      </c>
      <c r="CP147" s="546"/>
      <c r="CQ147" s="546">
        <f>CQ140*3%</f>
        <v>533.48518518518517</v>
      </c>
      <c r="CR147" s="546"/>
      <c r="CS147" s="546">
        <f>CS140*3%</f>
        <v>533.48518518518517</v>
      </c>
      <c r="CT147" s="546"/>
      <c r="CU147" s="546"/>
      <c r="CV147" s="546"/>
      <c r="CW147" s="546"/>
      <c r="CX147" s="546"/>
      <c r="CY147" s="546"/>
      <c r="CZ147" s="546"/>
      <c r="DA147" s="546"/>
      <c r="DB147" s="546"/>
      <c r="DC147" s="546"/>
      <c r="DD147" s="546"/>
      <c r="DE147" s="546"/>
      <c r="DF147" s="546"/>
      <c r="DG147" s="546"/>
      <c r="DH147" s="546"/>
      <c r="DI147" s="546"/>
      <c r="DJ147" s="546">
        <f>DJ140*3%</f>
        <v>2.641742879393969</v>
      </c>
      <c r="DK147" s="546"/>
      <c r="DL147" s="546">
        <f>DL140*3%</f>
        <v>1833.7505557793613</v>
      </c>
      <c r="DM147" s="546"/>
      <c r="DN147" s="546">
        <f>DN140*3%</f>
        <v>1399.0036349671768</v>
      </c>
      <c r="DO147" s="546"/>
      <c r="DP147" s="546">
        <f>DP140*3%</f>
        <v>823.39652017252922</v>
      </c>
      <c r="DQ147" s="546"/>
      <c r="DR147" s="546">
        <f>DR140*3%</f>
        <v>0</v>
      </c>
      <c r="DS147" s="546"/>
      <c r="DT147" s="546">
        <f>DT140*3%</f>
        <v>0</v>
      </c>
      <c r="DU147" s="546"/>
      <c r="DV147" s="546">
        <f>DV140*3%</f>
        <v>0</v>
      </c>
      <c r="DW147" s="546"/>
      <c r="DX147" s="546">
        <f>DX140*3%</f>
        <v>0</v>
      </c>
      <c r="DY147" s="546"/>
      <c r="DZ147" s="546">
        <f>DZ140*3%</f>
        <v>698.78596150267595</v>
      </c>
      <c r="EA147" s="546"/>
      <c r="EB147" s="546">
        <f>EB140*3%</f>
        <v>1143.7490076553895</v>
      </c>
      <c r="EC147" s="546"/>
      <c r="ED147" s="546">
        <f>ED140*3%</f>
        <v>715.42635185383676</v>
      </c>
      <c r="EE147" s="546"/>
      <c r="EF147" s="546">
        <f>EF140*3%</f>
        <v>371.0313453446405</v>
      </c>
      <c r="EG147" s="546"/>
      <c r="EH147" s="546">
        <f>EH140*3%</f>
        <v>770.94224149572585</v>
      </c>
      <c r="EI147" s="546"/>
      <c r="EJ147" s="546">
        <f>EJ140*3%</f>
        <v>704.69316278160727</v>
      </c>
      <c r="EK147" s="546"/>
      <c r="EL147" s="546">
        <f>EL140*3%</f>
        <v>722.54667660572181</v>
      </c>
      <c r="EM147" s="546"/>
      <c r="EN147" s="546">
        <f>EN140*3%</f>
        <v>340.34006643932963</v>
      </c>
      <c r="EO147" s="546"/>
      <c r="EP147" s="546">
        <f>EP140*3%</f>
        <v>1490.8668784986526</v>
      </c>
      <c r="EQ147" s="546"/>
      <c r="ER147" s="546">
        <f>ER140*3%</f>
        <v>1071.8413418771906</v>
      </c>
      <c r="ES147" s="546"/>
      <c r="ET147" s="546">
        <f>ET140*3%</f>
        <v>1109.9673833487404</v>
      </c>
      <c r="EU147" s="546"/>
      <c r="EV147" s="546">
        <f>EV140*3%</f>
        <v>0</v>
      </c>
      <c r="EW147" s="546"/>
      <c r="EX147" s="546">
        <f>EX140*3%</f>
        <v>1066.5139274474857</v>
      </c>
      <c r="EY147" s="546"/>
      <c r="EZ147" s="546">
        <f>EZ140*3%</f>
        <v>1096.1672719198132</v>
      </c>
      <c r="FA147" s="546"/>
      <c r="FB147" s="546">
        <f>FB140*3%</f>
        <v>5404.6282682633255</v>
      </c>
      <c r="FC147" s="546"/>
      <c r="FD147" s="546">
        <f>FD140*3%</f>
        <v>11237.468297572352</v>
      </c>
      <c r="FE147" s="546"/>
      <c r="FF147" s="546">
        <f>FF140*3%</f>
        <v>18877.174389893</v>
      </c>
      <c r="FG147" s="546"/>
      <c r="FH147" s="546">
        <f>FH140*3%</f>
        <v>38456.192625490381</v>
      </c>
      <c r="FI147" s="546"/>
      <c r="FJ147" s="546">
        <f>FJ140*3%</f>
        <v>77486.29880461072</v>
      </c>
      <c r="FK147" s="546"/>
      <c r="FL147" s="546">
        <f>FL140*3%</f>
        <v>155454.3870264992</v>
      </c>
      <c r="FM147" s="546"/>
      <c r="FN147" s="546">
        <f>FN140*3%</f>
        <v>312165.483089621</v>
      </c>
      <c r="FO147" s="546"/>
      <c r="FP147" s="546">
        <f>FP140*3%</f>
        <v>623232.66722915182</v>
      </c>
      <c r="FQ147" s="547"/>
      <c r="FR147" s="547"/>
      <c r="FS147" s="547"/>
      <c r="FT147" s="547"/>
      <c r="FU147" s="547"/>
      <c r="FV147" s="547"/>
      <c r="FW147" s="547"/>
      <c r="FX147" s="547"/>
      <c r="FY147" s="547"/>
      <c r="FZ147" s="547"/>
      <c r="GA147" s="547"/>
      <c r="GB147" s="547"/>
      <c r="GC147" s="547"/>
      <c r="GD147" s="547"/>
      <c r="GE147" s="547"/>
      <c r="GF147" s="547"/>
      <c r="GG147" s="547"/>
      <c r="GH147" s="547"/>
      <c r="GI147" s="547"/>
      <c r="GJ147" s="547"/>
      <c r="GK147" s="547"/>
      <c r="GL147" s="547"/>
      <c r="GM147" s="547"/>
      <c r="GN147" s="547"/>
      <c r="GO147" s="547"/>
      <c r="GP147" s="546"/>
      <c r="GQ147" s="546">
        <f>GQ140*3%</f>
        <v>0</v>
      </c>
      <c r="GR147" s="546"/>
      <c r="GS147" s="546">
        <f>GS140*3%</f>
        <v>295.84234210770501</v>
      </c>
      <c r="GT147" s="546"/>
      <c r="GU147" s="546">
        <f>GU140*3%</f>
        <v>0</v>
      </c>
      <c r="GV147" s="546"/>
      <c r="GW147" s="546">
        <f>GW140*3%</f>
        <v>335.69204796217622</v>
      </c>
      <c r="GX147" s="547"/>
      <c r="GY147" s="547"/>
      <c r="GZ147" s="547"/>
      <c r="HA147" s="547"/>
      <c r="HB147" s="546"/>
      <c r="HC147" s="546">
        <f>HC140*3%</f>
        <v>0</v>
      </c>
      <c r="HD147" s="546"/>
      <c r="HE147" s="546">
        <f>HE140*3%</f>
        <v>305.51961271904617</v>
      </c>
      <c r="HF147" s="546"/>
      <c r="HG147" s="546">
        <f>HG140*3%</f>
        <v>0</v>
      </c>
      <c r="HH147" s="546"/>
      <c r="HI147" s="546">
        <f>HI140*3%</f>
        <v>0</v>
      </c>
      <c r="HJ147" s="546"/>
      <c r="HK147" s="546">
        <f>HK140*3%</f>
        <v>0</v>
      </c>
      <c r="HL147" s="546"/>
      <c r="HM147" s="546">
        <f>HM140*3%</f>
        <v>297.01201223667067</v>
      </c>
      <c r="HN147" s="546"/>
      <c r="HO147" s="546">
        <f>HO140*3%</f>
        <v>0</v>
      </c>
      <c r="HP147" s="546"/>
      <c r="HQ147" s="546">
        <f>HQ140*3%</f>
        <v>0</v>
      </c>
      <c r="HR147" s="546"/>
      <c r="HS147" s="546">
        <f>HS140*3%</f>
        <v>0</v>
      </c>
      <c r="HT147" s="546"/>
      <c r="HU147" s="546">
        <f>HU140*3%</f>
        <v>0</v>
      </c>
      <c r="HV147" s="546"/>
      <c r="HW147" s="546">
        <f>HW140*3%</f>
        <v>0</v>
      </c>
      <c r="HX147" s="546"/>
      <c r="HY147" s="546">
        <f>HY140*3%</f>
        <v>0</v>
      </c>
      <c r="HZ147" s="546"/>
      <c r="IA147" s="546">
        <f>IA140*3%</f>
        <v>0</v>
      </c>
      <c r="IB147" s="546"/>
      <c r="IC147" s="546">
        <f>IC140*3%</f>
        <v>609.4363709056588</v>
      </c>
      <c r="ID147" s="546"/>
      <c r="IE147" s="546">
        <f>IE140*3%</f>
        <v>0</v>
      </c>
      <c r="IF147" s="546"/>
      <c r="IG147" s="546">
        <f>IG140*3%</f>
        <v>0</v>
      </c>
      <c r="IH147" s="546"/>
      <c r="II147" s="546">
        <f>II140*3%</f>
        <v>0</v>
      </c>
      <c r="IJ147" s="546"/>
      <c r="IK147" s="546">
        <f>IK140*3%</f>
        <v>0</v>
      </c>
      <c r="IL147" s="546"/>
      <c r="IM147" s="546">
        <f>IM140*3%</f>
        <v>0</v>
      </c>
      <c r="IN147" s="546"/>
      <c r="IO147" s="546">
        <f>IO140*3%</f>
        <v>0</v>
      </c>
      <c r="IP147" s="546"/>
      <c r="IQ147" s="546">
        <f>IQ140*3%</f>
        <v>0</v>
      </c>
      <c r="IR147" s="546"/>
      <c r="IS147" s="546">
        <f>IS140*3%</f>
        <v>0</v>
      </c>
      <c r="IT147" s="546"/>
      <c r="IU147" s="546">
        <f>IU140*3%</f>
        <v>0</v>
      </c>
      <c r="IV147" s="546"/>
      <c r="IW147" s="546">
        <f>IW140*3%</f>
        <v>0</v>
      </c>
      <c r="IX147" s="546"/>
      <c r="IY147" s="546">
        <f>IY140*3%</f>
        <v>0</v>
      </c>
      <c r="IZ147" s="548"/>
      <c r="JA147" s="547"/>
      <c r="JB147" s="547"/>
      <c r="JC147" s="547"/>
      <c r="JD147" s="547"/>
      <c r="JE147" s="547"/>
      <c r="JF147" s="547"/>
      <c r="JG147" s="547"/>
      <c r="JH147" s="547"/>
      <c r="JI147" s="547"/>
      <c r="JJ147" s="547"/>
      <c r="JK147" s="547"/>
      <c r="JL147" s="547"/>
      <c r="JM147" s="547"/>
      <c r="JN147" s="547"/>
      <c r="JO147" s="547"/>
      <c r="JP147" s="547"/>
      <c r="JQ147" s="547"/>
      <c r="JR147" s="547"/>
      <c r="JS147" s="547"/>
      <c r="JT147" s="547"/>
      <c r="JU147" s="547"/>
      <c r="JV147" s="547"/>
      <c r="JW147" s="547"/>
      <c r="JX147" s="547"/>
      <c r="JY147" s="547"/>
      <c r="JZ147" s="547"/>
      <c r="KA147" s="546">
        <f>KA140*3%</f>
        <v>256.46357345304426</v>
      </c>
      <c r="KB147" s="547"/>
      <c r="KC147" s="546">
        <f>KC140*3%</f>
        <v>0</v>
      </c>
      <c r="KD147" s="547"/>
      <c r="KE147" s="546">
        <f>KE140*3%</f>
        <v>306.75595581969509</v>
      </c>
      <c r="KF147" s="547"/>
      <c r="KG147" s="546">
        <f>KG140*3%</f>
        <v>285.60048710524131</v>
      </c>
      <c r="KH147" s="547"/>
      <c r="KI147" s="546">
        <f>KI140*3%</f>
        <v>0</v>
      </c>
      <c r="KJ147" s="547"/>
      <c r="KK147" s="546">
        <f>KK140*3%</f>
        <v>0</v>
      </c>
      <c r="KL147" s="547"/>
      <c r="KM147" s="546">
        <f t="shared" ref="KM147:KU147" si="683">KM140*3%</f>
        <v>279.23435827668425</v>
      </c>
      <c r="KN147" s="547"/>
      <c r="KO147" s="546">
        <f t="shared" si="683"/>
        <v>537.41109478595445</v>
      </c>
      <c r="KP147" s="547"/>
      <c r="KQ147" s="546">
        <f t="shared" si="683"/>
        <v>254.06355213217</v>
      </c>
      <c r="KR147" s="547"/>
      <c r="KS147" s="546">
        <f t="shared" si="683"/>
        <v>246.70596592428859</v>
      </c>
      <c r="KT147" s="547"/>
      <c r="KU147" s="546">
        <f t="shared" si="683"/>
        <v>0</v>
      </c>
      <c r="KV147" s="547"/>
      <c r="KW147" s="546">
        <f>KW140*3%</f>
        <v>0</v>
      </c>
      <c r="KX147" s="547"/>
      <c r="KY147" s="546">
        <f>KY140*3%</f>
        <v>174.52689165552118</v>
      </c>
      <c r="KZ147" s="547"/>
      <c r="LA147" s="546">
        <f>LA140*3%</f>
        <v>236.70338357488282</v>
      </c>
      <c r="LB147" s="547"/>
      <c r="LC147" s="546">
        <f>LC140*3%</f>
        <v>261.24840856152605</v>
      </c>
      <c r="LD147" s="547"/>
      <c r="LE147" s="546">
        <f>LE140*3%</f>
        <v>267.1165297125811</v>
      </c>
      <c r="LF147" s="547"/>
      <c r="LG147" s="546">
        <f>LG140*3%</f>
        <v>0</v>
      </c>
      <c r="LH147" s="547"/>
      <c r="LI147" s="546">
        <f>LI140*3%</f>
        <v>766.20252730032371</v>
      </c>
      <c r="LJ147" s="547"/>
      <c r="LK147" s="546">
        <f>LK140*3%</f>
        <v>275.85901966795819</v>
      </c>
      <c r="LL147" s="547"/>
      <c r="LM147" s="546">
        <f>LM140*3%</f>
        <v>0</v>
      </c>
      <c r="LN147" s="547"/>
      <c r="LO147" s="546">
        <f>LO140*3%</f>
        <v>498.64085662285112</v>
      </c>
      <c r="LP147" s="547"/>
      <c r="LQ147" s="546">
        <f>LQ140*3%</f>
        <v>513.71979248659704</v>
      </c>
      <c r="LR147" s="547"/>
      <c r="LS147" s="546">
        <f>LS140*3%</f>
        <v>1889.6080546281319</v>
      </c>
      <c r="LT147" s="547"/>
      <c r="LU147" s="546">
        <f>LU140*3%</f>
        <v>2219.4522323307174</v>
      </c>
      <c r="LV147" s="547"/>
      <c r="LW147" s="546">
        <f>LW140*3%</f>
        <v>4099.9195773440515</v>
      </c>
      <c r="LX147" s="547"/>
      <c r="LY147" s="546">
        <f>LY140*3%</f>
        <v>5380.3147377903852</v>
      </c>
      <c r="LZ147" s="547"/>
      <c r="MA147" s="546">
        <f>MA140*3%</f>
        <v>9018.5691735652872</v>
      </c>
      <c r="MB147" s="547"/>
      <c r="MC147" s="546">
        <f>MC140*3%</f>
        <v>14400.781086658073</v>
      </c>
      <c r="MD147" s="547"/>
      <c r="ME147" s="546">
        <f>ME140*3%</f>
        <v>20333.081610274254</v>
      </c>
      <c r="MF147" s="547"/>
      <c r="MG147" s="546">
        <f>MG140*3%</f>
        <v>0</v>
      </c>
      <c r="MH147" s="547"/>
      <c r="MI147" s="547"/>
      <c r="MJ147" s="547"/>
      <c r="MK147" s="547"/>
      <c r="ML147" s="547"/>
      <c r="MM147" s="547"/>
      <c r="MN147" s="547"/>
      <c r="MO147" s="547"/>
      <c r="MP147" s="547"/>
      <c r="MQ147" s="547"/>
      <c r="MR147" s="547"/>
      <c r="MS147" s="547"/>
      <c r="MT147" s="547"/>
      <c r="MU147" s="547"/>
      <c r="MV147" s="547"/>
      <c r="MW147" s="547"/>
      <c r="MX147" s="547"/>
      <c r="MY147" s="547"/>
      <c r="MZ147" s="547"/>
      <c r="NA147" s="547"/>
      <c r="NB147" s="547"/>
      <c r="NC147" s="547"/>
      <c r="ND147" s="546">
        <f>ND140*3%</f>
        <v>0</v>
      </c>
      <c r="NE147" s="547"/>
      <c r="NF147" s="546">
        <f>NF140*3%</f>
        <v>0</v>
      </c>
      <c r="NG147" s="547"/>
      <c r="NH147" s="546">
        <f>NH140*3%</f>
        <v>213.79191573097864</v>
      </c>
      <c r="NI147" s="547"/>
      <c r="NJ147" s="546">
        <f>NJ140*3%</f>
        <v>223.39057320962448</v>
      </c>
      <c r="NK147" s="547"/>
      <c r="NL147" s="546">
        <f>NL140*3%</f>
        <v>0</v>
      </c>
      <c r="NM147" s="547"/>
      <c r="NN147" s="546">
        <f>NN140*3%</f>
        <v>0</v>
      </c>
      <c r="NO147" s="547"/>
      <c r="NP147" s="546">
        <f>NP140*3%</f>
        <v>726.51914456377722</v>
      </c>
      <c r="NQ147" s="547"/>
      <c r="NR147" s="546">
        <f>NR140*3%</f>
        <v>463.62295279110702</v>
      </c>
      <c r="NS147" s="547"/>
      <c r="NT147" s="546">
        <f>NT140*3%</f>
        <v>0</v>
      </c>
      <c r="NU147" s="547"/>
      <c r="NV147" s="546">
        <f>NV140*3%</f>
        <v>0</v>
      </c>
      <c r="NW147" s="547"/>
      <c r="NX147" s="546">
        <f>NX140*3%</f>
        <v>0</v>
      </c>
      <c r="NY147" s="547"/>
      <c r="NZ147" s="546">
        <f>NZ140*3%</f>
        <v>457.27875281115621</v>
      </c>
      <c r="OA147" s="547"/>
      <c r="OB147" s="546">
        <f>OB140*3%</f>
        <v>34.946685659032546</v>
      </c>
      <c r="OC147" s="547"/>
      <c r="OD147" s="546">
        <f>OD140*3%</f>
        <v>439.84851645913261</v>
      </c>
      <c r="OE147" s="547"/>
      <c r="OF147" s="546">
        <f>OF140*3%</f>
        <v>481.81675494788038</v>
      </c>
      <c r="OG147" s="547"/>
      <c r="OH147" s="546">
        <f>OH140*3%</f>
        <v>0</v>
      </c>
      <c r="OI147" s="547"/>
      <c r="OJ147" s="546">
        <f>OJ140*3%</f>
        <v>0</v>
      </c>
      <c r="OK147" s="547"/>
      <c r="OL147" s="546">
        <f>OL140*3%</f>
        <v>221.38061472568876</v>
      </c>
      <c r="OM147" s="547"/>
      <c r="ON147" s="546">
        <f>ON140*3%</f>
        <v>223.39057320962448</v>
      </c>
      <c r="OO147" s="547"/>
      <c r="OP147" s="546">
        <f>OP140*3%</f>
        <v>0</v>
      </c>
      <c r="OQ147" s="547"/>
      <c r="OR147" s="546">
        <f>OR140*3%</f>
        <v>993.41224723423898</v>
      </c>
      <c r="OS147" s="547"/>
      <c r="OT147" s="546">
        <f>OT140*3%</f>
        <v>1012.100495846074</v>
      </c>
      <c r="OU147" s="547"/>
      <c r="OV147" s="546">
        <f>OV140*3%</f>
        <v>1663.5477245248069</v>
      </c>
      <c r="OW147" s="547"/>
      <c r="OX147" s="546">
        <f>OX140*3%</f>
        <v>2901.0301351335897</v>
      </c>
      <c r="OY147" s="547"/>
      <c r="OZ147" s="546">
        <f>OZ140*3%</f>
        <v>4541.6768171556751</v>
      </c>
      <c r="PA147" s="547"/>
      <c r="PB147" s="546">
        <f>PB140*3%</f>
        <v>7020.3265057678673</v>
      </c>
      <c r="PC147" s="547"/>
      <c r="PD147" s="546">
        <f>PD140*3%</f>
        <v>11087.791198273628</v>
      </c>
      <c r="PE147" s="547"/>
      <c r="PF147" s="546">
        <f>PF140*3%</f>
        <v>16957.754588558892</v>
      </c>
      <c r="PG147" s="547"/>
      <c r="PH147" s="546">
        <f>PH140*3%</f>
        <v>22743.873699603919</v>
      </c>
      <c r="PI147" s="547"/>
      <c r="PJ147" s="546">
        <f>PJ140*3%</f>
        <v>937.50294730319922</v>
      </c>
      <c r="PK147" s="547"/>
      <c r="PL147" s="546">
        <f>PL140*3%</f>
        <v>476.79094736842103</v>
      </c>
      <c r="PM147" s="547"/>
      <c r="PN147" s="546">
        <f>PN140*3%</f>
        <v>914.22222222222217</v>
      </c>
      <c r="PO147" s="547"/>
      <c r="PP147" s="546">
        <f>PP140*3%</f>
        <v>914.22222222222217</v>
      </c>
      <c r="PQ147" s="547"/>
      <c r="PR147" s="547"/>
      <c r="PS147" s="546">
        <f>PS140*3%</f>
        <v>189.28976939331551</v>
      </c>
      <c r="PT147" s="547"/>
      <c r="PU147" s="546">
        <f>PU140*3%</f>
        <v>172.9111111111111</v>
      </c>
      <c r="PV147" s="547"/>
      <c r="PW147" s="546">
        <f>PW140*3%</f>
        <v>189.28976939331551</v>
      </c>
      <c r="PX147" s="547"/>
      <c r="PY147" s="546">
        <f>PY140*3%</f>
        <v>172.9111111111111</v>
      </c>
      <c r="PZ147" s="547"/>
      <c r="QA147" s="546">
        <f>QA140*3%</f>
        <v>191.65589151073198</v>
      </c>
      <c r="QB147" s="547"/>
      <c r="QC147" s="546">
        <f>QC140*3%</f>
        <v>175.07249999999999</v>
      </c>
      <c r="QD147" s="547"/>
      <c r="QE147" s="547"/>
      <c r="QF147" s="547"/>
      <c r="QG147" s="546">
        <f>QG140*3%</f>
        <v>222.92444444444445</v>
      </c>
      <c r="QH147" s="547"/>
      <c r="QI147" s="546">
        <f>QI140*3%</f>
        <v>207.76888888888888</v>
      </c>
      <c r="QJ147" s="547"/>
      <c r="QK147" s="546">
        <f>QK140*3%</f>
        <v>222.92444444444445</v>
      </c>
      <c r="QL147" s="547"/>
      <c r="QM147" s="546">
        <f>QM140*3%</f>
        <v>207.76888888888888</v>
      </c>
      <c r="QN147" s="547"/>
      <c r="QO147" s="546">
        <f>QO140*3%</f>
        <v>222.92444444444445</v>
      </c>
      <c r="QP147" s="547"/>
      <c r="QQ147" s="546">
        <f>QQ140*3%</f>
        <v>207.76888888888888</v>
      </c>
    </row>
    <row r="148" spans="1:459" x14ac:dyDescent="0.45">
      <c r="A148" s="546" t="s">
        <v>439</v>
      </c>
      <c r="B148" s="546"/>
      <c r="C148" s="546"/>
      <c r="D148" s="546"/>
      <c r="E148" s="546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  <c r="AA148" s="547"/>
      <c r="AB148" s="547"/>
      <c r="AC148" s="547"/>
      <c r="AD148" s="547"/>
      <c r="AE148" s="547"/>
      <c r="AF148" s="547"/>
      <c r="AG148" s="547"/>
      <c r="AH148" s="547"/>
      <c r="AI148" s="547"/>
      <c r="AJ148" s="546"/>
      <c r="AK148" s="554">
        <v>0</v>
      </c>
      <c r="AL148" s="546"/>
      <c r="AM148" s="554">
        <v>0</v>
      </c>
      <c r="AN148" s="546"/>
      <c r="AO148" s="554">
        <v>0</v>
      </c>
      <c r="AP148" s="546"/>
      <c r="AQ148" s="554">
        <v>0</v>
      </c>
      <c r="AR148" s="546"/>
      <c r="AS148" s="554">
        <v>0</v>
      </c>
      <c r="AT148" s="546"/>
      <c r="AU148" s="554">
        <v>0</v>
      </c>
      <c r="AV148" s="546"/>
      <c r="AW148" s="554">
        <v>0</v>
      </c>
      <c r="AX148" s="546"/>
      <c r="AY148" s="554">
        <v>0</v>
      </c>
      <c r="AZ148" s="546"/>
      <c r="BA148" s="554">
        <v>0</v>
      </c>
      <c r="BB148" s="546"/>
      <c r="BC148" s="554">
        <v>0</v>
      </c>
      <c r="BD148" s="546"/>
      <c r="BE148" s="554">
        <v>0</v>
      </c>
      <c r="BF148" s="546"/>
      <c r="BG148" s="554">
        <v>0</v>
      </c>
      <c r="BH148" s="546"/>
      <c r="BI148" s="554">
        <v>0</v>
      </c>
      <c r="BJ148" s="546"/>
      <c r="BK148" s="554">
        <v>0</v>
      </c>
      <c r="BL148" s="546"/>
      <c r="BM148" s="554">
        <v>0</v>
      </c>
      <c r="BN148" s="546"/>
      <c r="BO148" s="554">
        <v>0</v>
      </c>
      <c r="BP148" s="546"/>
      <c r="BQ148" s="554">
        <v>0</v>
      </c>
      <c r="BR148" s="546"/>
      <c r="BS148" s="554">
        <v>0</v>
      </c>
      <c r="BT148" s="546"/>
      <c r="BU148" s="554">
        <v>0</v>
      </c>
      <c r="BV148" s="546"/>
      <c r="BW148" s="554">
        <v>0</v>
      </c>
      <c r="BX148" s="546"/>
      <c r="BY148" s="554">
        <v>0</v>
      </c>
      <c r="BZ148" s="546"/>
      <c r="CA148" s="554">
        <v>0</v>
      </c>
      <c r="CB148" s="546"/>
      <c r="CC148" s="554">
        <v>0</v>
      </c>
      <c r="CD148" s="546"/>
      <c r="CE148" s="554">
        <v>0</v>
      </c>
      <c r="CF148" s="546"/>
      <c r="CG148" s="554">
        <v>0</v>
      </c>
      <c r="CH148" s="546"/>
      <c r="CI148" s="554">
        <v>0</v>
      </c>
      <c r="CJ148" s="546"/>
      <c r="CK148" s="554">
        <v>0</v>
      </c>
      <c r="CL148" s="546"/>
      <c r="CM148" s="554">
        <v>0</v>
      </c>
      <c r="CN148" s="546"/>
      <c r="CO148" s="554">
        <v>0</v>
      </c>
      <c r="CP148" s="546"/>
      <c r="CQ148" s="554">
        <v>0</v>
      </c>
      <c r="CR148" s="546"/>
      <c r="CS148" s="554">
        <v>0</v>
      </c>
      <c r="CT148" s="546"/>
      <c r="CU148" s="546"/>
      <c r="CV148" s="546"/>
      <c r="CW148" s="546"/>
      <c r="CX148" s="546"/>
      <c r="CY148" s="546"/>
      <c r="CZ148" s="546"/>
      <c r="DA148" s="546"/>
      <c r="DB148" s="546"/>
      <c r="DC148" s="546"/>
      <c r="DD148" s="546"/>
      <c r="DE148" s="546"/>
      <c r="DF148" s="546"/>
      <c r="DG148" s="546"/>
      <c r="DH148" s="546"/>
      <c r="DI148" s="546"/>
      <c r="DJ148" s="554">
        <v>0</v>
      </c>
      <c r="DK148" s="546"/>
      <c r="DL148" s="554">
        <v>0</v>
      </c>
      <c r="DM148" s="546"/>
      <c r="DN148" s="554">
        <v>0</v>
      </c>
      <c r="DO148" s="546"/>
      <c r="DP148" s="554">
        <v>0</v>
      </c>
      <c r="DQ148" s="546"/>
      <c r="DR148" s="554">
        <v>0</v>
      </c>
      <c r="DS148" s="546"/>
      <c r="DT148" s="554">
        <v>0</v>
      </c>
      <c r="DU148" s="546"/>
      <c r="DV148" s="554">
        <v>0</v>
      </c>
      <c r="DW148" s="546"/>
      <c r="DX148" s="554">
        <v>0</v>
      </c>
      <c r="DY148" s="546"/>
      <c r="DZ148" s="554">
        <v>0</v>
      </c>
      <c r="EA148" s="546"/>
      <c r="EB148" s="554">
        <v>0</v>
      </c>
      <c r="EC148" s="546"/>
      <c r="ED148" s="554">
        <v>0</v>
      </c>
      <c r="EE148" s="546"/>
      <c r="EF148" s="554">
        <v>0</v>
      </c>
      <c r="EG148" s="546"/>
      <c r="EH148" s="554">
        <v>0</v>
      </c>
      <c r="EI148" s="546"/>
      <c r="EJ148" s="554">
        <v>0</v>
      </c>
      <c r="EK148" s="546"/>
      <c r="EL148" s="554">
        <v>0</v>
      </c>
      <c r="EM148" s="546"/>
      <c r="EN148" s="554">
        <v>0</v>
      </c>
      <c r="EO148" s="546"/>
      <c r="EP148" s="554">
        <v>0</v>
      </c>
      <c r="EQ148" s="546"/>
      <c r="ER148" s="554">
        <v>0</v>
      </c>
      <c r="ES148" s="546"/>
      <c r="ET148" s="554">
        <v>0</v>
      </c>
      <c r="EU148" s="546"/>
      <c r="EV148" s="554">
        <v>0</v>
      </c>
      <c r="EW148" s="546"/>
      <c r="EX148" s="554">
        <v>0</v>
      </c>
      <c r="EY148" s="546"/>
      <c r="EZ148" s="554">
        <v>0</v>
      </c>
      <c r="FA148" s="546"/>
      <c r="FB148" s="554">
        <v>0</v>
      </c>
      <c r="FC148" s="546"/>
      <c r="FD148" s="554">
        <v>0</v>
      </c>
      <c r="FE148" s="546"/>
      <c r="FF148" s="554">
        <v>0</v>
      </c>
      <c r="FG148" s="546"/>
      <c r="FH148" s="554">
        <v>0</v>
      </c>
      <c r="FI148" s="546"/>
      <c r="FJ148" s="554">
        <v>0</v>
      </c>
      <c r="FK148" s="546"/>
      <c r="FL148" s="554">
        <v>0</v>
      </c>
      <c r="FM148" s="546"/>
      <c r="FN148" s="554">
        <v>0</v>
      </c>
      <c r="FO148" s="546"/>
      <c r="FP148" s="554">
        <v>0</v>
      </c>
      <c r="FQ148" s="547"/>
      <c r="FR148" s="547"/>
      <c r="FS148" s="547"/>
      <c r="FT148" s="547"/>
      <c r="FU148" s="547"/>
      <c r="FV148" s="547"/>
      <c r="FW148" s="547"/>
      <c r="FX148" s="547"/>
      <c r="FY148" s="547"/>
      <c r="FZ148" s="547"/>
      <c r="GA148" s="547"/>
      <c r="GB148" s="547"/>
      <c r="GC148" s="547"/>
      <c r="GD148" s="547"/>
      <c r="GE148" s="547"/>
      <c r="GF148" s="547"/>
      <c r="GG148" s="547"/>
      <c r="GH148" s="547"/>
      <c r="GI148" s="547"/>
      <c r="GJ148" s="547"/>
      <c r="GK148" s="547"/>
      <c r="GL148" s="547"/>
      <c r="GM148" s="547"/>
      <c r="GN148" s="547"/>
      <c r="GO148" s="547"/>
      <c r="GP148" s="546"/>
      <c r="GQ148" s="554">
        <v>0</v>
      </c>
      <c r="GR148" s="546"/>
      <c r="GS148" s="554">
        <v>0</v>
      </c>
      <c r="GT148" s="546"/>
      <c r="GU148" s="554">
        <v>0</v>
      </c>
      <c r="GV148" s="546"/>
      <c r="GW148" s="554">
        <v>0</v>
      </c>
      <c r="GX148" s="547"/>
      <c r="GY148" s="547"/>
      <c r="GZ148" s="547"/>
      <c r="HA148" s="547"/>
      <c r="HB148" s="546"/>
      <c r="HC148" s="554">
        <v>0</v>
      </c>
      <c r="HD148" s="546"/>
      <c r="HE148" s="554">
        <v>0</v>
      </c>
      <c r="HF148" s="546"/>
      <c r="HG148" s="554">
        <v>0</v>
      </c>
      <c r="HH148" s="546"/>
      <c r="HI148" s="554">
        <v>0</v>
      </c>
      <c r="HJ148" s="546"/>
      <c r="HK148" s="554">
        <v>0</v>
      </c>
      <c r="HL148" s="546"/>
      <c r="HM148" s="554">
        <v>0</v>
      </c>
      <c r="HN148" s="546"/>
      <c r="HO148" s="554">
        <v>0</v>
      </c>
      <c r="HP148" s="546"/>
      <c r="HQ148" s="554">
        <v>0</v>
      </c>
      <c r="HR148" s="546"/>
      <c r="HS148" s="554">
        <v>0</v>
      </c>
      <c r="HT148" s="546"/>
      <c r="HU148" s="554">
        <v>0</v>
      </c>
      <c r="HV148" s="546"/>
      <c r="HW148" s="554">
        <v>0</v>
      </c>
      <c r="HX148" s="546"/>
      <c r="HY148" s="554">
        <v>0</v>
      </c>
      <c r="HZ148" s="546"/>
      <c r="IA148" s="554">
        <v>0</v>
      </c>
      <c r="IB148" s="546"/>
      <c r="IC148" s="554">
        <v>0</v>
      </c>
      <c r="ID148" s="546"/>
      <c r="IE148" s="554">
        <v>0</v>
      </c>
      <c r="IF148" s="546"/>
      <c r="IG148" s="554">
        <v>0</v>
      </c>
      <c r="IH148" s="546"/>
      <c r="II148" s="554">
        <v>0</v>
      </c>
      <c r="IJ148" s="546"/>
      <c r="IK148" s="554">
        <v>0</v>
      </c>
      <c r="IL148" s="546"/>
      <c r="IM148" s="554">
        <v>0</v>
      </c>
      <c r="IN148" s="546"/>
      <c r="IO148" s="554">
        <v>0</v>
      </c>
      <c r="IP148" s="546"/>
      <c r="IQ148" s="554">
        <v>0</v>
      </c>
      <c r="IR148" s="546"/>
      <c r="IS148" s="554">
        <v>0</v>
      </c>
      <c r="IT148" s="546"/>
      <c r="IU148" s="554">
        <v>0</v>
      </c>
      <c r="IV148" s="546"/>
      <c r="IW148" s="554">
        <v>0</v>
      </c>
      <c r="IX148" s="546"/>
      <c r="IY148" s="554">
        <v>0</v>
      </c>
      <c r="IZ148" s="555"/>
      <c r="JA148" s="547"/>
      <c r="JB148" s="547"/>
      <c r="JC148" s="547"/>
      <c r="JD148" s="547"/>
      <c r="JE148" s="547"/>
      <c r="JF148" s="547"/>
      <c r="JG148" s="547"/>
      <c r="JH148" s="547"/>
      <c r="JI148" s="547"/>
      <c r="JJ148" s="547"/>
      <c r="JK148" s="547"/>
      <c r="JL148" s="547"/>
      <c r="JM148" s="547"/>
      <c r="JN148" s="547"/>
      <c r="JO148" s="547"/>
      <c r="JP148" s="547"/>
      <c r="JQ148" s="547"/>
      <c r="JR148" s="547"/>
      <c r="JS148" s="547"/>
      <c r="JT148" s="547"/>
      <c r="JU148" s="547"/>
      <c r="JV148" s="547"/>
      <c r="JW148" s="547"/>
      <c r="JX148" s="547"/>
      <c r="JY148" s="547"/>
      <c r="JZ148" s="547"/>
      <c r="KA148" s="554">
        <v>0</v>
      </c>
      <c r="KB148" s="547"/>
      <c r="KC148" s="554">
        <v>0</v>
      </c>
      <c r="KD148" s="547"/>
      <c r="KE148" s="554">
        <v>0</v>
      </c>
      <c r="KF148" s="547"/>
      <c r="KG148" s="554">
        <v>0</v>
      </c>
      <c r="KH148" s="547"/>
      <c r="KI148" s="554">
        <v>0</v>
      </c>
      <c r="KJ148" s="547"/>
      <c r="KK148" s="554">
        <v>0</v>
      </c>
      <c r="KL148" s="547"/>
      <c r="KM148" s="554">
        <v>0</v>
      </c>
      <c r="KN148" s="547"/>
      <c r="KO148" s="554">
        <v>0</v>
      </c>
      <c r="KP148" s="547"/>
      <c r="KQ148" s="554">
        <v>0</v>
      </c>
      <c r="KR148" s="547"/>
      <c r="KS148" s="554">
        <v>0</v>
      </c>
      <c r="KT148" s="547"/>
      <c r="KU148" s="554">
        <v>0</v>
      </c>
      <c r="KV148" s="547"/>
      <c r="KW148" s="554">
        <v>0</v>
      </c>
      <c r="KX148" s="547"/>
      <c r="KY148" s="554">
        <v>0</v>
      </c>
      <c r="KZ148" s="547"/>
      <c r="LA148" s="554">
        <v>0</v>
      </c>
      <c r="LB148" s="547"/>
      <c r="LC148" s="554">
        <v>0</v>
      </c>
      <c r="LD148" s="547"/>
      <c r="LE148" s="554">
        <v>0</v>
      </c>
      <c r="LF148" s="547"/>
      <c r="LG148" s="554">
        <v>0</v>
      </c>
      <c r="LH148" s="547"/>
      <c r="LI148" s="554">
        <v>0</v>
      </c>
      <c r="LJ148" s="547"/>
      <c r="LK148" s="554">
        <v>0</v>
      </c>
      <c r="LL148" s="547"/>
      <c r="LM148" s="554">
        <v>0</v>
      </c>
      <c r="LN148" s="547"/>
      <c r="LO148" s="554">
        <v>0</v>
      </c>
      <c r="LP148" s="547"/>
      <c r="LQ148" s="554">
        <v>0</v>
      </c>
      <c r="LR148" s="547"/>
      <c r="LS148" s="554">
        <v>0</v>
      </c>
      <c r="LT148" s="547"/>
      <c r="LU148" s="554">
        <v>0</v>
      </c>
      <c r="LV148" s="547"/>
      <c r="LW148" s="554">
        <v>0</v>
      </c>
      <c r="LX148" s="547"/>
      <c r="LY148" s="554">
        <v>0</v>
      </c>
      <c r="LZ148" s="547"/>
      <c r="MA148" s="554">
        <v>0</v>
      </c>
      <c r="MB148" s="547"/>
      <c r="MC148" s="554">
        <v>0</v>
      </c>
      <c r="MD148" s="547"/>
      <c r="ME148" s="554">
        <v>0</v>
      </c>
      <c r="MF148" s="547"/>
      <c r="MG148" s="554">
        <v>0</v>
      </c>
      <c r="MH148" s="547"/>
      <c r="MI148" s="547"/>
      <c r="MJ148" s="547"/>
      <c r="MK148" s="547"/>
      <c r="ML148" s="547"/>
      <c r="MM148" s="547"/>
      <c r="MN148" s="547"/>
      <c r="MO148" s="547"/>
      <c r="MP148" s="547"/>
      <c r="MQ148" s="547"/>
      <c r="MR148" s="547"/>
      <c r="MS148" s="547"/>
      <c r="MT148" s="547"/>
      <c r="MU148" s="547"/>
      <c r="MV148" s="547"/>
      <c r="MW148" s="547"/>
      <c r="MX148" s="547"/>
      <c r="MY148" s="547"/>
      <c r="MZ148" s="547"/>
      <c r="NA148" s="547"/>
      <c r="NB148" s="547"/>
      <c r="NC148" s="547"/>
      <c r="ND148" s="554">
        <v>0</v>
      </c>
      <c r="NE148" s="547"/>
      <c r="NF148" s="554">
        <v>0</v>
      </c>
      <c r="NG148" s="547"/>
      <c r="NH148" s="554">
        <v>0</v>
      </c>
      <c r="NI148" s="547"/>
      <c r="NJ148" s="554">
        <v>0</v>
      </c>
      <c r="NK148" s="547"/>
      <c r="NL148" s="554">
        <v>0</v>
      </c>
      <c r="NM148" s="547"/>
      <c r="NN148" s="554">
        <v>0</v>
      </c>
      <c r="NO148" s="547"/>
      <c r="NP148" s="554">
        <v>0</v>
      </c>
      <c r="NQ148" s="547"/>
      <c r="NR148" s="554">
        <v>0</v>
      </c>
      <c r="NS148" s="547"/>
      <c r="NT148" s="554">
        <v>0</v>
      </c>
      <c r="NU148" s="547"/>
      <c r="NV148" s="554">
        <v>0</v>
      </c>
      <c r="NW148" s="547"/>
      <c r="NX148" s="554">
        <v>0</v>
      </c>
      <c r="NY148" s="547"/>
      <c r="NZ148" s="554">
        <v>0</v>
      </c>
      <c r="OA148" s="547"/>
      <c r="OB148" s="554">
        <v>0</v>
      </c>
      <c r="OC148" s="547"/>
      <c r="OD148" s="554">
        <v>0</v>
      </c>
      <c r="OE148" s="547"/>
      <c r="OF148" s="554">
        <v>0</v>
      </c>
      <c r="OG148" s="547"/>
      <c r="OH148" s="554">
        <v>0</v>
      </c>
      <c r="OI148" s="547"/>
      <c r="OJ148" s="554">
        <v>0</v>
      </c>
      <c r="OK148" s="547"/>
      <c r="OL148" s="554">
        <v>0</v>
      </c>
      <c r="OM148" s="547"/>
      <c r="ON148" s="554">
        <v>0</v>
      </c>
      <c r="OO148" s="547"/>
      <c r="OP148" s="554">
        <v>0</v>
      </c>
      <c r="OQ148" s="547"/>
      <c r="OR148" s="554">
        <v>0</v>
      </c>
      <c r="OS148" s="547"/>
      <c r="OT148" s="554">
        <v>0</v>
      </c>
      <c r="OU148" s="547"/>
      <c r="OV148" s="554">
        <v>0</v>
      </c>
      <c r="OW148" s="547"/>
      <c r="OX148" s="554">
        <v>0</v>
      </c>
      <c r="OY148" s="547"/>
      <c r="OZ148" s="554">
        <v>0</v>
      </c>
      <c r="PA148" s="547"/>
      <c r="PB148" s="554">
        <v>0</v>
      </c>
      <c r="PC148" s="547"/>
      <c r="PD148" s="554">
        <v>0</v>
      </c>
      <c r="PE148" s="547"/>
      <c r="PF148" s="554">
        <v>0</v>
      </c>
      <c r="PG148" s="547"/>
      <c r="PH148" s="554">
        <v>0</v>
      </c>
      <c r="PI148" s="547"/>
      <c r="PJ148" s="554">
        <v>0</v>
      </c>
      <c r="PK148" s="547"/>
      <c r="PL148" s="554">
        <v>0</v>
      </c>
      <c r="PM148" s="547"/>
      <c r="PN148" s="554">
        <v>0</v>
      </c>
      <c r="PO148" s="547"/>
      <c r="PP148" s="554">
        <v>0</v>
      </c>
      <c r="PQ148" s="547"/>
      <c r="PR148" s="547"/>
      <c r="PS148" s="554">
        <v>0</v>
      </c>
      <c r="PT148" s="547"/>
      <c r="PU148" s="554">
        <v>0</v>
      </c>
      <c r="PV148" s="547"/>
      <c r="PW148" s="554">
        <v>0</v>
      </c>
      <c r="PX148" s="547"/>
      <c r="PY148" s="554">
        <v>0</v>
      </c>
      <c r="PZ148" s="547"/>
      <c r="QA148" s="554">
        <v>0</v>
      </c>
      <c r="QB148" s="547"/>
      <c r="QC148" s="554">
        <v>0</v>
      </c>
      <c r="QD148" s="547"/>
      <c r="QE148" s="547"/>
      <c r="QF148" s="547"/>
      <c r="QG148" s="554">
        <v>0</v>
      </c>
      <c r="QH148" s="547"/>
      <c r="QI148" s="554">
        <v>0</v>
      </c>
      <c r="QJ148" s="547"/>
      <c r="QK148" s="554">
        <v>0</v>
      </c>
      <c r="QL148" s="547"/>
      <c r="QM148" s="554">
        <v>0</v>
      </c>
      <c r="QN148" s="547"/>
      <c r="QO148" s="554">
        <v>0</v>
      </c>
      <c r="QP148" s="547"/>
      <c r="QQ148" s="554">
        <v>0</v>
      </c>
    </row>
    <row r="149" spans="1:459" x14ac:dyDescent="0.45">
      <c r="A149" s="549" t="s">
        <v>440</v>
      </c>
      <c r="B149" s="549"/>
      <c r="C149" s="549"/>
      <c r="D149" s="549"/>
      <c r="E149" s="549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  <c r="AA149" s="547"/>
      <c r="AB149" s="547"/>
      <c r="AC149" s="547"/>
      <c r="AD149" s="547"/>
      <c r="AE149" s="547"/>
      <c r="AF149" s="547"/>
      <c r="AG149" s="547"/>
      <c r="AH149" s="547"/>
      <c r="AI149" s="547"/>
      <c r="AJ149" s="549"/>
      <c r="AK149" s="549">
        <f>AK144-AK146-AK147-AK148</f>
        <v>6654.1365312080115</v>
      </c>
      <c r="AL149" s="549"/>
      <c r="AM149" s="549">
        <f>AM144-AM146-AM147-AM148</f>
        <v>0</v>
      </c>
      <c r="AN149" s="549"/>
      <c r="AO149" s="549">
        <f>AO144-AO146-AO147-AO148</f>
        <v>11207.356351611297</v>
      </c>
      <c r="AP149" s="549"/>
      <c r="AQ149" s="549">
        <f>AQ144-AQ146-AQ147-AQ148</f>
        <v>4511.3738890648583</v>
      </c>
      <c r="AR149" s="549"/>
      <c r="AS149" s="549">
        <f>AS144-AS146-AS147-AS148</f>
        <v>0</v>
      </c>
      <c r="AT149" s="549"/>
      <c r="AU149" s="549">
        <f>AU144-AU146-AU147-AU148</f>
        <v>0</v>
      </c>
      <c r="AV149" s="549"/>
      <c r="AW149" s="549">
        <f>AW144-AW146-AW147-AW148</f>
        <v>542.49786923632143</v>
      </c>
      <c r="AX149" s="549"/>
      <c r="AY149" s="549">
        <f>AY144-AY146-AY147-AY148</f>
        <v>3738.2079976889554</v>
      </c>
      <c r="AZ149" s="549"/>
      <c r="BA149" s="549">
        <f>BA144-BA146-BA147-BA148</f>
        <v>11947.522002587044</v>
      </c>
      <c r="BB149" s="549"/>
      <c r="BC149" s="549">
        <f>BC144-BC146-BC147-BC148</f>
        <v>0</v>
      </c>
      <c r="BD149" s="549"/>
      <c r="BE149" s="549">
        <f>BE144-BE146-BE147-BE148</f>
        <v>7686.5584225899402</v>
      </c>
      <c r="BF149" s="549"/>
      <c r="BG149" s="549">
        <f>BG144-BG146-BG147-BG148</f>
        <v>8708.5831643880665</v>
      </c>
      <c r="BH149" s="549"/>
      <c r="BI149" s="549">
        <f>BI144-BI146-BI147-BI148</f>
        <v>4491.9048093956626</v>
      </c>
      <c r="BJ149" s="549"/>
      <c r="BK149" s="549">
        <f>BK144-BK146-BK147-BK148</f>
        <v>4835.2552387393043</v>
      </c>
      <c r="BL149" s="549"/>
      <c r="BM149" s="549">
        <f>BM144-BM146-BM147-BM148</f>
        <v>3911.2831704544737</v>
      </c>
      <c r="BN149" s="549"/>
      <c r="BO149" s="549">
        <f>BO144-BO146-BO147-BO148</f>
        <v>7405.0165037852585</v>
      </c>
      <c r="BP149" s="549"/>
      <c r="BQ149" s="549">
        <f>BQ144-BQ146-BQ147-BQ148</f>
        <v>114.4568244916203</v>
      </c>
      <c r="BR149" s="549"/>
      <c r="BS149" s="549">
        <f>BS144-BS146-BS147-BS148</f>
        <v>20351.194177911264</v>
      </c>
      <c r="BT149" s="549"/>
      <c r="BU149" s="549">
        <f>BU144-BU146-BU147-BU148</f>
        <v>3755.1656781594475</v>
      </c>
      <c r="BV149" s="549"/>
      <c r="BW149" s="549">
        <f>BW144-BW146-BW147-BW148</f>
        <v>0</v>
      </c>
      <c r="BX149" s="549"/>
      <c r="BY149" s="549">
        <f>BY144-BY146-BY147-BY148</f>
        <v>20368.249373830084</v>
      </c>
      <c r="BZ149" s="549"/>
      <c r="CA149" s="549">
        <f>CA144-CA146-CA147-CA148</f>
        <v>19084.887775932053</v>
      </c>
      <c r="CB149" s="549"/>
      <c r="CC149" s="549">
        <f>CC144-CC146-CC147-CC148</f>
        <v>56543.531906483928</v>
      </c>
      <c r="CD149" s="549"/>
      <c r="CE149" s="549">
        <f>CE144-CE146-CE147-CE148</f>
        <v>20162.861409484038</v>
      </c>
      <c r="CF149" s="549"/>
      <c r="CG149" s="549">
        <f>CG144-CG146-CG147-CG148</f>
        <v>95300.155798641543</v>
      </c>
      <c r="CH149" s="549"/>
      <c r="CI149" s="549">
        <f>CI144-CI146-CI147-CI148</f>
        <v>99333.64691826723</v>
      </c>
      <c r="CJ149" s="549"/>
      <c r="CK149" s="549">
        <f>CK144-CK146-CK147-CK148</f>
        <v>202650.5101846662</v>
      </c>
      <c r="CL149" s="549"/>
      <c r="CM149" s="549">
        <f>CM144-CM146-CM147-CM148</f>
        <v>321855.63808422943</v>
      </c>
      <c r="CN149" s="549"/>
      <c r="CO149" s="549">
        <f>CO144-CO146-CO147-CO148</f>
        <v>518917.73334030341</v>
      </c>
      <c r="CP149" s="549"/>
      <c r="CQ149" s="549">
        <f>CQ144-CQ146-CQ147-CQ148</f>
        <v>7618.8413086419741</v>
      </c>
      <c r="CR149" s="549"/>
      <c r="CS149" s="549">
        <f>CS144-CS146-CS147-CS148</f>
        <v>7618.8413086419741</v>
      </c>
      <c r="CT149" s="549"/>
      <c r="CU149" s="549"/>
      <c r="CV149" s="549"/>
      <c r="CW149" s="549"/>
      <c r="CX149" s="549"/>
      <c r="CY149" s="549"/>
      <c r="CZ149" s="549"/>
      <c r="DA149" s="549"/>
      <c r="DB149" s="549"/>
      <c r="DC149" s="549"/>
      <c r="DD149" s="549"/>
      <c r="DE149" s="549"/>
      <c r="DF149" s="549"/>
      <c r="DG149" s="549"/>
      <c r="DH149" s="549"/>
      <c r="DI149" s="549"/>
      <c r="DJ149" s="549">
        <f>DJ144-DJ146-DJ147-DJ148</f>
        <v>32.393161140807059</v>
      </c>
      <c r="DK149" s="549"/>
      <c r="DL149" s="549">
        <f>DL144-DL146-DL147-DL148</f>
        <v>17927.008918241932</v>
      </c>
      <c r="DM149" s="549"/>
      <c r="DN149" s="549">
        <f>DN144-DN146-DN147-DN148</f>
        <v>14102.152866126924</v>
      </c>
      <c r="DO149" s="549"/>
      <c r="DP149" s="549">
        <f>DP144-DP146-DP147-DP148</f>
        <v>8644.2758074098292</v>
      </c>
      <c r="DQ149" s="549"/>
      <c r="DR149" s="549">
        <f>DR144-DR146-DR147-DR148</f>
        <v>0</v>
      </c>
      <c r="DS149" s="549"/>
      <c r="DT149" s="549">
        <f>DT144-DT146-DT147-DT148</f>
        <v>0</v>
      </c>
      <c r="DU149" s="549"/>
      <c r="DV149" s="549">
        <f>DV144-DV146-DV147-DV148</f>
        <v>0</v>
      </c>
      <c r="DW149" s="549"/>
      <c r="DX149" s="549">
        <f>DX144-DX146-DX147-DX148</f>
        <v>0</v>
      </c>
      <c r="DY149" s="549"/>
      <c r="DZ149" s="549">
        <f>DZ144-DZ146-DZ147-DZ148</f>
        <v>9355.508655074791</v>
      </c>
      <c r="EA149" s="549"/>
      <c r="EB149" s="549">
        <f>EB144-EB146-EB147-EB148</f>
        <v>13812.456070498292</v>
      </c>
      <c r="EC149" s="549"/>
      <c r="ED149" s="549">
        <f>ED144-ED146-ED147-ED148</f>
        <v>10068.992586351598</v>
      </c>
      <c r="EE149" s="549"/>
      <c r="EF149" s="549">
        <f>EF144-EF146-EF147-EF148</f>
        <v>5667.1571431673428</v>
      </c>
      <c r="EG149" s="549"/>
      <c r="EH149" s="549">
        <f>EH144-EH146-EH147-EH148</f>
        <v>11411.047041980075</v>
      </c>
      <c r="EI149" s="549"/>
      <c r="EJ149" s="549">
        <f>EJ144-EJ146-EJ147-EJ148</f>
        <v>10192.086744498149</v>
      </c>
      <c r="EK149" s="549"/>
      <c r="EL149" s="549">
        <f>EL144-EL146-EL147-EL148</f>
        <v>9579.116103203547</v>
      </c>
      <c r="EM149" s="549"/>
      <c r="EN149" s="549">
        <f>EN144-EN146-EN147-EN148</f>
        <v>5464.9590522496801</v>
      </c>
      <c r="EO149" s="549"/>
      <c r="EP149" s="549">
        <f>EP144-EP146-EP147-EP148</f>
        <v>16547.282504879586</v>
      </c>
      <c r="EQ149" s="549"/>
      <c r="ER149" s="549">
        <f>ER144-ER146-ER147-ER148</f>
        <v>17104.137928883123</v>
      </c>
      <c r="ES149" s="549"/>
      <c r="ET149" s="549">
        <f>ET144-ET146-ET147-ET148</f>
        <v>15607.475838359907</v>
      </c>
      <c r="EU149" s="549"/>
      <c r="EV149" s="549">
        <f>EV144-EV146-EV147-EV148</f>
        <v>0</v>
      </c>
      <c r="EW149" s="549"/>
      <c r="EX149" s="549">
        <f>EX144-EX146-EX147-EX148</f>
        <v>16449.757824302986</v>
      </c>
      <c r="EY149" s="549"/>
      <c r="EZ149" s="549">
        <f>EZ144-EZ146-EZ147-EZ148</f>
        <v>15431.659664086412</v>
      </c>
      <c r="FA149" s="549"/>
      <c r="FB149" s="549">
        <f>FB144-FB146-FB147-FB148</f>
        <v>60011.892122959129</v>
      </c>
      <c r="FC149" s="549"/>
      <c r="FD149" s="549">
        <f>FD144-FD146-FD147-FD148</f>
        <v>141238.61511668254</v>
      </c>
      <c r="FE149" s="549"/>
      <c r="FF149" s="549">
        <f>FF144-FF146-FF147-FF148</f>
        <v>338266.68728034018</v>
      </c>
      <c r="FG149" s="549"/>
      <c r="FH149" s="549">
        <f>FH144-FH146-FH147-FH148</f>
        <v>598532.71185816324</v>
      </c>
      <c r="FI149" s="549"/>
      <c r="FJ149" s="549">
        <f>FJ144-FJ146-FJ147-FJ148</f>
        <v>1123644.7023750313</v>
      </c>
      <c r="FK149" s="549"/>
      <c r="FL149" s="549">
        <f>FL144-FL146-FL147-FL148</f>
        <v>2230747.9680901933</v>
      </c>
      <c r="FM149" s="549"/>
      <c r="FN149" s="549">
        <f>FN144-FN146-FN147-FN148</f>
        <v>4365282.1899230117</v>
      </c>
      <c r="FO149" s="549"/>
      <c r="FP149" s="549">
        <f>FP144-FP146-FP147-FP148</f>
        <v>8715205.9077991154</v>
      </c>
      <c r="FQ149" s="547"/>
      <c r="FR149" s="547"/>
      <c r="FS149" s="547"/>
      <c r="FT149" s="547"/>
      <c r="FU149" s="547"/>
      <c r="FV149" s="547"/>
      <c r="FW149" s="547"/>
      <c r="FX149" s="547"/>
      <c r="FY149" s="547"/>
      <c r="FZ149" s="547"/>
      <c r="GA149" s="547"/>
      <c r="GB149" s="547"/>
      <c r="GC149" s="547"/>
      <c r="GD149" s="547"/>
      <c r="GE149" s="547"/>
      <c r="GF149" s="547"/>
      <c r="GG149" s="547"/>
      <c r="GH149" s="547"/>
      <c r="GI149" s="547"/>
      <c r="GJ149" s="547"/>
      <c r="GK149" s="547"/>
      <c r="GL149" s="547"/>
      <c r="GM149" s="547"/>
      <c r="GN149" s="547"/>
      <c r="GO149" s="547"/>
      <c r="GP149" s="549"/>
      <c r="GQ149" s="549">
        <f>GQ144-GQ146-GQ147-GQ148</f>
        <v>0</v>
      </c>
      <c r="GR149" s="549"/>
      <c r="GS149" s="549">
        <f>GS144-GS146-GS147-GS148</f>
        <v>2433.9222543021287</v>
      </c>
      <c r="GT149" s="549"/>
      <c r="GU149" s="549">
        <f>GU144-GU146-GU147-GU148</f>
        <v>0</v>
      </c>
      <c r="GV149" s="549"/>
      <c r="GW149" s="549">
        <f>GW144-GW146-GW147-GW148</f>
        <v>968.19701996528352</v>
      </c>
      <c r="GX149" s="547"/>
      <c r="GY149" s="547"/>
      <c r="GZ149" s="547"/>
      <c r="HA149" s="547"/>
      <c r="HB149" s="549"/>
      <c r="HC149" s="549">
        <f>HC144-HC146-HC147-HC148</f>
        <v>0</v>
      </c>
      <c r="HD149" s="549"/>
      <c r="HE149" s="549">
        <f>HE144-HE146-HE147-HE148</f>
        <v>3383.3632966460809</v>
      </c>
      <c r="HF149" s="549"/>
      <c r="HG149" s="549">
        <f>HG144-HG146-HG147-HG148</f>
        <v>0</v>
      </c>
      <c r="HH149" s="549"/>
      <c r="HI149" s="549">
        <f>HI144-HI146-HI147-HI148</f>
        <v>0</v>
      </c>
      <c r="HJ149" s="549"/>
      <c r="HK149" s="549">
        <f>HK144-HK146-HK147-HK148</f>
        <v>0</v>
      </c>
      <c r="HL149" s="549"/>
      <c r="HM149" s="549">
        <f>HM144-HM146-HM147-HM148</f>
        <v>3945.1875798743067</v>
      </c>
      <c r="HN149" s="549"/>
      <c r="HO149" s="549">
        <f>HO144-HO146-HO147-HO148</f>
        <v>0</v>
      </c>
      <c r="HP149" s="549"/>
      <c r="HQ149" s="549">
        <f>HQ144-HQ146-HQ147-HQ148</f>
        <v>0</v>
      </c>
      <c r="HR149" s="549"/>
      <c r="HS149" s="549">
        <f>HS144-HS146-HS147-HS148</f>
        <v>0</v>
      </c>
      <c r="HT149" s="549"/>
      <c r="HU149" s="549">
        <f>HU144-HU146-HU147-HU148</f>
        <v>0</v>
      </c>
      <c r="HV149" s="549"/>
      <c r="HW149" s="549">
        <f>HW144-HW146-HW147-HW148</f>
        <v>0</v>
      </c>
      <c r="HX149" s="549"/>
      <c r="HY149" s="549">
        <f>HY144-HY146-HY147-HY148</f>
        <v>0</v>
      </c>
      <c r="HZ149" s="549"/>
      <c r="IA149" s="549">
        <f>IA144-IA146-IA147-IA148</f>
        <v>0</v>
      </c>
      <c r="IB149" s="549"/>
      <c r="IC149" s="549">
        <f>IC144-IC146-IC147-IC148</f>
        <v>6850.9179322390473</v>
      </c>
      <c r="ID149" s="549"/>
      <c r="IE149" s="549">
        <f>IE144-IE146-IE147-IE148</f>
        <v>0</v>
      </c>
      <c r="IF149" s="549"/>
      <c r="IG149" s="549">
        <f>IG144-IG146-IG147-IG148</f>
        <v>0</v>
      </c>
      <c r="IH149" s="549"/>
      <c r="II149" s="549">
        <f>II144-II146-II147-II148</f>
        <v>0</v>
      </c>
      <c r="IJ149" s="549"/>
      <c r="IK149" s="549">
        <f>IK144-IK146-IK147-IK148</f>
        <v>0</v>
      </c>
      <c r="IL149" s="549"/>
      <c r="IM149" s="549">
        <f>IM144-IM146-IM147-IM148</f>
        <v>0</v>
      </c>
      <c r="IN149" s="549"/>
      <c r="IO149" s="549">
        <f>IO144-IO146-IO147-IO148</f>
        <v>0</v>
      </c>
      <c r="IP149" s="549"/>
      <c r="IQ149" s="549">
        <f>IQ144-IQ146-IQ147-IQ148</f>
        <v>0</v>
      </c>
      <c r="IR149" s="549"/>
      <c r="IS149" s="549">
        <f>IS144-IS146-IS147-IS148</f>
        <v>0</v>
      </c>
      <c r="IT149" s="549"/>
      <c r="IU149" s="549">
        <f>IU144-IU146-IU147-IU148</f>
        <v>0</v>
      </c>
      <c r="IV149" s="549"/>
      <c r="IW149" s="549">
        <f>IW144-IW146-IW147-IW148</f>
        <v>0</v>
      </c>
      <c r="IX149" s="549"/>
      <c r="IY149" s="549">
        <f>IY144-IY146-IY147-IY148</f>
        <v>0</v>
      </c>
      <c r="IZ149" s="550"/>
      <c r="JA149" s="547"/>
      <c r="JB149" s="547"/>
      <c r="JC149" s="547"/>
      <c r="JD149" s="547"/>
      <c r="JE149" s="547"/>
      <c r="JF149" s="547"/>
      <c r="JG149" s="547"/>
      <c r="JH149" s="547"/>
      <c r="JI149" s="547"/>
      <c r="JJ149" s="547"/>
      <c r="JK149" s="547"/>
      <c r="JL149" s="547"/>
      <c r="JM149" s="547"/>
      <c r="JN149" s="547"/>
      <c r="JO149" s="547"/>
      <c r="JP149" s="547"/>
      <c r="JQ149" s="547"/>
      <c r="JR149" s="547"/>
      <c r="JS149" s="547"/>
      <c r="JT149" s="547"/>
      <c r="JU149" s="547"/>
      <c r="JV149" s="547"/>
      <c r="JW149" s="547"/>
      <c r="JX149" s="547"/>
      <c r="JY149" s="547"/>
      <c r="JZ149" s="547"/>
      <c r="KA149" s="549">
        <f>KA144-KA146-KA147-KA148</f>
        <v>2017.1506447788142</v>
      </c>
      <c r="KB149" s="547"/>
      <c r="KC149" s="549">
        <f>KC144-KC146-KC147-KC148</f>
        <v>0</v>
      </c>
      <c r="KD149" s="547"/>
      <c r="KE149" s="549">
        <f>KE144-KE146-KE147-KE148</f>
        <v>2306.8295168571344</v>
      </c>
      <c r="KF149" s="547"/>
      <c r="KG149" s="549">
        <f>KG144-KG146-KG147-KG148</f>
        <v>1016.7832760533821</v>
      </c>
      <c r="KH149" s="547"/>
      <c r="KI149" s="549">
        <f>KI144-KI146-KI147-KI148</f>
        <v>0</v>
      </c>
      <c r="KJ149" s="547"/>
      <c r="KK149" s="549">
        <f>KK144-KK146-KK147-KK148</f>
        <v>0</v>
      </c>
      <c r="KL149" s="547"/>
      <c r="KM149" s="549">
        <f t="shared" ref="KM149:KU149" si="684">KM144-KM146-KM147-KM148</f>
        <v>1759.7536991671741</v>
      </c>
      <c r="KN149" s="547"/>
      <c r="KO149" s="549">
        <f t="shared" si="684"/>
        <v>4523.1697456822285</v>
      </c>
      <c r="KP149" s="547"/>
      <c r="KQ149" s="549">
        <f t="shared" si="684"/>
        <v>1728.1513767954957</v>
      </c>
      <c r="KR149" s="547"/>
      <c r="KS149" s="549">
        <f t="shared" si="684"/>
        <v>2201.7258365994239</v>
      </c>
      <c r="KT149" s="547"/>
      <c r="KU149" s="549">
        <f t="shared" si="684"/>
        <v>0</v>
      </c>
      <c r="KV149" s="547"/>
      <c r="KW149" s="549">
        <f>KW144-KW146-KW147-KW148</f>
        <v>0</v>
      </c>
      <c r="KX149" s="547"/>
      <c r="KY149" s="549">
        <f>KY144-KY146-KY147-KY148</f>
        <v>2129.8300531604395</v>
      </c>
      <c r="KZ149" s="547"/>
      <c r="LA149" s="549">
        <f>LA144-LA146-LA147-LA148</f>
        <v>3219.9838305956896</v>
      </c>
      <c r="LB149" s="547"/>
      <c r="LC149" s="549">
        <f>LC144-LC146-LC147-LC148</f>
        <v>2377.2713060542719</v>
      </c>
      <c r="LD149" s="547"/>
      <c r="LE149" s="549">
        <f>LE144-LE146-LE147-LE148</f>
        <v>2313.1551465347143</v>
      </c>
      <c r="LF149" s="547"/>
      <c r="LG149" s="549">
        <f>LG144-LG146-LG147-LG148</f>
        <v>0</v>
      </c>
      <c r="LH149" s="547"/>
      <c r="LI149" s="549">
        <f>LI144-LI146-LI147-LI148</f>
        <v>7734.1132293555511</v>
      </c>
      <c r="LJ149" s="547"/>
      <c r="LK149" s="549">
        <f>LK144-LK146-LK147-LK148</f>
        <v>2012.9963247334342</v>
      </c>
      <c r="LL149" s="547"/>
      <c r="LM149" s="549">
        <f>LM144-LM146-LM147-LM148</f>
        <v>0</v>
      </c>
      <c r="LN149" s="547"/>
      <c r="LO149" s="549">
        <f>LO144-LO146-LO147-LO148</f>
        <v>5573.5972559487782</v>
      </c>
      <c r="LP149" s="547"/>
      <c r="LQ149" s="549">
        <f>LQ144-LQ146-LQ147-LQ148</f>
        <v>5055.8871246268345</v>
      </c>
      <c r="LR149" s="547"/>
      <c r="LS149" s="549">
        <f>LS144-LS146-LS147-LS148</f>
        <v>14825.768791100798</v>
      </c>
      <c r="LT149" s="547"/>
      <c r="LU149" s="549">
        <f>LU144-LU146-LU147-LU148</f>
        <v>14710.562689978684</v>
      </c>
      <c r="LV149" s="547"/>
      <c r="LW149" s="549">
        <f>LW144-LW146-LW147-LW148</f>
        <v>29850.162511187547</v>
      </c>
      <c r="LX149" s="547"/>
      <c r="LY149" s="549">
        <f>LY144-LY146-LY147-LY148</f>
        <v>42761.284669196764</v>
      </c>
      <c r="LZ149" s="547"/>
      <c r="MA149" s="549">
        <f>MA144-MA146-MA147-MA148</f>
        <v>76977.794374258432</v>
      </c>
      <c r="MB149" s="547"/>
      <c r="MC149" s="549">
        <f>MC144-MC146-MC147-MC148</f>
        <v>119673.94269140618</v>
      </c>
      <c r="MD149" s="547"/>
      <c r="ME149" s="549">
        <f>ME144-ME146-ME147-ME148</f>
        <v>279920.02738058392</v>
      </c>
      <c r="MF149" s="547"/>
      <c r="MG149" s="549">
        <f>MG144-MG146-MG147-MG148</f>
        <v>0</v>
      </c>
      <c r="MH149" s="547"/>
      <c r="MI149" s="547"/>
      <c r="MJ149" s="547"/>
      <c r="MK149" s="547"/>
      <c r="ML149" s="547"/>
      <c r="MM149" s="547"/>
      <c r="MN149" s="547"/>
      <c r="MO149" s="547"/>
      <c r="MP149" s="547"/>
      <c r="MQ149" s="547"/>
      <c r="MR149" s="547"/>
      <c r="MS149" s="547"/>
      <c r="MT149" s="547"/>
      <c r="MU149" s="547"/>
      <c r="MV149" s="547"/>
      <c r="MW149" s="547"/>
      <c r="MX149" s="547"/>
      <c r="MY149" s="547"/>
      <c r="MZ149" s="547"/>
      <c r="NA149" s="547"/>
      <c r="NB149" s="547"/>
      <c r="NC149" s="547"/>
      <c r="ND149" s="549">
        <f>ND144-ND146-ND147-ND148</f>
        <v>0</v>
      </c>
      <c r="NE149" s="547"/>
      <c r="NF149" s="549">
        <f>NF144-NF146-NF147-NF148</f>
        <v>0</v>
      </c>
      <c r="NG149" s="547"/>
      <c r="NH149" s="549">
        <f>NH144-NH146-NH147-NH148</f>
        <v>2324.3708932363998</v>
      </c>
      <c r="NI149" s="547"/>
      <c r="NJ149" s="549">
        <f>NJ144-NJ146-NJ147-NJ148</f>
        <v>1558.3529864695593</v>
      </c>
      <c r="NK149" s="547"/>
      <c r="NL149" s="549">
        <f>NL144-NL146-NL147-NL148</f>
        <v>0</v>
      </c>
      <c r="NM149" s="547"/>
      <c r="NN149" s="549">
        <f>NN144-NN146-NN147-NN148</f>
        <v>0</v>
      </c>
      <c r="NO149" s="547"/>
      <c r="NP149" s="549">
        <f>NP144-NP146-NP147-NP148</f>
        <v>7308.14403664365</v>
      </c>
      <c r="NQ149" s="547"/>
      <c r="NR149" s="549">
        <f>NR144-NR146-NR147-NR148</f>
        <v>5970.2786208386588</v>
      </c>
      <c r="NS149" s="547"/>
      <c r="NT149" s="549">
        <f>NT144-NT146-NT147-NT148</f>
        <v>0</v>
      </c>
      <c r="NU149" s="547"/>
      <c r="NV149" s="549">
        <f>NV144-NV146-NV147-NV148</f>
        <v>0</v>
      </c>
      <c r="NW149" s="547"/>
      <c r="NX149" s="549">
        <f>NX144-NX146-NX147-NX148</f>
        <v>0</v>
      </c>
      <c r="NY149" s="547"/>
      <c r="NZ149" s="549">
        <f>NZ144-NZ146-NZ147-NZ148</f>
        <v>5044.4481534836341</v>
      </c>
      <c r="OA149" s="547"/>
      <c r="OB149" s="549">
        <f>OB144-OB146-OB147-OB148</f>
        <v>567.61979237321566</v>
      </c>
      <c r="OC149" s="547"/>
      <c r="OD149" s="549">
        <f>OD144-OD146-OD147-OD148</f>
        <v>7410.3422682364444</v>
      </c>
      <c r="OE149" s="547"/>
      <c r="OF149" s="549">
        <f>OF144-OF146-OF147-OF148</f>
        <v>5969.4327467894373</v>
      </c>
      <c r="OG149" s="547"/>
      <c r="OH149" s="549">
        <f>OH144-OH146-OH147-OH148</f>
        <v>0</v>
      </c>
      <c r="OI149" s="547"/>
      <c r="OJ149" s="549">
        <f>OJ144-OJ146-OJ147-OJ148</f>
        <v>0</v>
      </c>
      <c r="OK149" s="547"/>
      <c r="OL149" s="549">
        <f>OL144-OL146-OL147-OL148</f>
        <v>2577.1855610846856</v>
      </c>
      <c r="OM149" s="547"/>
      <c r="ON149" s="549">
        <f>ON144-ON146-ON147-ON148</f>
        <v>2048.5289864695583</v>
      </c>
      <c r="OO149" s="547"/>
      <c r="OP149" s="549">
        <f>OP144-OP146-OP147-OP148</f>
        <v>0</v>
      </c>
      <c r="OQ149" s="547"/>
      <c r="OR149" s="549">
        <f>OR144-OR146-OR147-OR148</f>
        <v>10916.462178291125</v>
      </c>
      <c r="OS149" s="547"/>
      <c r="OT149" s="549">
        <f>OT144-OT146-OT147-OT148</f>
        <v>10274.83230928479</v>
      </c>
      <c r="OU149" s="547"/>
      <c r="OV149" s="549">
        <f>OV144-OV146-OV147-OV148</f>
        <v>7804.6694579816185</v>
      </c>
      <c r="OW149" s="547"/>
      <c r="OX149" s="549">
        <f>OX144-OX146-OX147-OX148</f>
        <v>10341.389360413399</v>
      </c>
      <c r="OY149" s="547"/>
      <c r="OZ149" s="549">
        <f>OZ144-OZ146-OZ147-OZ148</f>
        <v>18932.327944321809</v>
      </c>
      <c r="PA149" s="547"/>
      <c r="PB149" s="549">
        <f>PB144-PB146-PB147-PB148</f>
        <v>33597.525968636532</v>
      </c>
      <c r="PC149" s="547"/>
      <c r="PD149" s="549">
        <f>PD144-PD146-PD147-PD148</f>
        <v>59092.864859272056</v>
      </c>
      <c r="PE149" s="547"/>
      <c r="PF149" s="549">
        <f>PF144-PF146-PF147-PF148</f>
        <v>132186.19112614472</v>
      </c>
      <c r="PG149" s="547"/>
      <c r="PH149" s="549">
        <f>PH144-PH146-PH147-PH148</f>
        <v>328279.51498026535</v>
      </c>
      <c r="PI149" s="547"/>
      <c r="PJ149" s="549">
        <f>PJ144-PJ146-PJ147-PJ148</f>
        <v>12836.014809256823</v>
      </c>
      <c r="PK149" s="547"/>
      <c r="PL149" s="549">
        <f>PL144-PL146-PL147-PL148</f>
        <v>6141.985473684209</v>
      </c>
      <c r="PM149" s="547"/>
      <c r="PN149" s="549">
        <f>PN144-PN146-PN147-PN148</f>
        <v>13635.319703703701</v>
      </c>
      <c r="PO149" s="547"/>
      <c r="PP149" s="549">
        <f>PP144-PP146-PP147-PP148</f>
        <v>13635.319703703701</v>
      </c>
      <c r="PQ149" s="547"/>
      <c r="PR149" s="547"/>
      <c r="PS149" s="549">
        <f>PS144-PS146-PS147-PS148</f>
        <v>5747.2912508295003</v>
      </c>
      <c r="PT149" s="547"/>
      <c r="PU149" s="549">
        <f>PU144-PU146-PU147-PU148</f>
        <v>6309.6251851851839</v>
      </c>
      <c r="PV149" s="547"/>
      <c r="PW149" s="549">
        <f>PW144-PW146-PW147-PW148</f>
        <v>5747.2912508295003</v>
      </c>
      <c r="PX149" s="547"/>
      <c r="PY149" s="549">
        <f>PY144-PY146-PY147-PY148</f>
        <v>6309.6251851851839</v>
      </c>
      <c r="PZ149" s="547"/>
      <c r="QA149" s="549">
        <f>QA144-QA146-QA147-QA148</f>
        <v>5666.0543914648688</v>
      </c>
      <c r="QB149" s="547"/>
      <c r="QC149" s="549">
        <f>QC144-QC146-QC147-QC148</f>
        <v>6235.4174999999996</v>
      </c>
      <c r="QD149" s="547"/>
      <c r="QE149" s="547"/>
      <c r="QF149" s="547"/>
      <c r="QG149" s="549">
        <f>QG144-QG146-QG147-QG148</f>
        <v>4592.5007407407402</v>
      </c>
      <c r="QH149" s="547"/>
      <c r="QI149" s="549">
        <f>QI144-QI146-QI147-QI148</f>
        <v>5112.8414814814814</v>
      </c>
      <c r="QJ149" s="547"/>
      <c r="QK149" s="549">
        <f>QK144-QK146-QK147-QK148</f>
        <v>4592.5007407407402</v>
      </c>
      <c r="QL149" s="547"/>
      <c r="QM149" s="549">
        <f>QM144-QM146-QM147-QM148</f>
        <v>5112.8414814814814</v>
      </c>
      <c r="QN149" s="547"/>
      <c r="QO149" s="549">
        <f>QO144-QO146-QO147-QO148</f>
        <v>3223.5407407407406</v>
      </c>
      <c r="QP149" s="547"/>
      <c r="QQ149" s="549">
        <f>QQ144-QQ146-QQ147-QQ148</f>
        <v>3743.8814814814814</v>
      </c>
    </row>
    <row r="150" spans="1:459" x14ac:dyDescent="0.45">
      <c r="A150" s="551" t="s">
        <v>441</v>
      </c>
      <c r="B150" s="551"/>
      <c r="C150" s="551"/>
      <c r="D150" s="551"/>
      <c r="E150" s="551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  <c r="AA150" s="547"/>
      <c r="AB150" s="547"/>
      <c r="AC150" s="547"/>
      <c r="AD150" s="547"/>
      <c r="AE150" s="547"/>
      <c r="AF150" s="547"/>
      <c r="AG150" s="547"/>
      <c r="AH150" s="547"/>
      <c r="AI150" s="547"/>
      <c r="AJ150" s="551"/>
      <c r="AK150" s="552">
        <f>IFERROR(AK149/AK$139,0)</f>
        <v>0.24669345357105033</v>
      </c>
      <c r="AL150" s="551"/>
      <c r="AM150" s="552">
        <f>IFERROR(AM149/AM$139,0)</f>
        <v>0</v>
      </c>
      <c r="AN150" s="551"/>
      <c r="AO150" s="552">
        <f>IFERROR(AO149/AO$139,0)</f>
        <v>0.21153638541567074</v>
      </c>
      <c r="AP150" s="551"/>
      <c r="AQ150" s="552">
        <f>IFERROR(AQ149/AQ$139,0)</f>
        <v>0.18820917351125818</v>
      </c>
      <c r="AR150" s="551"/>
      <c r="AS150" s="552">
        <f>IFERROR(AS149/AS$139,0)</f>
        <v>0</v>
      </c>
      <c r="AT150" s="551"/>
      <c r="AU150" s="552">
        <f>IFERROR(AU149/AU$139,0)</f>
        <v>0</v>
      </c>
      <c r="AV150" s="551"/>
      <c r="AW150" s="552">
        <f>IFERROR(AW149/AW$139,0)</f>
        <v>0.22571631165046974</v>
      </c>
      <c r="AX150" s="551"/>
      <c r="AY150" s="552">
        <f>IFERROR(AY149/AY$139,0)</f>
        <v>0.26095419578077406</v>
      </c>
      <c r="AZ150" s="551"/>
      <c r="BA150" s="552">
        <f>IFERROR(BA149/BA$139,0)</f>
        <v>0.27168865078236509</v>
      </c>
      <c r="BB150" s="551"/>
      <c r="BC150" s="552">
        <f>IFERROR(BC149/BC$139,0)</f>
        <v>0</v>
      </c>
      <c r="BD150" s="551"/>
      <c r="BE150" s="552">
        <f>IFERROR(BE149/BE$139,0)</f>
        <v>0.27376708418242479</v>
      </c>
      <c r="BF150" s="551"/>
      <c r="BG150" s="552">
        <f>IFERROR(BG149/BG$139,0)</f>
        <v>0.30505696366002044</v>
      </c>
      <c r="BH150" s="551"/>
      <c r="BI150" s="552">
        <f>IFERROR(BI149/BI$139,0)</f>
        <v>0.33304823514027415</v>
      </c>
      <c r="BJ150" s="551"/>
      <c r="BK150" s="552">
        <f>IFERROR(BK149/BK$139,0)</f>
        <v>0.33736300287732807</v>
      </c>
      <c r="BL150" s="551"/>
      <c r="BM150" s="552">
        <f>IFERROR(BM149/BM$139,0)</f>
        <v>0.27289608724608222</v>
      </c>
      <c r="BN150" s="551"/>
      <c r="BO150" s="552">
        <f>IFERROR(BO149/BO$139,0)</f>
        <v>0.25879405050352922</v>
      </c>
      <c r="BP150" s="551"/>
      <c r="BQ150" s="552">
        <f>IFERROR(BQ149/BQ$139,0)</f>
        <v>0.23957472421061288</v>
      </c>
      <c r="BR150" s="551"/>
      <c r="BS150" s="552">
        <f>IFERROR(BS149/BS$139,0)</f>
        <v>0.28923743405185448</v>
      </c>
      <c r="BT150" s="551"/>
      <c r="BU150" s="552">
        <f>IFERROR(BU149/BU$139,0)</f>
        <v>0.26200353589111791</v>
      </c>
      <c r="BV150" s="551"/>
      <c r="BW150" s="552">
        <f>IFERROR(BW149/BW$139,0)</f>
        <v>0</v>
      </c>
      <c r="BX150" s="551"/>
      <c r="BY150" s="552">
        <f>IFERROR(BY149/BY$139,0)</f>
        <v>0.29411912449557315</v>
      </c>
      <c r="BZ150" s="551"/>
      <c r="CA150" s="552">
        <f>IFERROR(CA149/CA$139,0)</f>
        <v>0.27558728198632026</v>
      </c>
      <c r="CB150" s="551"/>
      <c r="CC150" s="552">
        <f>IFERROR(CC149/CC$139,0)</f>
        <v>0.30891850533257575</v>
      </c>
      <c r="CD150" s="551"/>
      <c r="CE150" s="552">
        <f>IFERROR(CE149/CE$139,0)</f>
        <v>0.2911533061207745</v>
      </c>
      <c r="CF150" s="551"/>
      <c r="CG150" s="552">
        <f>IFERROR(CG149/CG$139,0)</f>
        <v>0.23459394955042356</v>
      </c>
      <c r="CH150" s="551"/>
      <c r="CI150" s="552">
        <f>IFERROR(CI149/CI$139,0)</f>
        <v>0.2451927991008872</v>
      </c>
      <c r="CJ150" s="551"/>
      <c r="CK150" s="552">
        <f>IFERROR(CK149/CK$139,0)</f>
        <v>0.25425813576580686</v>
      </c>
      <c r="CL150" s="551"/>
      <c r="CM150" s="552">
        <f>IFERROR(CM149/CM$139,0)</f>
        <v>0.26773305330554431</v>
      </c>
      <c r="CN150" s="551"/>
      <c r="CO150" s="552">
        <f>IFERROR(CO149/CO$139,0)</f>
        <v>0.26887956642918526</v>
      </c>
      <c r="CP150" s="551"/>
      <c r="CQ150" s="552">
        <f>IFERROR(CQ149/CQ$139,0)</f>
        <v>0.26626690182245732</v>
      </c>
      <c r="CR150" s="551"/>
      <c r="CS150" s="552">
        <f>IFERROR(CS149/CS$139,0)</f>
        <v>0.26626690182245732</v>
      </c>
      <c r="CT150" s="551"/>
      <c r="CU150" s="551"/>
      <c r="CV150" s="551"/>
      <c r="CW150" s="551"/>
      <c r="CX150" s="551"/>
      <c r="CY150" s="551"/>
      <c r="CZ150" s="551"/>
      <c r="DA150" s="551"/>
      <c r="DB150" s="551"/>
      <c r="DC150" s="551"/>
      <c r="DD150" s="551"/>
      <c r="DE150" s="551"/>
      <c r="DF150" s="551"/>
      <c r="DG150" s="551"/>
      <c r="DH150" s="551"/>
      <c r="DI150" s="551"/>
      <c r="DJ150" s="552">
        <f>IFERROR(DJ149/DJ$139,0)</f>
        <v>0.23072052094591922</v>
      </c>
      <c r="DK150" s="551"/>
      <c r="DL150" s="552">
        <f>IFERROR(DL149/DL$139,0)</f>
        <v>0.19431302643707166</v>
      </c>
      <c r="DM150" s="551"/>
      <c r="DN150" s="552">
        <f>IFERROR(DN149/DN$139,0)</f>
        <v>0.19898396612041805</v>
      </c>
      <c r="DO150" s="551"/>
      <c r="DP150" s="552">
        <f>IFERROR(DP149/DP$139,0)</f>
        <v>0.20530575919404692</v>
      </c>
      <c r="DQ150" s="551"/>
      <c r="DR150" s="552">
        <f>IFERROR(DR149/DR$139,0)</f>
        <v>0</v>
      </c>
      <c r="DS150" s="551"/>
      <c r="DT150" s="552">
        <f>IFERROR(DT149/DT$139,0)</f>
        <v>0</v>
      </c>
      <c r="DU150" s="551"/>
      <c r="DV150" s="552">
        <f>IFERROR(DV149/DV$139,0)</f>
        <v>0</v>
      </c>
      <c r="DW150" s="551"/>
      <c r="DX150" s="552">
        <f>IFERROR(DX149/DX$139,0)</f>
        <v>0</v>
      </c>
      <c r="DY150" s="551"/>
      <c r="DZ150" s="552">
        <f>IFERROR(DZ149/DZ$139,0)</f>
        <v>0.24657557058055549</v>
      </c>
      <c r="EA150" s="551"/>
      <c r="EB150" s="552">
        <f>IFERROR(EB149/EB$139,0)</f>
        <v>0.22870302117442032</v>
      </c>
      <c r="EC150" s="551"/>
      <c r="ED150" s="552">
        <f>IFERROR(ED149/ED$139,0)</f>
        <v>0.2555350012366035</v>
      </c>
      <c r="EE150" s="551"/>
      <c r="EF150" s="552">
        <f>IFERROR(EF149/EF$139,0)</f>
        <v>0.2706136457775315</v>
      </c>
      <c r="EG150" s="551"/>
      <c r="EH150" s="552">
        <f>IFERROR(EH149/EH$139,0)</f>
        <v>0.26476238635473687</v>
      </c>
      <c r="EI150" s="551"/>
      <c r="EJ150" s="552">
        <f>IFERROR(EJ149/EJ$139,0)</f>
        <v>0.2605049475454071</v>
      </c>
      <c r="EK150" s="551"/>
      <c r="EL150" s="552">
        <f>IFERROR(EL149/EL$139,0)</f>
        <v>0.24483770601181995</v>
      </c>
      <c r="EM150" s="551"/>
      <c r="EN150" s="552">
        <f>IFERROR(EN149/EN$139,0)</f>
        <v>0.28006903393394528</v>
      </c>
      <c r="EO150" s="551"/>
      <c r="EP150" s="552">
        <f>IFERROR(EP149/EP$139,0)</f>
        <v>0.21471545212330179</v>
      </c>
      <c r="EQ150" s="551"/>
      <c r="ER150" s="552">
        <f>IFERROR(ER149/ER$139,0)</f>
        <v>0.27888265107393778</v>
      </c>
      <c r="ES150" s="551"/>
      <c r="ET150" s="552">
        <f>IFERROR(ET149/ET$139,0)</f>
        <v>0.25536867494597343</v>
      </c>
      <c r="EU150" s="551"/>
      <c r="EV150" s="552">
        <f>IFERROR(EV149/EV$139,0)</f>
        <v>0</v>
      </c>
      <c r="EW150" s="551"/>
      <c r="EX150" s="552">
        <f>IFERROR(EX149/EX$139,0)</f>
        <v>0.27244486552789637</v>
      </c>
      <c r="EY150" s="551"/>
      <c r="EZ150" s="552">
        <f>IFERROR(EZ149/EZ$139,0)</f>
        <v>0.25558287769093224</v>
      </c>
      <c r="FA150" s="551"/>
      <c r="FB150" s="552">
        <f>IFERROR(FB149/FB$139,0)</f>
        <v>0.21478408455003331</v>
      </c>
      <c r="FC150" s="551"/>
      <c r="FD150" s="552">
        <f>IFERROR(FD149/FD$139,0)</f>
        <v>0.23552458072900531</v>
      </c>
      <c r="FE150" s="551"/>
      <c r="FF150" s="552">
        <f>IFERROR(FF149/FF$139,0)</f>
        <v>0.30140825539014354</v>
      </c>
      <c r="FG150" s="551"/>
      <c r="FH150" s="552">
        <f>IFERROR(FH149/FH$139,0)</f>
        <v>0.27414835583215469</v>
      </c>
      <c r="FI150" s="551"/>
      <c r="FJ150" s="552">
        <f>IFERROR(FJ149/FJ$139,0)</f>
        <v>0.26098677479604965</v>
      </c>
      <c r="FK150" s="551"/>
      <c r="FL150" s="552">
        <f>IFERROR(FL149/FL$139,0)</f>
        <v>0.25906575109735408</v>
      </c>
      <c r="FM150" s="551"/>
      <c r="FN150" s="552">
        <f>IFERROR(FN149/FN$139,0)</f>
        <v>0.25437072668331151</v>
      </c>
      <c r="FO150" s="551"/>
      <c r="FP150" s="552">
        <f>IFERROR(FP149/FP$139,0)</f>
        <v>0.2543707266833114</v>
      </c>
      <c r="FQ150" s="547"/>
      <c r="FR150" s="547"/>
      <c r="FS150" s="547"/>
      <c r="FT150" s="547"/>
      <c r="FU150" s="547"/>
      <c r="FV150" s="547"/>
      <c r="FW150" s="547"/>
      <c r="FX150" s="547"/>
      <c r="FY150" s="547"/>
      <c r="FZ150" s="547"/>
      <c r="GA150" s="547"/>
      <c r="GB150" s="547"/>
      <c r="GC150" s="547"/>
      <c r="GD150" s="547"/>
      <c r="GE150" s="547"/>
      <c r="GF150" s="547"/>
      <c r="GG150" s="547"/>
      <c r="GH150" s="547"/>
      <c r="GI150" s="547"/>
      <c r="GJ150" s="547"/>
      <c r="GK150" s="547"/>
      <c r="GL150" s="547"/>
      <c r="GM150" s="547"/>
      <c r="GN150" s="547"/>
      <c r="GO150" s="547"/>
      <c r="GP150" s="551"/>
      <c r="GQ150" s="552">
        <f>IFERROR(GQ149/GQ$139,0)</f>
        <v>0</v>
      </c>
      <c r="GR150" s="551"/>
      <c r="GS150" s="552">
        <f>IFERROR(GS149/GS$139,0)</f>
        <v>0.17049885146386615</v>
      </c>
      <c r="GT150" s="551"/>
      <c r="GU150" s="552">
        <f>IFERROR(GU149/GU$139,0)</f>
        <v>0</v>
      </c>
      <c r="GV150" s="551"/>
      <c r="GW150" s="552">
        <f>IFERROR(GW149/GW$139,0)</f>
        <v>6.8352808034429488E-2</v>
      </c>
      <c r="GX150" s="547"/>
      <c r="GY150" s="547"/>
      <c r="GZ150" s="547"/>
      <c r="HA150" s="547"/>
      <c r="HB150" s="551"/>
      <c r="HC150" s="552">
        <f>IFERROR(HC149/HC$139,0)</f>
        <v>0</v>
      </c>
      <c r="HD150" s="551"/>
      <c r="HE150" s="552">
        <f>IFERROR(HE149/HE$139,0)</f>
        <v>0.21550427851692422</v>
      </c>
      <c r="HF150" s="551"/>
      <c r="HG150" s="552">
        <f>IFERROR(HG149/HG$139,0)</f>
        <v>0</v>
      </c>
      <c r="HH150" s="551"/>
      <c r="HI150" s="552">
        <f>IFERROR(HI149/HI$139,0)</f>
        <v>0</v>
      </c>
      <c r="HJ150" s="551"/>
      <c r="HK150" s="552">
        <f>IFERROR(HK149/HK$139,0)</f>
        <v>0</v>
      </c>
      <c r="HL150" s="551"/>
      <c r="HM150" s="552">
        <f>IFERROR(HM149/HM$139,0)</f>
        <v>0.2464971933692163</v>
      </c>
      <c r="HN150" s="551"/>
      <c r="HO150" s="552">
        <f>IFERROR(HO149/HO$139,0)</f>
        <v>0</v>
      </c>
      <c r="HP150" s="551"/>
      <c r="HQ150" s="552">
        <f>IFERROR(HQ149/HQ$139,0)</f>
        <v>0</v>
      </c>
      <c r="HR150" s="551"/>
      <c r="HS150" s="552">
        <f>IFERROR(HS149/HS$139,0)</f>
        <v>0</v>
      </c>
      <c r="HT150" s="551"/>
      <c r="HU150" s="552">
        <f>IFERROR(HU149/HU$139,0)</f>
        <v>0</v>
      </c>
      <c r="HV150" s="551"/>
      <c r="HW150" s="552">
        <f>IFERROR(HW149/HW$139,0)</f>
        <v>0</v>
      </c>
      <c r="HX150" s="551"/>
      <c r="HY150" s="552">
        <f>IFERROR(HY149/HY$139,0)</f>
        <v>0</v>
      </c>
      <c r="HZ150" s="551"/>
      <c r="IA150" s="552">
        <f>IFERROR(IA149/IA$139,0)</f>
        <v>0</v>
      </c>
      <c r="IB150" s="551"/>
      <c r="IC150" s="552">
        <f>IFERROR(IC149/IC$139,0)</f>
        <v>0.217956507825946</v>
      </c>
      <c r="ID150" s="551"/>
      <c r="IE150" s="552">
        <f>IFERROR(IE149/IE$139,0)</f>
        <v>0</v>
      </c>
      <c r="IF150" s="551"/>
      <c r="IG150" s="552">
        <f>IFERROR(IG149/IG$139,0)</f>
        <v>0</v>
      </c>
      <c r="IH150" s="551"/>
      <c r="II150" s="552">
        <f>IFERROR(II149/II$139,0)</f>
        <v>0</v>
      </c>
      <c r="IJ150" s="551"/>
      <c r="IK150" s="552">
        <f>IFERROR(IK149/IK$139,0)</f>
        <v>0</v>
      </c>
      <c r="IL150" s="551"/>
      <c r="IM150" s="552">
        <f>IFERROR(IM149/IM$139,0)</f>
        <v>0</v>
      </c>
      <c r="IN150" s="551"/>
      <c r="IO150" s="552">
        <f>IFERROR(IO149/IO$139,0)</f>
        <v>0</v>
      </c>
      <c r="IP150" s="551"/>
      <c r="IQ150" s="552">
        <f>IFERROR(IQ149/IQ$139,0)</f>
        <v>0</v>
      </c>
      <c r="IR150" s="551"/>
      <c r="IS150" s="552">
        <f>IFERROR(IS149/IS$139,0)</f>
        <v>0</v>
      </c>
      <c r="IT150" s="551"/>
      <c r="IU150" s="552">
        <f>IFERROR(IU149/IU$139,0)</f>
        <v>0</v>
      </c>
      <c r="IV150" s="551"/>
      <c r="IW150" s="552">
        <f>IFERROR(IW149/IW$139,0)</f>
        <v>0</v>
      </c>
      <c r="IX150" s="551"/>
      <c r="IY150" s="552">
        <f>IFERROR(IY149/IY$139,0)</f>
        <v>0</v>
      </c>
      <c r="IZ150" s="553"/>
      <c r="JA150" s="547"/>
      <c r="JB150" s="547"/>
      <c r="JC150" s="547"/>
      <c r="JD150" s="547"/>
      <c r="JE150" s="547"/>
      <c r="JF150" s="547"/>
      <c r="JG150" s="547"/>
      <c r="JH150" s="547"/>
      <c r="JI150" s="547"/>
      <c r="JJ150" s="547"/>
      <c r="JK150" s="547"/>
      <c r="JL150" s="547"/>
      <c r="JM150" s="547"/>
      <c r="JN150" s="547"/>
      <c r="JO150" s="547"/>
      <c r="JP150" s="547"/>
      <c r="JQ150" s="547"/>
      <c r="JR150" s="547"/>
      <c r="JS150" s="547"/>
      <c r="JT150" s="547"/>
      <c r="JU150" s="547"/>
      <c r="JV150" s="547"/>
      <c r="JW150" s="547"/>
      <c r="JX150" s="547"/>
      <c r="JY150" s="547"/>
      <c r="JZ150" s="547"/>
      <c r="KA150" s="552">
        <f>IFERROR(KA149/KA$139,0)</f>
        <v>0.16851718001493854</v>
      </c>
      <c r="KB150" s="547"/>
      <c r="KC150" s="552">
        <f>IFERROR(KC149/KC$139,0)</f>
        <v>0</v>
      </c>
      <c r="KD150" s="547"/>
      <c r="KE150" s="552">
        <f>IFERROR(KE149/KE$139,0)</f>
        <v>0.16245049484212437</v>
      </c>
      <c r="KF150" s="547"/>
      <c r="KG150" s="552">
        <f>IFERROR(KG149/KG$139,0)</f>
        <v>8.4944300422170604E-2</v>
      </c>
      <c r="KH150" s="547"/>
      <c r="KI150" s="552">
        <f>IFERROR(KI149/KI$139,0)</f>
        <v>0</v>
      </c>
      <c r="KJ150" s="547"/>
      <c r="KK150" s="552">
        <f>IFERROR(KK149/KK$139,0)</f>
        <v>0</v>
      </c>
      <c r="KL150" s="547"/>
      <c r="KM150" s="552">
        <f>IFERROR(KM149/KM$139,0)</f>
        <v>0.14033123597824354</v>
      </c>
      <c r="KN150" s="547"/>
      <c r="KO150" s="552">
        <f>IFERROR(KO149/KO$139,0)</f>
        <v>0.1781462826477235</v>
      </c>
      <c r="KP150" s="547"/>
      <c r="KQ150" s="552">
        <f>IFERROR(KQ149/KQ$139,0)</f>
        <v>0.14962349582644985</v>
      </c>
      <c r="KR150" s="547"/>
      <c r="KS150" s="552">
        <f>IFERROR(KS149/KS$139,0)</f>
        <v>0.18667869262853132</v>
      </c>
      <c r="KT150" s="547"/>
      <c r="KU150" s="552">
        <f>IFERROR(KU149/KU$139,0)</f>
        <v>0</v>
      </c>
      <c r="KV150" s="547"/>
      <c r="KW150" s="552">
        <f>IFERROR(KW149/KW$139,0)</f>
        <v>0</v>
      </c>
      <c r="KX150" s="547"/>
      <c r="KY150" s="552">
        <f>IFERROR(KY149/KY$139,0)</f>
        <v>0.23728053176921118</v>
      </c>
      <c r="KZ150" s="547"/>
      <c r="LA150" s="552">
        <f>IFERROR(LA149/LA$139,0)</f>
        <v>0.25677701998370728</v>
      </c>
      <c r="LB150" s="547"/>
      <c r="LC150" s="552">
        <f>IFERROR(LC149/LC$139,0)</f>
        <v>0.18957506427865006</v>
      </c>
      <c r="LD150" s="547"/>
      <c r="LE150" s="552">
        <f>IFERROR(LE149/LE$139,0)</f>
        <v>0.18225587753783659</v>
      </c>
      <c r="LF150" s="547"/>
      <c r="LG150" s="552">
        <f>IFERROR(LG149/LG$139,0)</f>
        <v>0</v>
      </c>
      <c r="LH150" s="547"/>
      <c r="LI150" s="552">
        <f>IFERROR(LI149/LI$139,0)</f>
        <v>0.20558514697914809</v>
      </c>
      <c r="LJ150" s="547"/>
      <c r="LK150" s="552">
        <f>IFERROR(LK149/LK$139,0)</f>
        <v>0.15860605467573033</v>
      </c>
      <c r="LL150" s="547"/>
      <c r="LM150" s="552">
        <f>IFERROR(LM149/LM$139,0)</f>
        <v>0</v>
      </c>
      <c r="LN150" s="547"/>
      <c r="LO150" s="552">
        <f>IFERROR(LO149/LO$139,0)</f>
        <v>0.22223274545250313</v>
      </c>
      <c r="LP150" s="547"/>
      <c r="LQ150" s="552">
        <f>IFERROR(LQ149/LQ$139,0)</f>
        <v>0.2015903957187733</v>
      </c>
      <c r="LR150" s="547"/>
      <c r="LS150" s="552">
        <f>IFERROR(LS149/LS$139,0)</f>
        <v>0.168314746344391</v>
      </c>
      <c r="LT150" s="547"/>
      <c r="LU150" s="552">
        <f>IFERROR(LU149/LU$139,0)</f>
        <v>0.14641484167675592</v>
      </c>
      <c r="LV150" s="547"/>
      <c r="LW150" s="552">
        <f>IFERROR(LW149/LW$139,0)</f>
        <v>0.15830977267788432</v>
      </c>
      <c r="LX150" s="547"/>
      <c r="LY150" s="552">
        <f>IFERROR(LY149/LY$139,0)</f>
        <v>0.170087748756586</v>
      </c>
      <c r="LZ150" s="547"/>
      <c r="MA150" s="552">
        <f>IFERROR(MA149/MA$139,0)</f>
        <v>0.18016160798785791</v>
      </c>
      <c r="MB150" s="547"/>
      <c r="MC150" s="552">
        <f>IFERROR(MC149/MC$139,0)</f>
        <v>0.17633390605177446</v>
      </c>
      <c r="MD150" s="547"/>
      <c r="ME150" s="552">
        <f>IFERROR(ME149/ME$139,0)</f>
        <v>0.25897687802680947</v>
      </c>
      <c r="MF150" s="547"/>
      <c r="MG150" s="552">
        <f>IFERROR(MG149/MG$139,0)</f>
        <v>0</v>
      </c>
      <c r="MH150" s="547"/>
      <c r="MI150" s="547"/>
      <c r="MJ150" s="547"/>
      <c r="MK150" s="547"/>
      <c r="ML150" s="547"/>
      <c r="MM150" s="547"/>
      <c r="MN150" s="547"/>
      <c r="MO150" s="547"/>
      <c r="MP150" s="547"/>
      <c r="MQ150" s="547"/>
      <c r="MR150" s="547"/>
      <c r="MS150" s="547"/>
      <c r="MT150" s="547"/>
      <c r="MU150" s="547"/>
      <c r="MV150" s="547"/>
      <c r="MW150" s="547"/>
      <c r="MX150" s="547"/>
      <c r="MY150" s="547"/>
      <c r="MZ150" s="547"/>
      <c r="NA150" s="547"/>
      <c r="NB150" s="547"/>
      <c r="NC150" s="547"/>
      <c r="ND150" s="552">
        <f>IFERROR(ND149/ND$139,0)</f>
        <v>0</v>
      </c>
      <c r="NE150" s="547"/>
      <c r="NF150" s="552">
        <f>IFERROR(NF149/NF$139,0)</f>
        <v>0</v>
      </c>
      <c r="NG150" s="547"/>
      <c r="NH150" s="552">
        <f>IFERROR(NH149/NH$139,0)</f>
        <v>0.19835901119955621</v>
      </c>
      <c r="NI150" s="547"/>
      <c r="NJ150" s="552">
        <f>IFERROR(NJ149/NJ$139,0)</f>
        <v>0.1392779374436543</v>
      </c>
      <c r="NK150" s="547"/>
      <c r="NL150" s="552">
        <f>IFERROR(NL149/NL$139,0)</f>
        <v>0</v>
      </c>
      <c r="NM150" s="547"/>
      <c r="NN150" s="552">
        <f>IFERROR(NN149/NN$139,0)</f>
        <v>0</v>
      </c>
      <c r="NO150" s="547"/>
      <c r="NP150" s="552">
        <f>IFERROR(NP149/NP$139,0)</f>
        <v>0.1878680948433345</v>
      </c>
      <c r="NQ150" s="547"/>
      <c r="NR150" s="552">
        <f>IFERROR(NR149/NR$139,0)</f>
        <v>0.22614691745600979</v>
      </c>
      <c r="NS150" s="547"/>
      <c r="NT150" s="552">
        <f>IFERROR(NT149/NT$139,0)</f>
        <v>0</v>
      </c>
      <c r="NU150" s="547"/>
      <c r="NV150" s="552">
        <f>IFERROR(NV149/NV$139,0)</f>
        <v>0</v>
      </c>
      <c r="NW150" s="547"/>
      <c r="NX150" s="552">
        <f>IFERROR(NX149/NX$139,0)</f>
        <v>0</v>
      </c>
      <c r="NY150" s="547"/>
      <c r="NZ150" s="552">
        <f>IFERROR(NZ149/NZ$139,0)</f>
        <v>0.20161179801777873</v>
      </c>
      <c r="OA150" s="547"/>
      <c r="OB150" s="552">
        <f>IFERROR(OB149/OB$139,0)</f>
        <v>0.26626315431711028</v>
      </c>
      <c r="OC150" s="547"/>
      <c r="OD150" s="552">
        <f>IFERROR(OD149/OD$139,0)</f>
        <v>0.27291665813101035</v>
      </c>
      <c r="OE150" s="547"/>
      <c r="OF150" s="552">
        <f>IFERROR(OF149/OF$139,0)</f>
        <v>0.21984917527693454</v>
      </c>
      <c r="OG150" s="547"/>
      <c r="OH150" s="552">
        <f>IFERROR(OH149/OH$139,0)</f>
        <v>0</v>
      </c>
      <c r="OI150" s="547"/>
      <c r="OJ150" s="552">
        <f>IFERROR(OJ149/OJ$139,0)</f>
        <v>0</v>
      </c>
      <c r="OK150" s="547"/>
      <c r="OL150" s="552">
        <f>IFERROR(OL149/OL$139,0)</f>
        <v>0.20993691439269188</v>
      </c>
      <c r="OM150" s="547"/>
      <c r="ON150" s="552">
        <f>IFERROR(ON149/ON$139,0)</f>
        <v>0.17476530392348813</v>
      </c>
      <c r="OO150" s="547"/>
      <c r="OP150" s="552">
        <f>IFERROR(OP149/OP$139,0)</f>
        <v>0</v>
      </c>
      <c r="OQ150" s="547"/>
      <c r="OR150" s="552">
        <f>IFERROR(OR149/OR$139,0)</f>
        <v>0.20102204921648043</v>
      </c>
      <c r="OS150" s="547"/>
      <c r="OT150" s="552">
        <f>IFERROR(OT149/OT$139,0)</f>
        <v>0.18920670565557354</v>
      </c>
      <c r="OU150" s="547"/>
      <c r="OV150" s="552">
        <f>IFERROR(OV149/OV$139,0)</f>
        <v>9.9673438591685815E-2</v>
      </c>
      <c r="OW150" s="547"/>
      <c r="OX150" s="552">
        <f>IFERROR(OX149/OX$139,0)</f>
        <v>7.7985127205863633E-2</v>
      </c>
      <c r="OY150" s="547"/>
      <c r="OZ150" s="552">
        <f>IFERROR(OZ149/OZ$139,0)</f>
        <v>8.9765131337415704E-2</v>
      </c>
      <c r="PA150" s="547"/>
      <c r="PB150" s="552">
        <f>IFERROR(PB149/PB$139,0)</f>
        <v>0.10142931054579186</v>
      </c>
      <c r="PC150" s="547"/>
      <c r="PD150" s="552">
        <f>IFERROR(PD149/PD$139,0)</f>
        <v>0.11140583780381469</v>
      </c>
      <c r="PE150" s="547"/>
      <c r="PF150" s="552">
        <f>IFERROR(PF149/PF$139,0)</f>
        <v>0.15340704966978611</v>
      </c>
      <c r="PG150" s="547"/>
      <c r="PH150" s="552">
        <f>IFERROR(PH149/PH$139,0)</f>
        <v>0.24538876174939497</v>
      </c>
      <c r="PI150" s="547"/>
      <c r="PJ150" s="552">
        <f>IFERROR(PJ149/PJ$139,0)</f>
        <v>0.23636980173496311</v>
      </c>
      <c r="PK150" s="547"/>
      <c r="PL150" s="552">
        <f>IFERROR(PL149/PL$139,0)</f>
        <v>0.22620414673046249</v>
      </c>
      <c r="PM150" s="547"/>
      <c r="PN150" s="552">
        <f>IFERROR(PN149/PN$139,0)</f>
        <v>0.25108866442199773</v>
      </c>
      <c r="PO150" s="547"/>
      <c r="PP150" s="552">
        <f>IFERROR(PP149/PP$139,0)</f>
        <v>0.25108866442199773</v>
      </c>
      <c r="PQ150" s="547"/>
      <c r="PR150" s="547"/>
      <c r="PS150" s="552">
        <f>IFERROR(PS149/PS$139,0)</f>
        <v>0.40129110814338081</v>
      </c>
      <c r="PT150" s="547"/>
      <c r="PU150" s="552">
        <f>IFERROR(PU149/PU$139,0)</f>
        <v>0.44055475388808713</v>
      </c>
      <c r="PV150" s="547"/>
      <c r="PW150" s="552">
        <f>IFERROR(PW149/PW$139,0)</f>
        <v>0.40129110814338081</v>
      </c>
      <c r="PX150" s="547"/>
      <c r="PY150" s="552">
        <f>IFERROR(PY149/PY$139,0)</f>
        <v>0.44055475388808713</v>
      </c>
      <c r="PZ150" s="547"/>
      <c r="QA150" s="552">
        <f>IFERROR(QA149/QA$139,0)</f>
        <v>0.39561893530686137</v>
      </c>
      <c r="QB150" s="547"/>
      <c r="QC150" s="552">
        <f>IFERROR(QC149/QC$139,0)</f>
        <v>0.43537337662337661</v>
      </c>
      <c r="QD150" s="547"/>
      <c r="QE150" s="547"/>
      <c r="QF150" s="547"/>
      <c r="QG150" s="552">
        <f>IFERROR(QG149/QG$139,0)</f>
        <v>0.32066057399390729</v>
      </c>
      <c r="QH150" s="547"/>
      <c r="QI150" s="552">
        <f>IFERROR(QI149/QI$139,0)</f>
        <v>0.35699214365881032</v>
      </c>
      <c r="QJ150" s="547"/>
      <c r="QK150" s="552">
        <f>IFERROR(QK149/QK$139,0)</f>
        <v>0.32066057399390729</v>
      </c>
      <c r="QL150" s="547"/>
      <c r="QM150" s="552">
        <f>IFERROR(QM149/QM$139,0)</f>
        <v>0.35699214365881032</v>
      </c>
      <c r="QN150" s="547"/>
      <c r="QO150" s="552">
        <f>IFERROR(QO149/QO$139,0)</f>
        <v>0.25117194489175165</v>
      </c>
      <c r="QP150" s="547"/>
      <c r="QQ150" s="552">
        <f>IFERROR(QQ149/QQ$139,0)</f>
        <v>0.29171587045983183</v>
      </c>
    </row>
    <row r="151" spans="1:459" x14ac:dyDescent="0.45">
      <c r="A151" s="546" t="s">
        <v>442</v>
      </c>
      <c r="B151" s="546"/>
      <c r="C151" s="546"/>
      <c r="D151" s="546"/>
      <c r="E151" s="546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  <c r="AA151" s="547"/>
      <c r="AB151" s="547"/>
      <c r="AC151" s="547"/>
      <c r="AD151" s="547"/>
      <c r="AE151" s="547"/>
      <c r="AF151" s="547"/>
      <c r="AG151" s="547"/>
      <c r="AH151" s="547"/>
      <c r="AI151" s="547"/>
      <c r="AJ151" s="546"/>
      <c r="AK151" s="546">
        <f>AK138*AK125</f>
        <v>1426.7791666666665</v>
      </c>
      <c r="AL151" s="546"/>
      <c r="AM151" s="546">
        <f>AM138*AM125</f>
        <v>0</v>
      </c>
      <c r="AN151" s="546"/>
      <c r="AO151" s="546">
        <f>AO138*AO125</f>
        <v>2714.0626839281899</v>
      </c>
      <c r="AP151" s="546"/>
      <c r="AQ151" s="546">
        <f>AQ138*AQ125</f>
        <v>1101.1120736898495</v>
      </c>
      <c r="AR151" s="546"/>
      <c r="AS151" s="546">
        <f>AS138*AS125</f>
        <v>0</v>
      </c>
      <c r="AT151" s="546"/>
      <c r="AU151" s="546">
        <f>AU138*AU125</f>
        <v>0</v>
      </c>
      <c r="AV151" s="546"/>
      <c r="AW151" s="546">
        <f>AW138*AW125</f>
        <v>32.78515625</v>
      </c>
      <c r="AX151" s="546"/>
      <c r="AY151" s="546">
        <f>AY138*AY125</f>
        <v>307.06901041666669</v>
      </c>
      <c r="AZ151" s="546"/>
      <c r="BA151" s="546">
        <f>BA138*BA125</f>
        <v>942.63411458333337</v>
      </c>
      <c r="BB151" s="546"/>
      <c r="BC151" s="546">
        <f>BC138*BC125</f>
        <v>0</v>
      </c>
      <c r="BD151" s="546"/>
      <c r="BE151" s="546">
        <f>BE138*BE125</f>
        <v>335.24479166666663</v>
      </c>
      <c r="BF151" s="546"/>
      <c r="BG151" s="546">
        <f>BG138*BG125</f>
        <v>379.296875</v>
      </c>
      <c r="BH151" s="546"/>
      <c r="BI151" s="546">
        <f>BI138*BI125</f>
        <v>194.49088541666666</v>
      </c>
      <c r="BJ151" s="546"/>
      <c r="BK151" s="546">
        <f>BK138*BK125</f>
        <v>122.890625</v>
      </c>
      <c r="BL151" s="546"/>
      <c r="BM151" s="546">
        <f>BM138*BM125</f>
        <v>185.10112231087183</v>
      </c>
      <c r="BN151" s="546"/>
      <c r="BO151" s="546">
        <f>BO138*BO125</f>
        <v>973.25</v>
      </c>
      <c r="BP151" s="546"/>
      <c r="BQ151" s="546">
        <f>BQ138*BQ125</f>
        <v>16.25</v>
      </c>
      <c r="BR151" s="546"/>
      <c r="BS151" s="546">
        <f>BS138*BS125</f>
        <v>2393.25</v>
      </c>
      <c r="BT151" s="546"/>
      <c r="BU151" s="546">
        <f>BU138*BU125</f>
        <v>487.5</v>
      </c>
      <c r="BV151" s="546"/>
      <c r="BW151" s="546">
        <f>BW138*BW125</f>
        <v>0</v>
      </c>
      <c r="BX151" s="546"/>
      <c r="BY151" s="546">
        <f>BY138*BY125</f>
        <v>2355.5</v>
      </c>
      <c r="BZ151" s="546"/>
      <c r="CA151" s="546">
        <f>CA138*CA125</f>
        <v>24.536458333333332</v>
      </c>
      <c r="CB151" s="546"/>
      <c r="CC151" s="546">
        <f>CC138*CC125</f>
        <v>6225.75</v>
      </c>
      <c r="CD151" s="546"/>
      <c r="CE151" s="546">
        <f>CE138*CE125</f>
        <v>2355.5</v>
      </c>
      <c r="CF151" s="546"/>
      <c r="CG151" s="546">
        <f>CG138*CG125</f>
        <v>13817.5</v>
      </c>
      <c r="CH151" s="546"/>
      <c r="CI151" s="546">
        <f>CI138*CI125</f>
        <v>13779.75</v>
      </c>
      <c r="CJ151" s="546"/>
      <c r="CK151" s="546">
        <f>CK138*CK125</f>
        <v>27109.75</v>
      </c>
      <c r="CL151" s="546"/>
      <c r="CM151" s="546">
        <f>CM138*CM125</f>
        <v>37517.536024305555</v>
      </c>
      <c r="CN151" s="546"/>
      <c r="CO151" s="546">
        <f>CO138*CO125</f>
        <v>683.7890625</v>
      </c>
      <c r="CP151" s="546"/>
      <c r="CQ151" s="546">
        <f>CQ138*CQ125</f>
        <v>106.44921875</v>
      </c>
      <c r="CR151" s="546"/>
      <c r="CS151" s="546">
        <f>CS138*CS125</f>
        <v>106.44921875</v>
      </c>
      <c r="CT151" s="546"/>
      <c r="CU151" s="546"/>
      <c r="CV151" s="546"/>
      <c r="CW151" s="546"/>
      <c r="CX151" s="546"/>
      <c r="CY151" s="546"/>
      <c r="CZ151" s="546"/>
      <c r="DA151" s="546"/>
      <c r="DB151" s="546"/>
      <c r="DC151" s="546"/>
      <c r="DD151" s="546"/>
      <c r="DE151" s="546"/>
      <c r="DF151" s="546"/>
      <c r="DG151" s="546"/>
      <c r="DH151" s="546"/>
      <c r="DI151" s="546"/>
      <c r="DJ151" s="546">
        <f>DJ138*DJ125</f>
        <v>8.9791684122329229</v>
      </c>
      <c r="DK151" s="546"/>
      <c r="DL151" s="546">
        <f>DL138*DL125</f>
        <v>5861.8339145781811</v>
      </c>
      <c r="DM151" s="546"/>
      <c r="DN151" s="546">
        <f>DN138*DN125</f>
        <v>4403.5214533563221</v>
      </c>
      <c r="DO151" s="546"/>
      <c r="DP151" s="546">
        <f>DP138*DP125</f>
        <v>2373.229903334246</v>
      </c>
      <c r="DQ151" s="546"/>
      <c r="DR151" s="546">
        <f>DR138*DR125</f>
        <v>0</v>
      </c>
      <c r="DS151" s="546"/>
      <c r="DT151" s="546">
        <f>DT138*DT125</f>
        <v>0</v>
      </c>
      <c r="DU151" s="546"/>
      <c r="DV151" s="546">
        <f>DV138*DV125</f>
        <v>0</v>
      </c>
      <c r="DW151" s="546"/>
      <c r="DX151" s="546">
        <f>DX138*DX125</f>
        <v>0</v>
      </c>
      <c r="DY151" s="546"/>
      <c r="DZ151" s="546">
        <f>DZ138*DZ125</f>
        <v>870.67741935484003</v>
      </c>
      <c r="EA151" s="546"/>
      <c r="EB151" s="546">
        <f>EB138*EB125</f>
        <v>1240.352073732721</v>
      </c>
      <c r="EC151" s="546"/>
      <c r="ED151" s="546">
        <f>ED138*ED125</f>
        <v>500.20205278592505</v>
      </c>
      <c r="EE151" s="546"/>
      <c r="EF151" s="546">
        <f>EF138*EF125</f>
        <v>296.28927524088886</v>
      </c>
      <c r="EG151" s="546"/>
      <c r="EH151" s="546">
        <f>EH138*EH125</f>
        <v>662.54076246334455</v>
      </c>
      <c r="EI151" s="546"/>
      <c r="EJ151" s="546">
        <f>EJ138*EJ125</f>
        <v>354.4559698366163</v>
      </c>
      <c r="EK151" s="546"/>
      <c r="EL151" s="546">
        <f>EL138*EL125</f>
        <v>354.4559698366163</v>
      </c>
      <c r="EM151" s="546"/>
      <c r="EN151" s="546">
        <f>EN138*EN125</f>
        <v>712.80000000000064</v>
      </c>
      <c r="EO151" s="546"/>
      <c r="EP151" s="546">
        <f>EP138*EP125</f>
        <v>2815.2000000000025</v>
      </c>
      <c r="EQ151" s="546"/>
      <c r="ER151" s="546">
        <f>ER138*ER125</f>
        <v>2240.4000000000019</v>
      </c>
      <c r="ES151" s="546"/>
      <c r="ET151" s="546">
        <f>ET138*ET125</f>
        <v>2232.6000000000022</v>
      </c>
      <c r="EU151" s="546"/>
      <c r="EV151" s="546">
        <f>EV138*EV125</f>
        <v>0</v>
      </c>
      <c r="EW151" s="546"/>
      <c r="EX151" s="546">
        <f>EX138*EX125</f>
        <v>2205.6000000000022</v>
      </c>
      <c r="EY151" s="546"/>
      <c r="EZ151" s="546">
        <f>EZ138*EZ125</f>
        <v>11.088060326772</v>
      </c>
      <c r="FA151" s="546"/>
      <c r="FB151" s="546">
        <f>FB138*FB125</f>
        <v>10206.600000000009</v>
      </c>
      <c r="FC151" s="546"/>
      <c r="FD151" s="546">
        <f>FD138*FD125</f>
        <v>21906.000000000018</v>
      </c>
      <c r="FE151" s="546"/>
      <c r="FF151" s="546">
        <f>FF138*FF125</f>
        <v>40996.800000000039</v>
      </c>
      <c r="FG151" s="546"/>
      <c r="FH151" s="546">
        <f>FH138*FH125</f>
        <v>79753.20000000007</v>
      </c>
      <c r="FI151" s="546"/>
      <c r="FJ151" s="546">
        <f>FJ138*FJ125</f>
        <v>157273.80000000013</v>
      </c>
      <c r="FK151" s="546"/>
      <c r="FL151" s="546">
        <f>FL138*FL125</f>
        <v>314547.60000000027</v>
      </c>
      <c r="FM151" s="546"/>
      <c r="FN151" s="546">
        <f>FN138*FN125</f>
        <v>626889.60000000056</v>
      </c>
      <c r="FO151" s="546"/>
      <c r="FP151" s="546">
        <f>FP138*FP125</f>
        <v>1251573.600000001</v>
      </c>
      <c r="FQ151" s="547"/>
      <c r="FR151" s="547"/>
      <c r="FS151" s="547"/>
      <c r="FT151" s="547"/>
      <c r="FU151" s="547"/>
      <c r="FV151" s="547"/>
      <c r="FW151" s="547"/>
      <c r="FX151" s="547"/>
      <c r="FY151" s="547"/>
      <c r="FZ151" s="547"/>
      <c r="GA151" s="547"/>
      <c r="GB151" s="547"/>
      <c r="GC151" s="547"/>
      <c r="GD151" s="547"/>
      <c r="GE151" s="547"/>
      <c r="GF151" s="547"/>
      <c r="GG151" s="547"/>
      <c r="GH151" s="547"/>
      <c r="GI151" s="547"/>
      <c r="GJ151" s="547"/>
      <c r="GK151" s="547"/>
      <c r="GL151" s="547"/>
      <c r="GM151" s="547"/>
      <c r="GN151" s="547"/>
      <c r="GO151" s="547"/>
      <c r="GP151" s="546"/>
      <c r="GQ151" s="546">
        <f>GQ138*GQ125</f>
        <v>0</v>
      </c>
      <c r="GR151" s="546"/>
      <c r="GS151" s="546">
        <f>GS138*GS125</f>
        <v>759.33835602564136</v>
      </c>
      <c r="GT151" s="546"/>
      <c r="GU151" s="546">
        <f>GU138*GU125</f>
        <v>0</v>
      </c>
      <c r="GV151" s="546"/>
      <c r="GW151" s="546">
        <f>GW138*GW125</f>
        <v>670.32469062526445</v>
      </c>
      <c r="GX151" s="547"/>
      <c r="GY151" s="547"/>
      <c r="GZ151" s="547"/>
      <c r="HA151" s="547"/>
      <c r="HB151" s="546"/>
      <c r="HC151" s="546">
        <f>HC138*HC125</f>
        <v>0</v>
      </c>
      <c r="HD151" s="546"/>
      <c r="HE151" s="546">
        <f>HE138*HE125</f>
        <v>299.82161458333337</v>
      </c>
      <c r="HF151" s="546"/>
      <c r="HG151" s="546">
        <f>HG138*HG125</f>
        <v>0</v>
      </c>
      <c r="HH151" s="546"/>
      <c r="HI151" s="546">
        <f>HI138*HI125</f>
        <v>0</v>
      </c>
      <c r="HJ151" s="546"/>
      <c r="HK151" s="546">
        <f>HK138*HK125</f>
        <v>0</v>
      </c>
      <c r="HL151" s="546"/>
      <c r="HM151" s="546">
        <f>HM138*HM125</f>
        <v>232.39583333333334</v>
      </c>
      <c r="HN151" s="546"/>
      <c r="HO151" s="546">
        <f>HO138*HO125</f>
        <v>0</v>
      </c>
      <c r="HP151" s="546"/>
      <c r="HQ151" s="546">
        <f>HQ138*HQ125</f>
        <v>0</v>
      </c>
      <c r="HR151" s="546"/>
      <c r="HS151" s="546">
        <f>HS138*HS125</f>
        <v>0</v>
      </c>
      <c r="HT151" s="546"/>
      <c r="HU151" s="546">
        <f>HU138*HU125</f>
        <v>0</v>
      </c>
      <c r="HV151" s="546"/>
      <c r="HW151" s="546">
        <f>HW138*HW125</f>
        <v>0</v>
      </c>
      <c r="HX151" s="546"/>
      <c r="HY151" s="546">
        <f>HY138*HY125</f>
        <v>0</v>
      </c>
      <c r="HZ151" s="546"/>
      <c r="IA151" s="546">
        <f>IA138*IA125</f>
        <v>0</v>
      </c>
      <c r="IB151" s="546"/>
      <c r="IC151" s="546">
        <f>IC138*IC125</f>
        <v>952.5</v>
      </c>
      <c r="ID151" s="546"/>
      <c r="IE151" s="546">
        <f>IE138*IE125</f>
        <v>0</v>
      </c>
      <c r="IF151" s="546"/>
      <c r="IG151" s="546">
        <f>IG138*IG125</f>
        <v>0</v>
      </c>
      <c r="IH151" s="546"/>
      <c r="II151" s="546">
        <f>II138*II125</f>
        <v>0</v>
      </c>
      <c r="IJ151" s="546"/>
      <c r="IK151" s="546">
        <f>IK138*IK125</f>
        <v>0</v>
      </c>
      <c r="IL151" s="546"/>
      <c r="IM151" s="546">
        <f>IM138*IM125</f>
        <v>0</v>
      </c>
      <c r="IN151" s="546"/>
      <c r="IO151" s="546">
        <f>IO138*IO125</f>
        <v>0</v>
      </c>
      <c r="IP151" s="546"/>
      <c r="IQ151" s="546">
        <f>IQ138*IQ125</f>
        <v>0</v>
      </c>
      <c r="IR151" s="546"/>
      <c r="IS151" s="546">
        <f>IS138*IS125</f>
        <v>0</v>
      </c>
      <c r="IT151" s="546"/>
      <c r="IU151" s="546">
        <f>IU138*IU125</f>
        <v>0</v>
      </c>
      <c r="IV151" s="546"/>
      <c r="IW151" s="546">
        <f>IW138*IW125</f>
        <v>0</v>
      </c>
      <c r="IX151" s="546"/>
      <c r="IY151" s="546">
        <f>IY138*IY125</f>
        <v>0</v>
      </c>
      <c r="IZ151" s="548"/>
      <c r="JA151" s="547"/>
      <c r="JB151" s="547"/>
      <c r="JC151" s="547"/>
      <c r="JD151" s="547"/>
      <c r="JE151" s="547"/>
      <c r="JF151" s="547"/>
      <c r="JG151" s="547"/>
      <c r="JH151" s="547"/>
      <c r="JI151" s="547"/>
      <c r="JJ151" s="547"/>
      <c r="JK151" s="547"/>
      <c r="JL151" s="547"/>
      <c r="JM151" s="547"/>
      <c r="JN151" s="547"/>
      <c r="JO151" s="547"/>
      <c r="JP151" s="547"/>
      <c r="JQ151" s="547"/>
      <c r="JR151" s="547"/>
      <c r="JS151" s="547"/>
      <c r="JT151" s="547"/>
      <c r="JU151" s="547"/>
      <c r="JV151" s="547"/>
      <c r="JW151" s="547"/>
      <c r="JX151" s="547"/>
      <c r="JY151" s="547"/>
      <c r="JZ151" s="547"/>
      <c r="KA151" s="546">
        <f>KA138*KA125</f>
        <v>614.4155844155847</v>
      </c>
      <c r="KB151" s="547"/>
      <c r="KC151" s="546">
        <f>KC138*KC125</f>
        <v>0</v>
      </c>
      <c r="KD151" s="547"/>
      <c r="KE151" s="546">
        <f>KE138*KE125</f>
        <v>702.44384380899555</v>
      </c>
      <c r="KF151" s="547"/>
      <c r="KG151" s="546">
        <f>KG138*KG125</f>
        <v>521.44336819260104</v>
      </c>
      <c r="KH151" s="547"/>
      <c r="KI151" s="546">
        <f>KI138*KI125</f>
        <v>0</v>
      </c>
      <c r="KJ151" s="547"/>
      <c r="KK151" s="546">
        <f>KK138*KK125</f>
        <v>0</v>
      </c>
      <c r="KL151" s="547"/>
      <c r="KM151" s="546">
        <f t="shared" ref="KM151:KU151" si="685">KM138*KM125</f>
        <v>96.233766233766573</v>
      </c>
      <c r="KN151" s="547"/>
      <c r="KO151" s="546">
        <f t="shared" si="685"/>
        <v>414.67662337662404</v>
      </c>
      <c r="KP151" s="547"/>
      <c r="KQ151" s="546">
        <f t="shared" si="685"/>
        <v>188.63636363636394</v>
      </c>
      <c r="KR151" s="547"/>
      <c r="KS151" s="546">
        <f t="shared" si="685"/>
        <v>163.38285714285746</v>
      </c>
      <c r="KT151" s="547"/>
      <c r="KU151" s="546">
        <f t="shared" si="685"/>
        <v>0</v>
      </c>
      <c r="KV151" s="547"/>
      <c r="KW151" s="546">
        <f>KW138*KW125</f>
        <v>0</v>
      </c>
      <c r="KX151" s="547"/>
      <c r="KY151" s="546">
        <f>KY138*KY125</f>
        <v>76.654545454545698</v>
      </c>
      <c r="KZ151" s="547"/>
      <c r="LA151" s="546">
        <f>LA138*LA125</f>
        <v>25.662337662337997</v>
      </c>
      <c r="LB151" s="547"/>
      <c r="LC151" s="546">
        <f>LC138*LC125</f>
        <v>86.120251532484033</v>
      </c>
      <c r="LD151" s="547"/>
      <c r="LE151" s="546">
        <f>LE138*LE125</f>
        <v>384.60000000000036</v>
      </c>
      <c r="LF151" s="547"/>
      <c r="LG151" s="546">
        <f>LG138*LG125</f>
        <v>0</v>
      </c>
      <c r="LH151" s="547"/>
      <c r="LI151" s="546">
        <f>LI138*LI125</f>
        <v>1140.0000000000009</v>
      </c>
      <c r="LJ151" s="547"/>
      <c r="LK151" s="546">
        <f>LK138*LK125</f>
        <v>384.60000000000036</v>
      </c>
      <c r="LL151" s="547"/>
      <c r="LM151" s="546">
        <f>LM138*LM125</f>
        <v>0</v>
      </c>
      <c r="LN151" s="547"/>
      <c r="LO151" s="546">
        <f>LO138*LO125</f>
        <v>760.00000000000068</v>
      </c>
      <c r="LP151" s="547"/>
      <c r="LQ151" s="546">
        <f>LQ138*LQ125</f>
        <v>-177.66233766233699</v>
      </c>
      <c r="LR151" s="547"/>
      <c r="LS151" s="546">
        <f>LS138*LS125</f>
        <v>2669.2000000000025</v>
      </c>
      <c r="LT151" s="547"/>
      <c r="LU151" s="546">
        <f>LU138*LU125</f>
        <v>3044.6000000000026</v>
      </c>
      <c r="LV151" s="547"/>
      <c r="LW151" s="546">
        <f>LW138*LW125</f>
        <v>5713.8000000000047</v>
      </c>
      <c r="LX151" s="547"/>
      <c r="LY151" s="546">
        <f>LY138*LY125</f>
        <v>7618.4000000000069</v>
      </c>
      <c r="LZ151" s="547"/>
      <c r="MA151" s="546">
        <f>MA138*MA125</f>
        <v>12947.600000000011</v>
      </c>
      <c r="MB151" s="547"/>
      <c r="MC151" s="546">
        <f>MC138*MC125</f>
        <v>18451.530303030322</v>
      </c>
      <c r="MD151" s="547"/>
      <c r="ME151" s="546">
        <f>ME138*ME125</f>
        <v>-7656.6857142856852</v>
      </c>
      <c r="MF151" s="547"/>
      <c r="MG151" s="546">
        <f>MG138*MG125</f>
        <v>0</v>
      </c>
      <c r="MH151" s="547"/>
      <c r="MI151" s="547"/>
      <c r="MJ151" s="547"/>
      <c r="MK151" s="547"/>
      <c r="ML151" s="547"/>
      <c r="MM151" s="547"/>
      <c r="MN151" s="547"/>
      <c r="MO151" s="547"/>
      <c r="MP151" s="547"/>
      <c r="MQ151" s="547"/>
      <c r="MR151" s="547"/>
      <c r="MS151" s="547"/>
      <c r="MT151" s="547"/>
      <c r="MU151" s="547"/>
      <c r="MV151" s="547"/>
      <c r="MW151" s="547"/>
      <c r="MX151" s="547"/>
      <c r="MY151" s="547"/>
      <c r="MZ151" s="547"/>
      <c r="NA151" s="547"/>
      <c r="NB151" s="547"/>
      <c r="NC151" s="547"/>
      <c r="ND151" s="546">
        <f>ND138*ND125</f>
        <v>0</v>
      </c>
      <c r="NE151" s="547"/>
      <c r="NF151" s="546">
        <f>NF138*NF125</f>
        <v>0</v>
      </c>
      <c r="NG151" s="547"/>
      <c r="NH151" s="546">
        <f>NH138*NH125</f>
        <v>602.13835216259167</v>
      </c>
      <c r="NI151" s="547"/>
      <c r="NJ151" s="546">
        <f>NJ138*NJ125</f>
        <v>513.11848813470408</v>
      </c>
      <c r="NK151" s="547"/>
      <c r="NL151" s="546">
        <f>NL138*NL125</f>
        <v>0</v>
      </c>
      <c r="NM151" s="547"/>
      <c r="NN151" s="546">
        <f>NN138*NN125</f>
        <v>0</v>
      </c>
      <c r="NO151" s="547"/>
      <c r="NP151" s="546">
        <f>NP138*NP125</f>
        <v>355.01536217793011</v>
      </c>
      <c r="NQ151" s="547"/>
      <c r="NR151" s="546">
        <f>NR138*NR125</f>
        <v>454.83714146815822</v>
      </c>
      <c r="NS151" s="547"/>
      <c r="NT151" s="546">
        <f>NT138*NT125</f>
        <v>0</v>
      </c>
      <c r="NU151" s="547"/>
      <c r="NV151" s="546">
        <f>NV138*NV125</f>
        <v>0</v>
      </c>
      <c r="NW151" s="547"/>
      <c r="NX151" s="546">
        <f>NX138*NX125</f>
        <v>0</v>
      </c>
      <c r="NY151" s="547"/>
      <c r="NZ151" s="546">
        <f>NZ138*NZ125</f>
        <v>219.1297520661164</v>
      </c>
      <c r="OA151" s="547"/>
      <c r="OB151" s="546">
        <f>OB138*OB125</f>
        <v>21.182644628099233</v>
      </c>
      <c r="OC151" s="547"/>
      <c r="OD151" s="546">
        <f>OD138*OD125</f>
        <v>104.80000000000075</v>
      </c>
      <c r="OE151" s="547"/>
      <c r="OF151" s="546">
        <f>OF138*OF125</f>
        <v>227.30682547371759</v>
      </c>
      <c r="OG151" s="547"/>
      <c r="OH151" s="546">
        <f>OH138*OH125</f>
        <v>0</v>
      </c>
      <c r="OI151" s="547"/>
      <c r="OJ151" s="546">
        <f>OJ138*OJ125</f>
        <v>0</v>
      </c>
      <c r="OK151" s="547"/>
      <c r="OL151" s="546">
        <f>OL138*OL125</f>
        <v>372.00000000000034</v>
      </c>
      <c r="OM151" s="547"/>
      <c r="ON151" s="546">
        <f>ON138*ON125</f>
        <v>355.20000000000033</v>
      </c>
      <c r="OO151" s="547"/>
      <c r="OP151" s="546">
        <f>OP138*OP125</f>
        <v>0</v>
      </c>
      <c r="OQ151" s="547"/>
      <c r="OR151" s="546">
        <f>OR138*OR125</f>
        <v>1645.6000000000015</v>
      </c>
      <c r="OS151" s="547"/>
      <c r="OT151" s="546">
        <f>OT138*OT125</f>
        <v>-254.3999999999985</v>
      </c>
      <c r="OU151" s="547"/>
      <c r="OV151" s="546">
        <f>OV138*OV125</f>
        <v>2372.800000000002</v>
      </c>
      <c r="OW151" s="547"/>
      <c r="OX151" s="546">
        <f>OX138*OX125</f>
        <v>4018.4000000000037</v>
      </c>
      <c r="OY151" s="547"/>
      <c r="OZ151" s="546">
        <f>OZ138*OZ125</f>
        <v>6391.2000000000053</v>
      </c>
      <c r="PA151" s="547"/>
      <c r="PB151" s="546">
        <f>PB138*PB125</f>
        <v>10037.600000000009</v>
      </c>
      <c r="PC151" s="547"/>
      <c r="PD151" s="546">
        <f>PD138*PD125</f>
        <v>16073.600000000015</v>
      </c>
      <c r="PE151" s="547"/>
      <c r="PF151" s="546">
        <f>PF138*PF125</f>
        <v>23598.880278723085</v>
      </c>
      <c r="PG151" s="547"/>
      <c r="PH151" s="546">
        <f>PH138*PH125</f>
        <v>-6267.1198833251938</v>
      </c>
      <c r="PI151" s="547"/>
      <c r="PJ151" s="546">
        <f>PJ138*PJ125</f>
        <v>-64.399999999998499</v>
      </c>
      <c r="PK151" s="547"/>
      <c r="PL151" s="546">
        <f>PL138*PL125</f>
        <v>-32.19999999999925</v>
      </c>
      <c r="PM151" s="547"/>
      <c r="PN151" s="546">
        <f>PN138*PN125</f>
        <v>-64.399999999998499</v>
      </c>
      <c r="PO151" s="547"/>
      <c r="PP151" s="546">
        <f>PP138*PP125</f>
        <v>-164.3999999999985</v>
      </c>
      <c r="PQ151" s="547"/>
      <c r="PR151" s="547"/>
      <c r="PS151" s="546">
        <f>PS138*PS125</f>
        <v>67.344827586207259</v>
      </c>
      <c r="PT151" s="547"/>
      <c r="PU151" s="546">
        <f>PU138*PU125</f>
        <v>67.344827586207259</v>
      </c>
      <c r="PV151" s="547"/>
      <c r="PW151" s="546">
        <f>PW138*PW125</f>
        <v>67.344827586207259</v>
      </c>
      <c r="PX151" s="547"/>
      <c r="PY151" s="546">
        <f>PY138*PY125</f>
        <v>67.344827586207259</v>
      </c>
      <c r="PZ151" s="547"/>
      <c r="QA151" s="546">
        <f>QA138*QA125</f>
        <v>67.344827586207259</v>
      </c>
      <c r="QB151" s="547"/>
      <c r="QC151" s="546">
        <f>QC138*QC125</f>
        <v>67.344827586207259</v>
      </c>
      <c r="QD151" s="547"/>
      <c r="QE151" s="547"/>
      <c r="QF151" s="547"/>
      <c r="QG151" s="546">
        <f>QG138*QG125</f>
        <v>67.344827586207259</v>
      </c>
      <c r="QH151" s="547"/>
      <c r="QI151" s="546">
        <f>QI138*QI125</f>
        <v>67.344827586207259</v>
      </c>
      <c r="QJ151" s="547"/>
      <c r="QK151" s="546">
        <f>QK138*QK125</f>
        <v>67.344827586207259</v>
      </c>
      <c r="QL151" s="547"/>
      <c r="QM151" s="546">
        <f>QM138*QM125</f>
        <v>67.344827586207259</v>
      </c>
      <c r="QN151" s="547"/>
      <c r="QO151" s="546">
        <f>QO138*QO125</f>
        <v>67.344827586205582</v>
      </c>
      <c r="QP151" s="547"/>
      <c r="QQ151" s="546">
        <f>QQ138*QQ125</f>
        <v>67.344827586205582</v>
      </c>
    </row>
    <row r="152" spans="1:459" x14ac:dyDescent="0.45">
      <c r="A152" s="549" t="s">
        <v>443</v>
      </c>
      <c r="B152" s="549"/>
      <c r="C152" s="549"/>
      <c r="D152" s="549"/>
      <c r="E152" s="549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  <c r="AA152" s="547"/>
      <c r="AB152" s="547"/>
      <c r="AC152" s="547"/>
      <c r="AD152" s="547"/>
      <c r="AE152" s="547"/>
      <c r="AF152" s="547"/>
      <c r="AG152" s="547"/>
      <c r="AH152" s="547"/>
      <c r="AI152" s="547"/>
      <c r="AJ152" s="549"/>
      <c r="AK152" s="549">
        <f>AK149+AK151</f>
        <v>8080.9156978746778</v>
      </c>
      <c r="AL152" s="549"/>
      <c r="AM152" s="549">
        <f>AM149+AM151</f>
        <v>0</v>
      </c>
      <c r="AN152" s="549"/>
      <c r="AO152" s="549">
        <f>AO149+AO151</f>
        <v>13921.419035539488</v>
      </c>
      <c r="AP152" s="549"/>
      <c r="AQ152" s="549">
        <f>AQ149+AQ151</f>
        <v>5612.4859627547075</v>
      </c>
      <c r="AR152" s="549"/>
      <c r="AS152" s="549">
        <f>AS149+AS151</f>
        <v>0</v>
      </c>
      <c r="AT152" s="549"/>
      <c r="AU152" s="549">
        <f>AU149+AU151</f>
        <v>0</v>
      </c>
      <c r="AV152" s="549"/>
      <c r="AW152" s="549">
        <f>AW149+AW151</f>
        <v>575.28302548632143</v>
      </c>
      <c r="AX152" s="549"/>
      <c r="AY152" s="549">
        <f>AY149+AY151</f>
        <v>4045.2770081056219</v>
      </c>
      <c r="AZ152" s="549"/>
      <c r="BA152" s="549">
        <f>BA149+BA151</f>
        <v>12890.156117170378</v>
      </c>
      <c r="BB152" s="549"/>
      <c r="BC152" s="549">
        <f>BC149+BC151</f>
        <v>0</v>
      </c>
      <c r="BD152" s="549"/>
      <c r="BE152" s="549">
        <f>BE149+BE151</f>
        <v>8021.8032142566071</v>
      </c>
      <c r="BF152" s="549"/>
      <c r="BG152" s="549">
        <f>BG149+BG151</f>
        <v>9087.8800393880665</v>
      </c>
      <c r="BH152" s="549"/>
      <c r="BI152" s="549">
        <f>BI149+BI151</f>
        <v>4686.3956948123296</v>
      </c>
      <c r="BJ152" s="549"/>
      <c r="BK152" s="549">
        <f>BK149+BK151</f>
        <v>4958.1458637393043</v>
      </c>
      <c r="BL152" s="549"/>
      <c r="BM152" s="549">
        <f>BM149+BM151</f>
        <v>4096.3842927653459</v>
      </c>
      <c r="BN152" s="549"/>
      <c r="BO152" s="549">
        <f>BO149+BO151</f>
        <v>8378.2665037852585</v>
      </c>
      <c r="BP152" s="549"/>
      <c r="BQ152" s="549">
        <f>BQ149+BQ151</f>
        <v>130.7068244916203</v>
      </c>
      <c r="BR152" s="549"/>
      <c r="BS152" s="549">
        <f>BS149+BS151</f>
        <v>22744.444177911264</v>
      </c>
      <c r="BT152" s="549"/>
      <c r="BU152" s="549">
        <f>BU149+BU151</f>
        <v>4242.6656781594475</v>
      </c>
      <c r="BV152" s="549"/>
      <c r="BW152" s="549">
        <f>BW149+BW151</f>
        <v>0</v>
      </c>
      <c r="BX152" s="549"/>
      <c r="BY152" s="549">
        <f>BY149+BY151</f>
        <v>22723.749373830084</v>
      </c>
      <c r="BZ152" s="549"/>
      <c r="CA152" s="549">
        <f>CA149+CA151</f>
        <v>19109.424234265385</v>
      </c>
      <c r="CB152" s="549"/>
      <c r="CC152" s="549">
        <f>CC149+CC151</f>
        <v>62769.281906483928</v>
      </c>
      <c r="CD152" s="549"/>
      <c r="CE152" s="549">
        <f>CE149+CE151</f>
        <v>22518.361409484038</v>
      </c>
      <c r="CF152" s="549"/>
      <c r="CG152" s="549">
        <f>CG149+CG151</f>
        <v>109117.65579864154</v>
      </c>
      <c r="CH152" s="549"/>
      <c r="CI152" s="549">
        <f>CI149+CI151</f>
        <v>113113.39691826723</v>
      </c>
      <c r="CJ152" s="549"/>
      <c r="CK152" s="549">
        <f>CK149+CK151</f>
        <v>229760.2601846662</v>
      </c>
      <c r="CL152" s="549"/>
      <c r="CM152" s="549">
        <f>CM149+CM151</f>
        <v>359373.17410853499</v>
      </c>
      <c r="CN152" s="549"/>
      <c r="CO152" s="549">
        <f>CO149+CO151</f>
        <v>519601.52240280341</v>
      </c>
      <c r="CP152" s="549"/>
      <c r="CQ152" s="549">
        <f>CQ149+CQ151</f>
        <v>7725.2905273919741</v>
      </c>
      <c r="CR152" s="549"/>
      <c r="CS152" s="549">
        <f>CS149+CS151</f>
        <v>7725.2905273919741</v>
      </c>
      <c r="CT152" s="549"/>
      <c r="CU152" s="549"/>
      <c r="CV152" s="549"/>
      <c r="CW152" s="549"/>
      <c r="CX152" s="549"/>
      <c r="CY152" s="549"/>
      <c r="CZ152" s="549"/>
      <c r="DA152" s="549"/>
      <c r="DB152" s="549"/>
      <c r="DC152" s="549"/>
      <c r="DD152" s="549"/>
      <c r="DE152" s="549"/>
      <c r="DF152" s="549"/>
      <c r="DG152" s="549"/>
      <c r="DH152" s="549"/>
      <c r="DI152" s="549"/>
      <c r="DJ152" s="549">
        <f>DJ149+DJ151</f>
        <v>41.372329553039982</v>
      </c>
      <c r="DK152" s="549"/>
      <c r="DL152" s="549">
        <f>DL149+DL151</f>
        <v>23788.842832820112</v>
      </c>
      <c r="DM152" s="549"/>
      <c r="DN152" s="549">
        <f>DN149+DN151</f>
        <v>18505.674319483245</v>
      </c>
      <c r="DO152" s="549"/>
      <c r="DP152" s="549">
        <f>DP149+DP151</f>
        <v>11017.505710744075</v>
      </c>
      <c r="DQ152" s="549"/>
      <c r="DR152" s="549">
        <f>DR149+DR151</f>
        <v>0</v>
      </c>
      <c r="DS152" s="549"/>
      <c r="DT152" s="549">
        <f>DT149+DT151</f>
        <v>0</v>
      </c>
      <c r="DU152" s="549"/>
      <c r="DV152" s="549">
        <f>DV149+DV151</f>
        <v>0</v>
      </c>
      <c r="DW152" s="549"/>
      <c r="DX152" s="549">
        <f>DX149+DX151</f>
        <v>0</v>
      </c>
      <c r="DY152" s="549"/>
      <c r="DZ152" s="549">
        <f>DZ149+DZ151</f>
        <v>10226.186074429632</v>
      </c>
      <c r="EA152" s="549"/>
      <c r="EB152" s="549">
        <f>EB149+EB151</f>
        <v>15052.808144231014</v>
      </c>
      <c r="EC152" s="549"/>
      <c r="ED152" s="549">
        <f>ED149+ED151</f>
        <v>10569.194639137524</v>
      </c>
      <c r="EE152" s="549"/>
      <c r="EF152" s="549">
        <f>EF149+EF151</f>
        <v>5963.4464184082317</v>
      </c>
      <c r="EG152" s="549"/>
      <c r="EH152" s="549">
        <f>EH149+EH151</f>
        <v>12073.587804443419</v>
      </c>
      <c r="EI152" s="549"/>
      <c r="EJ152" s="549">
        <f>EJ149+EJ151</f>
        <v>10546.542714334764</v>
      </c>
      <c r="EK152" s="549"/>
      <c r="EL152" s="549">
        <f>EL149+EL151</f>
        <v>9933.5720730401626</v>
      </c>
      <c r="EM152" s="549"/>
      <c r="EN152" s="549">
        <f>EN149+EN151</f>
        <v>6177.7590522496812</v>
      </c>
      <c r="EO152" s="549"/>
      <c r="EP152" s="549">
        <f>EP149+EP151</f>
        <v>19362.48250487959</v>
      </c>
      <c r="EQ152" s="549"/>
      <c r="ER152" s="549">
        <f>ER149+ER151</f>
        <v>19344.537928883125</v>
      </c>
      <c r="ES152" s="549"/>
      <c r="ET152" s="549">
        <f>ET149+ET151</f>
        <v>17840.07583835991</v>
      </c>
      <c r="EU152" s="549"/>
      <c r="EV152" s="549">
        <f>EV149+EV151</f>
        <v>0</v>
      </c>
      <c r="EW152" s="549"/>
      <c r="EX152" s="549">
        <f>EX149+EX151</f>
        <v>18655.357824302988</v>
      </c>
      <c r="EY152" s="549"/>
      <c r="EZ152" s="549">
        <f>EZ149+EZ151</f>
        <v>15442.747724413184</v>
      </c>
      <c r="FA152" s="549"/>
      <c r="FB152" s="549">
        <f>FB149+FB151</f>
        <v>70218.492122959142</v>
      </c>
      <c r="FC152" s="549"/>
      <c r="FD152" s="549">
        <f>FD149+FD151</f>
        <v>163144.61511668257</v>
      </c>
      <c r="FE152" s="549"/>
      <c r="FF152" s="549">
        <f>FF149+FF151</f>
        <v>379263.48728034022</v>
      </c>
      <c r="FG152" s="549"/>
      <c r="FH152" s="549">
        <f>FH149+FH151</f>
        <v>678285.91185816331</v>
      </c>
      <c r="FI152" s="549"/>
      <c r="FJ152" s="549">
        <f>FJ149+FJ151</f>
        <v>1280918.5023750314</v>
      </c>
      <c r="FK152" s="549"/>
      <c r="FL152" s="549">
        <f>FL149+FL151</f>
        <v>2545295.5680901934</v>
      </c>
      <c r="FM152" s="549"/>
      <c r="FN152" s="549">
        <f>FN149+FN151</f>
        <v>4992171.7899230123</v>
      </c>
      <c r="FO152" s="549"/>
      <c r="FP152" s="549">
        <f>FP149+FP151</f>
        <v>9966779.5077991169</v>
      </c>
      <c r="FQ152" s="547"/>
      <c r="FR152" s="547"/>
      <c r="FS152" s="547"/>
      <c r="FT152" s="547"/>
      <c r="FU152" s="547"/>
      <c r="FV152" s="547"/>
      <c r="FW152" s="547"/>
      <c r="FX152" s="547"/>
      <c r="FY152" s="547"/>
      <c r="FZ152" s="547"/>
      <c r="GA152" s="547"/>
      <c r="GB152" s="547"/>
      <c r="GC152" s="547"/>
      <c r="GD152" s="547"/>
      <c r="GE152" s="547"/>
      <c r="GF152" s="547"/>
      <c r="GG152" s="547"/>
      <c r="GH152" s="547"/>
      <c r="GI152" s="547"/>
      <c r="GJ152" s="547"/>
      <c r="GK152" s="547"/>
      <c r="GL152" s="547"/>
      <c r="GM152" s="547"/>
      <c r="GN152" s="547"/>
      <c r="GO152" s="547"/>
      <c r="GP152" s="549"/>
      <c r="GQ152" s="549">
        <f>GQ149+GQ151</f>
        <v>0</v>
      </c>
      <c r="GR152" s="549"/>
      <c r="GS152" s="549">
        <f>GS149+GS151</f>
        <v>3193.2606103277703</v>
      </c>
      <c r="GT152" s="549"/>
      <c r="GU152" s="549">
        <f>GU149+GU151</f>
        <v>0</v>
      </c>
      <c r="GV152" s="549"/>
      <c r="GW152" s="549">
        <f>GW149+GW151</f>
        <v>1638.5217105905481</v>
      </c>
      <c r="GX152" s="547"/>
      <c r="GY152" s="547"/>
      <c r="GZ152" s="547"/>
      <c r="HA152" s="547"/>
      <c r="HB152" s="549"/>
      <c r="HC152" s="549">
        <f>HC149+HC151</f>
        <v>0</v>
      </c>
      <c r="HD152" s="549"/>
      <c r="HE152" s="549">
        <f>HE149+HE151</f>
        <v>3683.1849112294144</v>
      </c>
      <c r="HF152" s="549"/>
      <c r="HG152" s="549">
        <f>HG149+HG151</f>
        <v>0</v>
      </c>
      <c r="HH152" s="549"/>
      <c r="HI152" s="549">
        <f>HI149+HI151</f>
        <v>0</v>
      </c>
      <c r="HJ152" s="549"/>
      <c r="HK152" s="549">
        <f>HK149+HK151</f>
        <v>0</v>
      </c>
      <c r="HL152" s="549"/>
      <c r="HM152" s="549">
        <f>HM149+HM151</f>
        <v>4177.5834132076398</v>
      </c>
      <c r="HN152" s="549"/>
      <c r="HO152" s="549">
        <f>HO149+HO151</f>
        <v>0</v>
      </c>
      <c r="HP152" s="549"/>
      <c r="HQ152" s="549">
        <f>HQ149+HQ151</f>
        <v>0</v>
      </c>
      <c r="HR152" s="549"/>
      <c r="HS152" s="549">
        <f>HS149+HS151</f>
        <v>0</v>
      </c>
      <c r="HT152" s="549"/>
      <c r="HU152" s="549">
        <f>HU149+HU151</f>
        <v>0</v>
      </c>
      <c r="HV152" s="549"/>
      <c r="HW152" s="549">
        <f>HW149+HW151</f>
        <v>0</v>
      </c>
      <c r="HX152" s="549"/>
      <c r="HY152" s="549">
        <f>HY149+HY151</f>
        <v>0</v>
      </c>
      <c r="HZ152" s="549"/>
      <c r="IA152" s="549">
        <f>IA149+IA151</f>
        <v>0</v>
      </c>
      <c r="IB152" s="549"/>
      <c r="IC152" s="549">
        <f>IC149+IC151</f>
        <v>7803.4179322390473</v>
      </c>
      <c r="ID152" s="549"/>
      <c r="IE152" s="549">
        <f>IE149+IE151</f>
        <v>0</v>
      </c>
      <c r="IF152" s="549"/>
      <c r="IG152" s="549">
        <f>IG149+IG151</f>
        <v>0</v>
      </c>
      <c r="IH152" s="549"/>
      <c r="II152" s="549">
        <f>II149+II151</f>
        <v>0</v>
      </c>
      <c r="IJ152" s="549"/>
      <c r="IK152" s="549">
        <f>IK149+IK151</f>
        <v>0</v>
      </c>
      <c r="IL152" s="549"/>
      <c r="IM152" s="549">
        <f>IM149+IM151</f>
        <v>0</v>
      </c>
      <c r="IN152" s="549"/>
      <c r="IO152" s="549">
        <f>IO149+IO151</f>
        <v>0</v>
      </c>
      <c r="IP152" s="549"/>
      <c r="IQ152" s="549">
        <f>IQ149+IQ151</f>
        <v>0</v>
      </c>
      <c r="IR152" s="549"/>
      <c r="IS152" s="549">
        <f>IS149+IS151</f>
        <v>0</v>
      </c>
      <c r="IT152" s="549"/>
      <c r="IU152" s="549">
        <f>IU149+IU151</f>
        <v>0</v>
      </c>
      <c r="IV152" s="549"/>
      <c r="IW152" s="549">
        <f>IW149+IW151</f>
        <v>0</v>
      </c>
      <c r="IX152" s="549"/>
      <c r="IY152" s="549">
        <f>IY149+IY151</f>
        <v>0</v>
      </c>
      <c r="IZ152" s="550"/>
      <c r="JA152" s="547"/>
      <c r="JB152" s="547"/>
      <c r="JC152" s="547"/>
      <c r="JD152" s="547"/>
      <c r="JE152" s="547"/>
      <c r="JF152" s="547"/>
      <c r="JG152" s="547"/>
      <c r="JH152" s="547"/>
      <c r="JI152" s="547"/>
      <c r="JJ152" s="547"/>
      <c r="JK152" s="547"/>
      <c r="JL152" s="547"/>
      <c r="JM152" s="547"/>
      <c r="JN152" s="547"/>
      <c r="JO152" s="547"/>
      <c r="JP152" s="547"/>
      <c r="JQ152" s="547"/>
      <c r="JR152" s="547"/>
      <c r="JS152" s="547"/>
      <c r="JT152" s="547"/>
      <c r="JU152" s="547"/>
      <c r="JV152" s="547"/>
      <c r="JW152" s="547"/>
      <c r="JX152" s="547"/>
      <c r="JY152" s="547"/>
      <c r="JZ152" s="547"/>
      <c r="KA152" s="549">
        <f>KA149+KA151</f>
        <v>2631.5662291943991</v>
      </c>
      <c r="KB152" s="547"/>
      <c r="KC152" s="549">
        <f>KC149+KC151</f>
        <v>0</v>
      </c>
      <c r="KD152" s="547"/>
      <c r="KE152" s="549">
        <f>KE149+KE151</f>
        <v>3009.27336066613</v>
      </c>
      <c r="KF152" s="547"/>
      <c r="KG152" s="549">
        <f>KG149+KG151</f>
        <v>1538.2266442459832</v>
      </c>
      <c r="KH152" s="547"/>
      <c r="KI152" s="549">
        <f>KI149+KI151</f>
        <v>0</v>
      </c>
      <c r="KJ152" s="547"/>
      <c r="KK152" s="549">
        <f>KK149+KK151</f>
        <v>0</v>
      </c>
      <c r="KL152" s="547"/>
      <c r="KM152" s="549">
        <f t="shared" ref="KM152:KU152" si="686">KM149+KM151</f>
        <v>1855.9874654009407</v>
      </c>
      <c r="KN152" s="547"/>
      <c r="KO152" s="549">
        <f t="shared" si="686"/>
        <v>4937.8463690588524</v>
      </c>
      <c r="KP152" s="547"/>
      <c r="KQ152" s="549">
        <f t="shared" si="686"/>
        <v>1916.7877404318597</v>
      </c>
      <c r="KR152" s="547"/>
      <c r="KS152" s="549">
        <f t="shared" si="686"/>
        <v>2365.1086937422815</v>
      </c>
      <c r="KT152" s="547"/>
      <c r="KU152" s="549">
        <f t="shared" si="686"/>
        <v>0</v>
      </c>
      <c r="KV152" s="547"/>
      <c r="KW152" s="549">
        <f>KW149+KW151</f>
        <v>0</v>
      </c>
      <c r="KX152" s="547"/>
      <c r="KY152" s="549">
        <f>KY149+KY151</f>
        <v>2206.4845986149853</v>
      </c>
      <c r="KZ152" s="547"/>
      <c r="LA152" s="549">
        <f>LA149+LA151</f>
        <v>3245.6461682580275</v>
      </c>
      <c r="LB152" s="547"/>
      <c r="LC152" s="549">
        <f>LC149+LC151</f>
        <v>2463.3915575867559</v>
      </c>
      <c r="LD152" s="547"/>
      <c r="LE152" s="549">
        <f>LE149+LE151</f>
        <v>2697.7551465347146</v>
      </c>
      <c r="LF152" s="547"/>
      <c r="LG152" s="549">
        <f>LG149+LG151</f>
        <v>0</v>
      </c>
      <c r="LH152" s="547"/>
      <c r="LI152" s="549">
        <f>LI149+LI151</f>
        <v>8874.1132293555529</v>
      </c>
      <c r="LJ152" s="547"/>
      <c r="LK152" s="549">
        <f>LK149+LK151</f>
        <v>2397.5963247334348</v>
      </c>
      <c r="LL152" s="547"/>
      <c r="LM152" s="549">
        <f>LM149+LM151</f>
        <v>0</v>
      </c>
      <c r="LN152" s="547"/>
      <c r="LO152" s="549">
        <f>LO149+LO151</f>
        <v>6333.5972559487791</v>
      </c>
      <c r="LP152" s="547"/>
      <c r="LQ152" s="549">
        <f>LQ149+LQ151</f>
        <v>4878.224786964498</v>
      </c>
      <c r="LR152" s="547"/>
      <c r="LS152" s="549">
        <f>LS149+LS151</f>
        <v>17494.9687911008</v>
      </c>
      <c r="LT152" s="547"/>
      <c r="LU152" s="549">
        <f>LU149+LU151</f>
        <v>17755.162689978686</v>
      </c>
      <c r="LV152" s="547"/>
      <c r="LW152" s="549">
        <f>LW149+LW151</f>
        <v>35563.96251118755</v>
      </c>
      <c r="LX152" s="547"/>
      <c r="LY152" s="549">
        <f>LY149+LY151</f>
        <v>50379.684669196773</v>
      </c>
      <c r="LZ152" s="547"/>
      <c r="MA152" s="549">
        <f>MA149+MA151</f>
        <v>89925.394374258438</v>
      </c>
      <c r="MB152" s="547"/>
      <c r="MC152" s="549">
        <f>MC149+MC151</f>
        <v>138125.47299443651</v>
      </c>
      <c r="MD152" s="547"/>
      <c r="ME152" s="549">
        <f>ME149+ME151</f>
        <v>272263.34166629822</v>
      </c>
      <c r="MF152" s="547"/>
      <c r="MG152" s="549">
        <f>MG149+MG151</f>
        <v>0</v>
      </c>
      <c r="MH152" s="547"/>
      <c r="MI152" s="547"/>
      <c r="MJ152" s="547"/>
      <c r="MK152" s="547"/>
      <c r="ML152" s="547"/>
      <c r="MM152" s="547"/>
      <c r="MN152" s="547"/>
      <c r="MO152" s="547"/>
      <c r="MP152" s="547"/>
      <c r="MQ152" s="547"/>
      <c r="MR152" s="547"/>
      <c r="MS152" s="547"/>
      <c r="MT152" s="547"/>
      <c r="MU152" s="547"/>
      <c r="MV152" s="547"/>
      <c r="MW152" s="547"/>
      <c r="MX152" s="547"/>
      <c r="MY152" s="547"/>
      <c r="MZ152" s="547"/>
      <c r="NA152" s="547"/>
      <c r="NB152" s="547"/>
      <c r="NC152" s="547"/>
      <c r="ND152" s="549">
        <f>ND149+ND151</f>
        <v>0</v>
      </c>
      <c r="NE152" s="547"/>
      <c r="NF152" s="549">
        <f>NF149+NF151</f>
        <v>0</v>
      </c>
      <c r="NG152" s="547"/>
      <c r="NH152" s="549">
        <f>NH149+NH151</f>
        <v>2926.5092453989914</v>
      </c>
      <c r="NI152" s="547"/>
      <c r="NJ152" s="549">
        <f>NJ149+NJ151</f>
        <v>2071.4714746042632</v>
      </c>
      <c r="NK152" s="547"/>
      <c r="NL152" s="549">
        <f>NL149+NL151</f>
        <v>0</v>
      </c>
      <c r="NM152" s="547"/>
      <c r="NN152" s="549">
        <f>NN149+NN151</f>
        <v>0</v>
      </c>
      <c r="NO152" s="547"/>
      <c r="NP152" s="549">
        <f>NP149+NP151</f>
        <v>7663.15939882158</v>
      </c>
      <c r="NQ152" s="547"/>
      <c r="NR152" s="549">
        <f>NR149+NR151</f>
        <v>6425.1157623068166</v>
      </c>
      <c r="NS152" s="547"/>
      <c r="NT152" s="549">
        <f>NT149+NT151</f>
        <v>0</v>
      </c>
      <c r="NU152" s="547"/>
      <c r="NV152" s="549">
        <f>NV149+NV151</f>
        <v>0</v>
      </c>
      <c r="NW152" s="547"/>
      <c r="NX152" s="549">
        <f>NX149+NX151</f>
        <v>0</v>
      </c>
      <c r="NY152" s="547"/>
      <c r="NZ152" s="549">
        <f>NZ149+NZ151</f>
        <v>5263.5779055497505</v>
      </c>
      <c r="OA152" s="547"/>
      <c r="OB152" s="549">
        <f>OB149+OB151</f>
        <v>588.80243700131484</v>
      </c>
      <c r="OC152" s="547"/>
      <c r="OD152" s="549">
        <f>OD149+OD151</f>
        <v>7515.1422682364455</v>
      </c>
      <c r="OE152" s="547"/>
      <c r="OF152" s="549">
        <f>OF149+OF151</f>
        <v>6196.7395722631545</v>
      </c>
      <c r="OG152" s="547"/>
      <c r="OH152" s="549">
        <f>OH149+OH151</f>
        <v>0</v>
      </c>
      <c r="OI152" s="547"/>
      <c r="OJ152" s="549">
        <f>OJ149+OJ151</f>
        <v>0</v>
      </c>
      <c r="OK152" s="547"/>
      <c r="OL152" s="549">
        <f>OL149+OL151</f>
        <v>2949.185561084686</v>
      </c>
      <c r="OM152" s="547"/>
      <c r="ON152" s="549">
        <f>ON149+ON151</f>
        <v>2403.7289864695585</v>
      </c>
      <c r="OO152" s="547"/>
      <c r="OP152" s="549">
        <f>OP149+OP151</f>
        <v>0</v>
      </c>
      <c r="OQ152" s="547"/>
      <c r="OR152" s="549">
        <f>OR149+OR151</f>
        <v>12562.062178291128</v>
      </c>
      <c r="OS152" s="547"/>
      <c r="OT152" s="549">
        <f>OT149+OT151</f>
        <v>10020.432309284792</v>
      </c>
      <c r="OU152" s="547"/>
      <c r="OV152" s="549">
        <f>OV149+OV151</f>
        <v>10177.469457981621</v>
      </c>
      <c r="OW152" s="547"/>
      <c r="OX152" s="549">
        <f>OX149+OX151</f>
        <v>14359.789360413402</v>
      </c>
      <c r="OY152" s="547"/>
      <c r="OZ152" s="549">
        <f>OZ149+OZ151</f>
        <v>25323.527944321813</v>
      </c>
      <c r="PA152" s="547"/>
      <c r="PB152" s="549">
        <f>PB149+PB151</f>
        <v>43635.125968636537</v>
      </c>
      <c r="PC152" s="547"/>
      <c r="PD152" s="549">
        <f>PD149+PD151</f>
        <v>75166.464859272077</v>
      </c>
      <c r="PE152" s="547"/>
      <c r="PF152" s="549">
        <f>PF149+PF151</f>
        <v>155785.07140486781</v>
      </c>
      <c r="PG152" s="547"/>
      <c r="PH152" s="549">
        <f>PH149+PH151</f>
        <v>322012.39509694016</v>
      </c>
      <c r="PI152" s="547"/>
      <c r="PJ152" s="549">
        <f>PJ149+PJ151</f>
        <v>12771.614809256826</v>
      </c>
      <c r="PK152" s="547"/>
      <c r="PL152" s="549">
        <f>PL149+PL151</f>
        <v>6109.78547368421</v>
      </c>
      <c r="PM152" s="547"/>
      <c r="PN152" s="549">
        <f>PN149+PN151</f>
        <v>13570.919703703703</v>
      </c>
      <c r="PO152" s="547"/>
      <c r="PP152" s="549">
        <f>PP149+PP151</f>
        <v>13470.919703703703</v>
      </c>
      <c r="PQ152" s="547"/>
      <c r="PR152" s="547"/>
      <c r="PS152" s="549">
        <f>PS149+PS151</f>
        <v>5814.6360784157077</v>
      </c>
      <c r="PT152" s="547"/>
      <c r="PU152" s="549">
        <f>PU149+PU151</f>
        <v>6376.9700127713913</v>
      </c>
      <c r="PV152" s="547"/>
      <c r="PW152" s="549">
        <f>PW149+PW151</f>
        <v>5814.6360784157077</v>
      </c>
      <c r="PX152" s="547"/>
      <c r="PY152" s="549">
        <f>PY149+PY151</f>
        <v>6376.9700127713913</v>
      </c>
      <c r="PZ152" s="547"/>
      <c r="QA152" s="549">
        <f>QA149+QA151</f>
        <v>5733.3992190510762</v>
      </c>
      <c r="QB152" s="547"/>
      <c r="QC152" s="549">
        <f>QC149+QC151</f>
        <v>6302.762327586207</v>
      </c>
      <c r="QD152" s="547"/>
      <c r="QE152" s="547"/>
      <c r="QF152" s="547"/>
      <c r="QG152" s="549">
        <f>QG149+QG151</f>
        <v>4659.8455683269476</v>
      </c>
      <c r="QH152" s="547"/>
      <c r="QI152" s="549">
        <f>QI149+QI151</f>
        <v>5180.1863090676889</v>
      </c>
      <c r="QJ152" s="547"/>
      <c r="QK152" s="549">
        <f>QK149+QK151</f>
        <v>4659.8455683269476</v>
      </c>
      <c r="QL152" s="547"/>
      <c r="QM152" s="549">
        <f>QM149+QM151</f>
        <v>5180.1863090676889</v>
      </c>
      <c r="QN152" s="547"/>
      <c r="QO152" s="549">
        <f>QO149+QO151</f>
        <v>3290.8855683269462</v>
      </c>
      <c r="QP152" s="547"/>
      <c r="QQ152" s="549">
        <f>QQ149+QQ151</f>
        <v>3811.226309067687</v>
      </c>
    </row>
    <row r="153" spans="1:459" x14ac:dyDescent="0.45">
      <c r="A153" s="551" t="s">
        <v>444</v>
      </c>
      <c r="B153" s="551"/>
      <c r="C153" s="551"/>
      <c r="D153" s="551"/>
      <c r="E153" s="551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  <c r="AA153" s="547"/>
      <c r="AB153" s="547"/>
      <c r="AC153" s="547"/>
      <c r="AD153" s="547"/>
      <c r="AE153" s="547"/>
      <c r="AF153" s="547"/>
      <c r="AG153" s="547"/>
      <c r="AH153" s="547"/>
      <c r="AI153" s="547"/>
      <c r="AJ153" s="551"/>
      <c r="AK153" s="552">
        <f>IFERROR(AK152/AK$139,0)</f>
        <v>0.29958943465852078</v>
      </c>
      <c r="AL153" s="551"/>
      <c r="AM153" s="552">
        <f>IFERROR(AM152/AM$139,0)</f>
        <v>0</v>
      </c>
      <c r="AN153" s="551"/>
      <c r="AO153" s="552">
        <f>IFERROR(AO152/AO$139,0)</f>
        <v>0.2627637214561796</v>
      </c>
      <c r="AP153" s="551"/>
      <c r="AQ153" s="552">
        <f>IFERROR(AQ152/AQ$139,0)</f>
        <v>0.23414626461221141</v>
      </c>
      <c r="AR153" s="551"/>
      <c r="AS153" s="552">
        <f>IFERROR(AS152/AS$139,0)</f>
        <v>0</v>
      </c>
      <c r="AT153" s="551"/>
      <c r="AU153" s="552">
        <f>IFERROR(AU152/AU$139,0)</f>
        <v>0</v>
      </c>
      <c r="AV153" s="551"/>
      <c r="AW153" s="552">
        <f>IFERROR(AW152/AW$139,0)</f>
        <v>0.23935718466634276</v>
      </c>
      <c r="AX153" s="551"/>
      <c r="AY153" s="552">
        <f>IFERROR(AY152/AY$139,0)</f>
        <v>0.28238985337714595</v>
      </c>
      <c r="AZ153" s="551"/>
      <c r="BA153" s="552">
        <f>IFERROR(BA152/BA$139,0)</f>
        <v>0.29312430837873704</v>
      </c>
      <c r="BB153" s="551"/>
      <c r="BC153" s="552">
        <f>IFERROR(BC152/BC$139,0)</f>
        <v>0</v>
      </c>
      <c r="BD153" s="551"/>
      <c r="BE153" s="552">
        <f>IFERROR(BE152/BE$139,0)</f>
        <v>0.28570727692618897</v>
      </c>
      <c r="BF153" s="551"/>
      <c r="BG153" s="552">
        <f>IFERROR(BG152/BG$139,0)</f>
        <v>0.31834352828587076</v>
      </c>
      <c r="BH153" s="551"/>
      <c r="BI153" s="552">
        <f>IFERROR(BI152/BI$139,0)</f>
        <v>0.34746858661419711</v>
      </c>
      <c r="BJ153" s="551"/>
      <c r="BK153" s="552">
        <f>IFERROR(BK152/BK$139,0)</f>
        <v>0.34593726591587681</v>
      </c>
      <c r="BL153" s="551"/>
      <c r="BM153" s="552">
        <f>IFERROR(BM152/BM$139,0)</f>
        <v>0.2858108698946692</v>
      </c>
      <c r="BN153" s="551"/>
      <c r="BO153" s="552">
        <f>IFERROR(BO152/BO$139,0)</f>
        <v>0.29280765594570607</v>
      </c>
      <c r="BP153" s="551"/>
      <c r="BQ153" s="552">
        <f>IFERROR(BQ152/BQ$139,0)</f>
        <v>0.27358832965278973</v>
      </c>
      <c r="BR153" s="551"/>
      <c r="BS153" s="552">
        <f>IFERROR(BS152/BS$139,0)</f>
        <v>0.32325103949403139</v>
      </c>
      <c r="BT153" s="551"/>
      <c r="BU153" s="552">
        <f>IFERROR(BU152/BU$139,0)</f>
        <v>0.29601714133329476</v>
      </c>
      <c r="BV153" s="551"/>
      <c r="BW153" s="552">
        <f>IFERROR(BW152/BW$139,0)</f>
        <v>0</v>
      </c>
      <c r="BX153" s="551"/>
      <c r="BY153" s="552">
        <f>IFERROR(BY152/BY$139,0)</f>
        <v>0.32813272993775006</v>
      </c>
      <c r="BZ153" s="551"/>
      <c r="CA153" s="552">
        <f>IFERROR(CA152/CA$139,0)</f>
        <v>0.27594159037634292</v>
      </c>
      <c r="CB153" s="551"/>
      <c r="CC153" s="552">
        <f>IFERROR(CC152/CC$139,0)</f>
        <v>0.34293211077475261</v>
      </c>
      <c r="CD153" s="551"/>
      <c r="CE153" s="552">
        <f>IFERROR(CE152/CE$139,0)</f>
        <v>0.32516691156295136</v>
      </c>
      <c r="CF153" s="551"/>
      <c r="CG153" s="552">
        <f>IFERROR(CG152/CG$139,0)</f>
        <v>0.26860755499260042</v>
      </c>
      <c r="CH153" s="551"/>
      <c r="CI153" s="552">
        <f>IFERROR(CI152/CI$139,0)</f>
        <v>0.27920640454306406</v>
      </c>
      <c r="CJ153" s="551"/>
      <c r="CK153" s="552">
        <f>IFERROR(CK152/CK$139,0)</f>
        <v>0.28827174120798371</v>
      </c>
      <c r="CL153" s="551"/>
      <c r="CM153" s="552">
        <f>IFERROR(CM152/CM$139,0)</f>
        <v>0.29894171732670838</v>
      </c>
      <c r="CN153" s="551"/>
      <c r="CO153" s="552">
        <f>IFERROR(CO152/CO$139,0)</f>
        <v>0.26923387481920796</v>
      </c>
      <c r="CP153" s="551"/>
      <c r="CQ153" s="552">
        <f>IFERROR(CQ152/CQ$139,0)</f>
        <v>0.26998713991769546</v>
      </c>
      <c r="CR153" s="551"/>
      <c r="CS153" s="552">
        <f>IFERROR(CS152/CS$139,0)</f>
        <v>0.26998713991769546</v>
      </c>
      <c r="CT153" s="551"/>
      <c r="CU153" s="551"/>
      <c r="CV153" s="551"/>
      <c r="CW153" s="551"/>
      <c r="CX153" s="551"/>
      <c r="CY153" s="551"/>
      <c r="CZ153" s="551"/>
      <c r="DA153" s="551"/>
      <c r="DB153" s="551"/>
      <c r="DC153" s="551"/>
      <c r="DD153" s="551"/>
      <c r="DE153" s="551"/>
      <c r="DF153" s="551"/>
      <c r="DG153" s="551"/>
      <c r="DH153" s="551"/>
      <c r="DI153" s="551"/>
      <c r="DJ153" s="552">
        <f>IFERROR(DJ152/DJ$139,0)</f>
        <v>0.29467471191623917</v>
      </c>
      <c r="DK153" s="551"/>
      <c r="DL153" s="552">
        <f>IFERROR(DL152/DL$139,0)</f>
        <v>0.2578501560055248</v>
      </c>
      <c r="DM153" s="551"/>
      <c r="DN153" s="552">
        <f>IFERROR(DN152/DN$139,0)</f>
        <v>0.26111846232134028</v>
      </c>
      <c r="DO153" s="551"/>
      <c r="DP153" s="552">
        <f>IFERROR(DP152/DP$139,0)</f>
        <v>0.26167112488823197</v>
      </c>
      <c r="DQ153" s="551"/>
      <c r="DR153" s="552">
        <f>IFERROR(DR152/DR$139,0)</f>
        <v>0</v>
      </c>
      <c r="DS153" s="551"/>
      <c r="DT153" s="552">
        <f>IFERROR(DT152/DT$139,0)</f>
        <v>0</v>
      </c>
      <c r="DU153" s="551"/>
      <c r="DV153" s="552">
        <f>IFERROR(DV152/DV$139,0)</f>
        <v>0</v>
      </c>
      <c r="DW153" s="551"/>
      <c r="DX153" s="552">
        <f>IFERROR(DX152/DX$139,0)</f>
        <v>0</v>
      </c>
      <c r="DY153" s="551"/>
      <c r="DZ153" s="552">
        <f>IFERROR(DZ152/DZ$139,0)</f>
        <v>0.26952331071786706</v>
      </c>
      <c r="EA153" s="551"/>
      <c r="EB153" s="552">
        <f>IFERROR(EB152/EB$139,0)</f>
        <v>0.24924044515859645</v>
      </c>
      <c r="EC153" s="551"/>
      <c r="ED153" s="552">
        <f>IFERROR(ED152/ED$139,0)</f>
        <v>0.26822933297645013</v>
      </c>
      <c r="EE153" s="551"/>
      <c r="EF153" s="552">
        <f>IFERROR(EF152/EF$139,0)</f>
        <v>0.28476181900657088</v>
      </c>
      <c r="EG153" s="551"/>
      <c r="EH153" s="552">
        <f>IFERROR(EH152/EH$139,0)</f>
        <v>0.2801348471536228</v>
      </c>
      <c r="EI153" s="551"/>
      <c r="EJ153" s="552">
        <f>IFERROR(EJ152/EJ$139,0)</f>
        <v>0.26956467556227171</v>
      </c>
      <c r="EK153" s="551"/>
      <c r="EL153" s="552">
        <f>IFERROR(EL152/EL$139,0)</f>
        <v>0.25389743402868453</v>
      </c>
      <c r="EM153" s="551"/>
      <c r="EN153" s="552">
        <f>IFERROR(EN152/EN$139,0)</f>
        <v>0.31659871429924213</v>
      </c>
      <c r="EO153" s="551"/>
      <c r="EP153" s="552">
        <f>IFERROR(EP152/EP$139,0)</f>
        <v>0.25124513248859864</v>
      </c>
      <c r="EQ153" s="551"/>
      <c r="ER153" s="552">
        <f>IFERROR(ER152/ER$139,0)</f>
        <v>0.31541233143923458</v>
      </c>
      <c r="ES153" s="551"/>
      <c r="ET153" s="552">
        <f>IFERROR(ET152/ET$139,0)</f>
        <v>0.29189835531127023</v>
      </c>
      <c r="EU153" s="551"/>
      <c r="EV153" s="552">
        <f>IFERROR(EV152/EV$139,0)</f>
        <v>0</v>
      </c>
      <c r="EW153" s="551"/>
      <c r="EX153" s="552">
        <f>IFERROR(EX152/EX$139,0)</f>
        <v>0.30897454589319323</v>
      </c>
      <c r="EY153" s="551"/>
      <c r="EZ153" s="552">
        <f>IFERROR(EZ152/EZ$139,0)</f>
        <v>0.25576652082640927</v>
      </c>
      <c r="FA153" s="551"/>
      <c r="FB153" s="552">
        <f>IFERROR(FB152/FB$139,0)</f>
        <v>0.2513137649153302</v>
      </c>
      <c r="FC153" s="551"/>
      <c r="FD153" s="552">
        <f>IFERROR(FD152/FD$139,0)</f>
        <v>0.2720542610943022</v>
      </c>
      <c r="FE153" s="551"/>
      <c r="FF153" s="552">
        <f>IFERROR(FF152/FF$139,0)</f>
        <v>0.3379379357554404</v>
      </c>
      <c r="FG153" s="551"/>
      <c r="FH153" s="552">
        <f>IFERROR(FH152/FH$139,0)</f>
        <v>0.31067803619745155</v>
      </c>
      <c r="FI153" s="551"/>
      <c r="FJ153" s="552">
        <f>IFERROR(FJ152/FJ$139,0)</f>
        <v>0.2975164551613465</v>
      </c>
      <c r="FK153" s="551"/>
      <c r="FL153" s="552">
        <f>IFERROR(FL152/FL$139,0)</f>
        <v>0.29559543146265088</v>
      </c>
      <c r="FM153" s="551"/>
      <c r="FN153" s="552">
        <f>IFERROR(FN152/FN$139,0)</f>
        <v>0.29090040704860831</v>
      </c>
      <c r="FO153" s="551"/>
      <c r="FP153" s="552">
        <f>IFERROR(FP152/FP$139,0)</f>
        <v>0.2909004070486082</v>
      </c>
      <c r="FQ153" s="547"/>
      <c r="FR153" s="547"/>
      <c r="FS153" s="547"/>
      <c r="FT153" s="547"/>
      <c r="FU153" s="547"/>
      <c r="FV153" s="547"/>
      <c r="FW153" s="547"/>
      <c r="FX153" s="547"/>
      <c r="FY153" s="547"/>
      <c r="FZ153" s="547"/>
      <c r="GA153" s="547"/>
      <c r="GB153" s="547"/>
      <c r="GC153" s="547"/>
      <c r="GD153" s="547"/>
      <c r="GE153" s="547"/>
      <c r="GF153" s="547"/>
      <c r="GG153" s="547"/>
      <c r="GH153" s="547"/>
      <c r="GI153" s="547"/>
      <c r="GJ153" s="547"/>
      <c r="GK153" s="547"/>
      <c r="GL153" s="547"/>
      <c r="GM153" s="547"/>
      <c r="GN153" s="547"/>
      <c r="GO153" s="547"/>
      <c r="GP153" s="551"/>
      <c r="GQ153" s="552">
        <f>IFERROR(GQ152/GQ$139,0)</f>
        <v>0</v>
      </c>
      <c r="GR153" s="551"/>
      <c r="GS153" s="552">
        <f>IFERROR(GS152/GS$139,0)</f>
        <v>0.22369131369062437</v>
      </c>
      <c r="GT153" s="551"/>
      <c r="GU153" s="552">
        <f>IFERROR(GU152/GU$139,0)</f>
        <v>0</v>
      </c>
      <c r="GV153" s="551"/>
      <c r="GW153" s="552">
        <f>IFERROR(GW152/GW$139,0)</f>
        <v>0.11567641464983713</v>
      </c>
      <c r="GX153" s="547"/>
      <c r="GY153" s="547"/>
      <c r="GZ153" s="547"/>
      <c r="HA153" s="547"/>
      <c r="HB153" s="551"/>
      <c r="HC153" s="552">
        <f>IFERROR(HC152/HC$139,0)</f>
        <v>0</v>
      </c>
      <c r="HD153" s="551"/>
      <c r="HE153" s="552">
        <f>IFERROR(HE152/HE$139,0)</f>
        <v>0.23460150073914646</v>
      </c>
      <c r="HF153" s="551"/>
      <c r="HG153" s="552">
        <f>IFERROR(HG152/HG$139,0)</f>
        <v>0</v>
      </c>
      <c r="HH153" s="551"/>
      <c r="HI153" s="552">
        <f>IFERROR(HI152/HI$139,0)</f>
        <v>0</v>
      </c>
      <c r="HJ153" s="551"/>
      <c r="HK153" s="552">
        <f>IFERROR(HK152/HK$139,0)</f>
        <v>0</v>
      </c>
      <c r="HL153" s="551"/>
      <c r="HM153" s="552">
        <f>IFERROR(HM152/HM$139,0)</f>
        <v>0.26101739538941832</v>
      </c>
      <c r="HN153" s="551"/>
      <c r="HO153" s="552">
        <f>IFERROR(HO152/HO$139,0)</f>
        <v>0</v>
      </c>
      <c r="HP153" s="551"/>
      <c r="HQ153" s="552">
        <f>IFERROR(HQ152/HQ$139,0)</f>
        <v>0</v>
      </c>
      <c r="HR153" s="551"/>
      <c r="HS153" s="552">
        <f>IFERROR(HS152/HS$139,0)</f>
        <v>0</v>
      </c>
      <c r="HT153" s="551"/>
      <c r="HU153" s="552">
        <f>IFERROR(HU152/HU$139,0)</f>
        <v>0</v>
      </c>
      <c r="HV153" s="551"/>
      <c r="HW153" s="552">
        <f>IFERROR(HW152/HW$139,0)</f>
        <v>0</v>
      </c>
      <c r="HX153" s="551"/>
      <c r="HY153" s="552">
        <f>IFERROR(HY152/HY$139,0)</f>
        <v>0</v>
      </c>
      <c r="HZ153" s="551"/>
      <c r="IA153" s="552">
        <f>IFERROR(IA152/IA$139,0)</f>
        <v>0</v>
      </c>
      <c r="IB153" s="551"/>
      <c r="IC153" s="552">
        <f>IFERROR(IC152/IC$139,0)</f>
        <v>0.2482595381289763</v>
      </c>
      <c r="ID153" s="551"/>
      <c r="IE153" s="552">
        <f>IFERROR(IE152/IE$139,0)</f>
        <v>0</v>
      </c>
      <c r="IF153" s="551"/>
      <c r="IG153" s="552">
        <f>IFERROR(IG152/IG$139,0)</f>
        <v>0</v>
      </c>
      <c r="IH153" s="551"/>
      <c r="II153" s="552">
        <f>IFERROR(II152/II$139,0)</f>
        <v>0</v>
      </c>
      <c r="IJ153" s="551"/>
      <c r="IK153" s="552">
        <f>IFERROR(IK152/IK$139,0)</f>
        <v>0</v>
      </c>
      <c r="IL153" s="551"/>
      <c r="IM153" s="552">
        <f>IFERROR(IM152/IM$139,0)</f>
        <v>0</v>
      </c>
      <c r="IN153" s="551"/>
      <c r="IO153" s="552">
        <f>IFERROR(IO152/IO$139,0)</f>
        <v>0</v>
      </c>
      <c r="IP153" s="551"/>
      <c r="IQ153" s="552">
        <f>IFERROR(IQ152/IQ$139,0)</f>
        <v>0</v>
      </c>
      <c r="IR153" s="551"/>
      <c r="IS153" s="552">
        <f>IFERROR(IS152/IS$139,0)</f>
        <v>0</v>
      </c>
      <c r="IT153" s="551"/>
      <c r="IU153" s="552">
        <f>IFERROR(IU152/IU$139,0)</f>
        <v>0</v>
      </c>
      <c r="IV153" s="551"/>
      <c r="IW153" s="552">
        <f>IFERROR(IW152/IW$139,0)</f>
        <v>0</v>
      </c>
      <c r="IX153" s="551"/>
      <c r="IY153" s="552">
        <f>IFERROR(IY152/IY$139,0)</f>
        <v>0</v>
      </c>
      <c r="IZ153" s="553"/>
      <c r="JA153" s="547"/>
      <c r="JB153" s="547"/>
      <c r="JC153" s="547"/>
      <c r="JD153" s="547"/>
      <c r="JE153" s="547"/>
      <c r="JF153" s="547"/>
      <c r="JG153" s="547"/>
      <c r="JH153" s="547"/>
      <c r="JI153" s="547"/>
      <c r="JJ153" s="547"/>
      <c r="JK153" s="547"/>
      <c r="JL153" s="547"/>
      <c r="JM153" s="547"/>
      <c r="JN153" s="547"/>
      <c r="JO153" s="547"/>
      <c r="JP153" s="547"/>
      <c r="JQ153" s="547"/>
      <c r="JR153" s="547"/>
      <c r="JS153" s="547"/>
      <c r="JT153" s="547"/>
      <c r="JU153" s="547"/>
      <c r="JV153" s="547"/>
      <c r="JW153" s="547"/>
      <c r="JX153" s="547"/>
      <c r="JY153" s="547"/>
      <c r="JZ153" s="547"/>
      <c r="KA153" s="552">
        <f>IFERROR(KA152/KA$139,0)</f>
        <v>0.21984680277313276</v>
      </c>
      <c r="KB153" s="547"/>
      <c r="KC153" s="552">
        <f>IFERROR(KC152/KC$139,0)</f>
        <v>0</v>
      </c>
      <c r="KD153" s="547"/>
      <c r="KE153" s="552">
        <f>IFERROR(KE152/KE$139,0)</f>
        <v>0.21191767444586204</v>
      </c>
      <c r="KF153" s="547"/>
      <c r="KG153" s="552">
        <f>IFERROR(KG152/KG$139,0)</f>
        <v>0.12850682073901279</v>
      </c>
      <c r="KH153" s="547"/>
      <c r="KI153" s="552">
        <f>IFERROR(KI152/KI$139,0)</f>
        <v>0</v>
      </c>
      <c r="KJ153" s="547"/>
      <c r="KK153" s="552">
        <f>IFERROR(KK152/KK$139,0)</f>
        <v>0</v>
      </c>
      <c r="KL153" s="547"/>
      <c r="KM153" s="552">
        <f>IFERROR(KM152/KM$139,0)</f>
        <v>0.14800538001602398</v>
      </c>
      <c r="KN153" s="547"/>
      <c r="KO153" s="552">
        <f>IFERROR(KO152/KO$139,0)</f>
        <v>0.19447843534351258</v>
      </c>
      <c r="KP153" s="547"/>
      <c r="KQ153" s="552">
        <f>IFERROR(KQ152/KQ$139,0)</f>
        <v>0.16595564852223893</v>
      </c>
      <c r="KR153" s="547"/>
      <c r="KS153" s="552">
        <f>IFERROR(KS152/KS$139,0)</f>
        <v>0.20053150648134521</v>
      </c>
      <c r="KT153" s="547"/>
      <c r="KU153" s="552">
        <f>IFERROR(KU152/KU$139,0)</f>
        <v>0</v>
      </c>
      <c r="KV153" s="547"/>
      <c r="KW153" s="552">
        <f>IFERROR(KW152/KW$139,0)</f>
        <v>0</v>
      </c>
      <c r="KX153" s="547"/>
      <c r="KY153" s="552">
        <f>IFERROR(KY152/KY$139,0)</f>
        <v>0.24582047667279247</v>
      </c>
      <c r="KZ153" s="547"/>
      <c r="LA153" s="552">
        <f>IFERROR(LA152/LA$139,0)</f>
        <v>0.25882345839378212</v>
      </c>
      <c r="LB153" s="547"/>
      <c r="LC153" s="552">
        <f>IFERROR(LC152/LC$139,0)</f>
        <v>0.19644270794152757</v>
      </c>
      <c r="LD153" s="547"/>
      <c r="LE153" s="552">
        <f>IFERROR(LE152/LE$139,0)</f>
        <v>0.21255890784086692</v>
      </c>
      <c r="LF153" s="547"/>
      <c r="LG153" s="552">
        <f>IFERROR(LG152/LG$139,0)</f>
        <v>0</v>
      </c>
      <c r="LH153" s="547"/>
      <c r="LI153" s="552">
        <f>IFERROR(LI152/LI$139,0)</f>
        <v>0.23588817728217845</v>
      </c>
      <c r="LJ153" s="547"/>
      <c r="LK153" s="552">
        <f>IFERROR(LK152/LK$139,0)</f>
        <v>0.18890908497876069</v>
      </c>
      <c r="LL153" s="547"/>
      <c r="LM153" s="552">
        <f>IFERROR(LM152/LM$139,0)</f>
        <v>0</v>
      </c>
      <c r="LN153" s="547"/>
      <c r="LO153" s="552">
        <f>IFERROR(LO152/LO$139,0)</f>
        <v>0.25253577575553343</v>
      </c>
      <c r="LP153" s="547"/>
      <c r="LQ153" s="552">
        <f>IFERROR(LQ152/LQ$139,0)</f>
        <v>0.19450657045312991</v>
      </c>
      <c r="LR153" s="547"/>
      <c r="LS153" s="552">
        <f>IFERROR(LS152/LS$139,0)</f>
        <v>0.19861777664742133</v>
      </c>
      <c r="LT153" s="547"/>
      <c r="LU153" s="552">
        <f>IFERROR(LU152/LU$139,0)</f>
        <v>0.17671787197978625</v>
      </c>
      <c r="LV153" s="547"/>
      <c r="LW153" s="552">
        <f>IFERROR(LW152/LW$139,0)</f>
        <v>0.18861280298091462</v>
      </c>
      <c r="LX153" s="547"/>
      <c r="LY153" s="552">
        <f>IFERROR(LY152/LY$139,0)</f>
        <v>0.20039077905961633</v>
      </c>
      <c r="LZ153" s="547"/>
      <c r="MA153" s="552">
        <f>IFERROR(MA152/MA$139,0)</f>
        <v>0.21046463829088821</v>
      </c>
      <c r="MB153" s="547"/>
      <c r="MC153" s="552">
        <f>IFERROR(MC152/MC$139,0)</f>
        <v>0.2035213650574153</v>
      </c>
      <c r="MD153" s="547"/>
      <c r="ME153" s="552">
        <f>IFERROR(ME152/ME$139,0)</f>
        <v>0.25189305276116603</v>
      </c>
      <c r="MF153" s="547"/>
      <c r="MG153" s="552">
        <f>IFERROR(MG152/MG$139,0)</f>
        <v>0</v>
      </c>
      <c r="MH153" s="547"/>
      <c r="MI153" s="547"/>
      <c r="MJ153" s="547"/>
      <c r="MK153" s="547"/>
      <c r="ML153" s="547"/>
      <c r="MM153" s="547"/>
      <c r="MN153" s="547"/>
      <c r="MO153" s="547"/>
      <c r="MP153" s="547"/>
      <c r="MQ153" s="547"/>
      <c r="MR153" s="547"/>
      <c r="MS153" s="547"/>
      <c r="MT153" s="547"/>
      <c r="MU153" s="547"/>
      <c r="MV153" s="547"/>
      <c r="MW153" s="547"/>
      <c r="MX153" s="547"/>
      <c r="MY153" s="547"/>
      <c r="MZ153" s="547"/>
      <c r="NA153" s="547"/>
      <c r="NB153" s="547"/>
      <c r="NC153" s="547"/>
      <c r="ND153" s="552">
        <f>IFERROR(ND152/ND$139,0)</f>
        <v>0</v>
      </c>
      <c r="NE153" s="547"/>
      <c r="NF153" s="552">
        <f>IFERROR(NF152/NF$139,0)</f>
        <v>0</v>
      </c>
      <c r="NG153" s="547"/>
      <c r="NH153" s="552">
        <f>IFERROR(NH152/NH$139,0)</f>
        <v>0.24974477260616074</v>
      </c>
      <c r="NI153" s="547"/>
      <c r="NJ153" s="552">
        <f>IFERROR(NJ152/NJ$139,0)</f>
        <v>0.18513794818070423</v>
      </c>
      <c r="NK153" s="547"/>
      <c r="NL153" s="552">
        <f>IFERROR(NL152/NL$139,0)</f>
        <v>0</v>
      </c>
      <c r="NM153" s="547"/>
      <c r="NN153" s="552">
        <f>IFERROR(NN152/NN$139,0)</f>
        <v>0</v>
      </c>
      <c r="NO153" s="547"/>
      <c r="NP153" s="552">
        <f>IFERROR(NP152/NP$139,0)</f>
        <v>0.1969943599248743</v>
      </c>
      <c r="NQ153" s="547"/>
      <c r="NR153" s="552">
        <f>IFERROR(NR152/NR$139,0)</f>
        <v>0.2433755970570764</v>
      </c>
      <c r="NS153" s="547"/>
      <c r="NT153" s="552">
        <f>IFERROR(NT152/NT$139,0)</f>
        <v>0</v>
      </c>
      <c r="NU153" s="547"/>
      <c r="NV153" s="552">
        <f>IFERROR(NV152/NV$139,0)</f>
        <v>0</v>
      </c>
      <c r="NW153" s="547"/>
      <c r="NX153" s="552">
        <f>IFERROR(NX152/NX$139,0)</f>
        <v>0</v>
      </c>
      <c r="NY153" s="547"/>
      <c r="NZ153" s="552">
        <f>IFERROR(NZ152/NZ$139,0)</f>
        <v>0.21036977153024911</v>
      </c>
      <c r="OA153" s="547"/>
      <c r="OB153" s="552">
        <f>IFERROR(OB152/OB$139,0)</f>
        <v>0.27619966085060271</v>
      </c>
      <c r="OC153" s="547"/>
      <c r="OD153" s="552">
        <f>IFERROR(OD152/OD$139,0)</f>
        <v>0.27677635377485771</v>
      </c>
      <c r="OE153" s="547"/>
      <c r="OF153" s="552">
        <f>IFERROR(OF152/OF$139,0)</f>
        <v>0.22822069401832454</v>
      </c>
      <c r="OG153" s="547"/>
      <c r="OH153" s="552">
        <f>IFERROR(OH152/OH$139,0)</f>
        <v>0</v>
      </c>
      <c r="OI153" s="547"/>
      <c r="OJ153" s="552">
        <f>IFERROR(OJ152/OJ$139,0)</f>
        <v>0</v>
      </c>
      <c r="OK153" s="547"/>
      <c r="OL153" s="552">
        <f>IFERROR(OL152/OL$139,0)</f>
        <v>0.24023994469572221</v>
      </c>
      <c r="OM153" s="547"/>
      <c r="ON153" s="552">
        <f>IFERROR(ON152/ON$139,0)</f>
        <v>0.20506833422651846</v>
      </c>
      <c r="OO153" s="547"/>
      <c r="OP153" s="552">
        <f>IFERROR(OP152/OP$139,0)</f>
        <v>0</v>
      </c>
      <c r="OQ153" s="547"/>
      <c r="OR153" s="552">
        <f>IFERROR(OR152/OR$139,0)</f>
        <v>0.23132507951951078</v>
      </c>
      <c r="OS153" s="547"/>
      <c r="OT153" s="552">
        <f>IFERROR(OT152/OT$139,0)</f>
        <v>0.1845220368970108</v>
      </c>
      <c r="OU153" s="547"/>
      <c r="OV153" s="552">
        <f>IFERROR(OV152/OV$139,0)</f>
        <v>0.12997646889471615</v>
      </c>
      <c r="OW153" s="547"/>
      <c r="OX153" s="552">
        <f>IFERROR(OX152/OX$139,0)</f>
        <v>0.10828815750889396</v>
      </c>
      <c r="OY153" s="547"/>
      <c r="OZ153" s="552">
        <f>IFERROR(OZ152/OZ$139,0)</f>
        <v>0.12006816164044604</v>
      </c>
      <c r="PA153" s="547"/>
      <c r="PB153" s="552">
        <f>IFERROR(PB152/PB$139,0)</f>
        <v>0.13173234084882218</v>
      </c>
      <c r="PC153" s="547"/>
      <c r="PD153" s="552">
        <f>IFERROR(PD152/PD$139,0)</f>
        <v>0.14170886810684505</v>
      </c>
      <c r="PE153" s="547"/>
      <c r="PF153" s="552">
        <f>IFERROR(PF152/PF$139,0)</f>
        <v>0.18079443838435036</v>
      </c>
      <c r="PG153" s="547"/>
      <c r="PH153" s="552">
        <f>IFERROR(PH152/PH$139,0)</f>
        <v>0.2407040929908322</v>
      </c>
      <c r="PI153" s="547"/>
      <c r="PJ153" s="552">
        <f>IFERROR(PJ152/PJ$139,0)</f>
        <v>0.23518390288255966</v>
      </c>
      <c r="PK153" s="547"/>
      <c r="PL153" s="552">
        <f>IFERROR(PL152/PL$139,0)</f>
        <v>0.22501824787805905</v>
      </c>
      <c r="PM153" s="547"/>
      <c r="PN153" s="552">
        <f>IFERROR(PN152/PN$139,0)</f>
        <v>0.24990276556959429</v>
      </c>
      <c r="PO153" s="547"/>
      <c r="PP153" s="552">
        <f>IFERROR(PP152/PP$139,0)</f>
        <v>0.24806130772424728</v>
      </c>
      <c r="PQ153" s="547"/>
      <c r="PR153" s="547"/>
      <c r="PS153" s="552">
        <f>IFERROR(PS152/PS$139,0)</f>
        <v>0.40599330250074767</v>
      </c>
      <c r="PT153" s="547"/>
      <c r="PU153" s="552">
        <f>IFERROR(PU152/PU$139,0)</f>
        <v>0.44525694824545392</v>
      </c>
      <c r="PV153" s="547"/>
      <c r="PW153" s="552">
        <f>IFERROR(PW152/PW$139,0)</f>
        <v>0.40599330250074767</v>
      </c>
      <c r="PX153" s="547"/>
      <c r="PY153" s="552">
        <f>IFERROR(PY152/PY$139,0)</f>
        <v>0.44525694824545392</v>
      </c>
      <c r="PZ153" s="547"/>
      <c r="QA153" s="552">
        <f>IFERROR(QA152/QA$139,0)</f>
        <v>0.40032112966422817</v>
      </c>
      <c r="QB153" s="547"/>
      <c r="QC153" s="552">
        <f>IFERROR(QC152/QC$139,0)</f>
        <v>0.4400755709807434</v>
      </c>
      <c r="QD153" s="547"/>
      <c r="QE153" s="547"/>
      <c r="QF153" s="547"/>
      <c r="QG153" s="552">
        <f>IFERROR(QG152/QG$139,0)</f>
        <v>0.32536276835127409</v>
      </c>
      <c r="QH153" s="547"/>
      <c r="QI153" s="552">
        <f>IFERROR(QI152/QI$139,0)</f>
        <v>0.36169433801617712</v>
      </c>
      <c r="QJ153" s="547"/>
      <c r="QK153" s="552">
        <f>IFERROR(QK152/QK$139,0)</f>
        <v>0.32536276835127409</v>
      </c>
      <c r="QL153" s="547"/>
      <c r="QM153" s="552">
        <f>IFERROR(QM152/QM$139,0)</f>
        <v>0.36169433801617712</v>
      </c>
      <c r="QN153" s="547"/>
      <c r="QO153" s="552">
        <f>IFERROR(QO152/QO$139,0)</f>
        <v>0.25641932120359562</v>
      </c>
      <c r="QP153" s="547"/>
      <c r="QQ153" s="552">
        <f>IFERROR(QQ152/QQ$139,0)</f>
        <v>0.29696324677167579</v>
      </c>
    </row>
  </sheetData>
  <mergeCells count="929">
    <mergeCell ref="A41:A45"/>
    <mergeCell ref="A46:A81"/>
    <mergeCell ref="A82:A135"/>
    <mergeCell ref="QN7:QO7"/>
    <mergeCell ref="QP7:QQ7"/>
    <mergeCell ref="C10:D10"/>
    <mergeCell ref="A13:A19"/>
    <mergeCell ref="A20:A32"/>
    <mergeCell ref="A33:A40"/>
    <mergeCell ref="PZ7:QA7"/>
    <mergeCell ref="QB7:QC7"/>
    <mergeCell ref="QF7:QG7"/>
    <mergeCell ref="QH7:QI7"/>
    <mergeCell ref="QJ7:QK7"/>
    <mergeCell ref="QL7:QM7"/>
    <mergeCell ref="PM7:PN7"/>
    <mergeCell ref="PO7:PP7"/>
    <mergeCell ref="PR7:PS7"/>
    <mergeCell ref="PT7:PU7"/>
    <mergeCell ref="PV7:PW7"/>
    <mergeCell ref="PX7:PY7"/>
    <mergeCell ref="PA7:PB7"/>
    <mergeCell ref="PC7:PD7"/>
    <mergeCell ref="PE7:PF7"/>
    <mergeCell ref="PG7:PH7"/>
    <mergeCell ref="PI7:PJ7"/>
    <mergeCell ref="PK7:PL7"/>
    <mergeCell ref="OO7:OP7"/>
    <mergeCell ref="OQ7:OR7"/>
    <mergeCell ref="OS7:OT7"/>
    <mergeCell ref="OU7:OV7"/>
    <mergeCell ref="OW7:OX7"/>
    <mergeCell ref="OY7:OZ7"/>
    <mergeCell ref="OC7:OD7"/>
    <mergeCell ref="OE7:OF7"/>
    <mergeCell ref="OG7:OH7"/>
    <mergeCell ref="OI7:OJ7"/>
    <mergeCell ref="OK7:OL7"/>
    <mergeCell ref="OM7:ON7"/>
    <mergeCell ref="NQ7:NR7"/>
    <mergeCell ref="NS7:NT7"/>
    <mergeCell ref="NU7:NV7"/>
    <mergeCell ref="NW7:NX7"/>
    <mergeCell ref="NY7:NZ7"/>
    <mergeCell ref="OA7:OB7"/>
    <mergeCell ref="NE7:NF7"/>
    <mergeCell ref="NG7:NH7"/>
    <mergeCell ref="NI7:NJ7"/>
    <mergeCell ref="NK7:NL7"/>
    <mergeCell ref="NM7:NN7"/>
    <mergeCell ref="NO7:NP7"/>
    <mergeCell ref="MS7:MT7"/>
    <mergeCell ref="MU7:MV7"/>
    <mergeCell ref="MW7:MX7"/>
    <mergeCell ref="MY7:MZ7"/>
    <mergeCell ref="NA7:NB7"/>
    <mergeCell ref="NC7:ND7"/>
    <mergeCell ref="MF7:MG7"/>
    <mergeCell ref="MI7:MJ7"/>
    <mergeCell ref="MK7:ML7"/>
    <mergeCell ref="MM7:MN7"/>
    <mergeCell ref="MO7:MP7"/>
    <mergeCell ref="MQ7:MR7"/>
    <mergeCell ref="LT7:LU7"/>
    <mergeCell ref="LV7:LW7"/>
    <mergeCell ref="LX7:LY7"/>
    <mergeCell ref="LZ7:MA7"/>
    <mergeCell ref="MB7:MC7"/>
    <mergeCell ref="MD7:ME7"/>
    <mergeCell ref="LH7:LI7"/>
    <mergeCell ref="LJ7:LK7"/>
    <mergeCell ref="LL7:LM7"/>
    <mergeCell ref="LN7:LO7"/>
    <mergeCell ref="LP7:LQ7"/>
    <mergeCell ref="LR7:LS7"/>
    <mergeCell ref="KV7:KW7"/>
    <mergeCell ref="KX7:KY7"/>
    <mergeCell ref="KZ7:LA7"/>
    <mergeCell ref="LB7:LC7"/>
    <mergeCell ref="LD7:LE7"/>
    <mergeCell ref="LF7:LG7"/>
    <mergeCell ref="KJ7:KK7"/>
    <mergeCell ref="KL7:KM7"/>
    <mergeCell ref="KN7:KO7"/>
    <mergeCell ref="KP7:KQ7"/>
    <mergeCell ref="KR7:KS7"/>
    <mergeCell ref="KT7:KU7"/>
    <mergeCell ref="JX7:JY7"/>
    <mergeCell ref="JZ7:KA7"/>
    <mergeCell ref="KB7:KC7"/>
    <mergeCell ref="KD7:KE7"/>
    <mergeCell ref="KF7:KG7"/>
    <mergeCell ref="KH7:KI7"/>
    <mergeCell ref="JL7:JM7"/>
    <mergeCell ref="JN7:JO7"/>
    <mergeCell ref="JP7:JQ7"/>
    <mergeCell ref="JR7:JS7"/>
    <mergeCell ref="JT7:JU7"/>
    <mergeCell ref="JV7:JW7"/>
    <mergeCell ref="IX7:IY7"/>
    <mergeCell ref="JA7:JB7"/>
    <mergeCell ref="JC7:JD7"/>
    <mergeCell ref="JF7:JG7"/>
    <mergeCell ref="JH7:JI7"/>
    <mergeCell ref="JJ7:JK7"/>
    <mergeCell ref="IL7:IM7"/>
    <mergeCell ref="IN7:IO7"/>
    <mergeCell ref="IP7:IQ7"/>
    <mergeCell ref="IR7:IS7"/>
    <mergeCell ref="IT7:IU7"/>
    <mergeCell ref="IV7:IW7"/>
    <mergeCell ref="HZ7:IA7"/>
    <mergeCell ref="IB7:IC7"/>
    <mergeCell ref="ID7:IE7"/>
    <mergeCell ref="IF7:IG7"/>
    <mergeCell ref="IH7:II7"/>
    <mergeCell ref="IJ7:IK7"/>
    <mergeCell ref="HN7:HO7"/>
    <mergeCell ref="HP7:HQ7"/>
    <mergeCell ref="HR7:HS7"/>
    <mergeCell ref="HT7:HU7"/>
    <mergeCell ref="HV7:HW7"/>
    <mergeCell ref="HX7:HY7"/>
    <mergeCell ref="HB7:HC7"/>
    <mergeCell ref="HD7:HE7"/>
    <mergeCell ref="HF7:HG7"/>
    <mergeCell ref="HH7:HI7"/>
    <mergeCell ref="HJ7:HK7"/>
    <mergeCell ref="HL7:HM7"/>
    <mergeCell ref="GP7:GQ7"/>
    <mergeCell ref="GR7:GS7"/>
    <mergeCell ref="GT7:GU7"/>
    <mergeCell ref="GV7:GW7"/>
    <mergeCell ref="GX7:GY7"/>
    <mergeCell ref="GZ7:HA7"/>
    <mergeCell ref="GD7:GE7"/>
    <mergeCell ref="GF7:GG7"/>
    <mergeCell ref="GH7:GI7"/>
    <mergeCell ref="GJ7:GK7"/>
    <mergeCell ref="GL7:GM7"/>
    <mergeCell ref="GN7:GO7"/>
    <mergeCell ref="FR7:FS7"/>
    <mergeCell ref="FT7:FU7"/>
    <mergeCell ref="FV7:FW7"/>
    <mergeCell ref="FX7:FY7"/>
    <mergeCell ref="FZ7:GA7"/>
    <mergeCell ref="GB7:GC7"/>
    <mergeCell ref="FE7:FF7"/>
    <mergeCell ref="FG7:FH7"/>
    <mergeCell ref="FI7:FJ7"/>
    <mergeCell ref="FK7:FL7"/>
    <mergeCell ref="FM7:FN7"/>
    <mergeCell ref="FO7:FP7"/>
    <mergeCell ref="ES7:ET7"/>
    <mergeCell ref="EU7:EV7"/>
    <mergeCell ref="EW7:EX7"/>
    <mergeCell ref="EY7:EZ7"/>
    <mergeCell ref="FA7:FB7"/>
    <mergeCell ref="FC7:FD7"/>
    <mergeCell ref="EG7:EH7"/>
    <mergeCell ref="EI7:EJ7"/>
    <mergeCell ref="EK7:EL7"/>
    <mergeCell ref="EM7:EN7"/>
    <mergeCell ref="EO7:EP7"/>
    <mergeCell ref="EQ7:ER7"/>
    <mergeCell ref="DU7:DV7"/>
    <mergeCell ref="DW7:DX7"/>
    <mergeCell ref="DY7:DZ7"/>
    <mergeCell ref="EA7:EB7"/>
    <mergeCell ref="EC7:ED7"/>
    <mergeCell ref="EE7:EF7"/>
    <mergeCell ref="DI7:DJ7"/>
    <mergeCell ref="DK7:DL7"/>
    <mergeCell ref="DM7:DN7"/>
    <mergeCell ref="DO7:DP7"/>
    <mergeCell ref="DQ7:DR7"/>
    <mergeCell ref="DS7:DT7"/>
    <mergeCell ref="CW7:CX7"/>
    <mergeCell ref="CY7:CZ7"/>
    <mergeCell ref="DA7:DB7"/>
    <mergeCell ref="DC7:DD7"/>
    <mergeCell ref="DE7:DF7"/>
    <mergeCell ref="DG7:DH7"/>
    <mergeCell ref="CJ7:CK7"/>
    <mergeCell ref="CL7:CM7"/>
    <mergeCell ref="CN7:CO7"/>
    <mergeCell ref="CP7:CQ7"/>
    <mergeCell ref="CR7:CS7"/>
    <mergeCell ref="CU7:CV7"/>
    <mergeCell ref="BX7:BY7"/>
    <mergeCell ref="BZ7:CA7"/>
    <mergeCell ref="CB7:CC7"/>
    <mergeCell ref="CD7:CE7"/>
    <mergeCell ref="CF7:CG7"/>
    <mergeCell ref="CH7:CI7"/>
    <mergeCell ref="BL7:BM7"/>
    <mergeCell ref="BN7:BO7"/>
    <mergeCell ref="BP7:BQ7"/>
    <mergeCell ref="BR7:BS7"/>
    <mergeCell ref="BT7:BU7"/>
    <mergeCell ref="BV7:BW7"/>
    <mergeCell ref="BB7:BC7"/>
    <mergeCell ref="BD7:BE7"/>
    <mergeCell ref="BF7:BG7"/>
    <mergeCell ref="BH7:BI7"/>
    <mergeCell ref="BJ7:BK7"/>
    <mergeCell ref="AN7:AO7"/>
    <mergeCell ref="AP7:AQ7"/>
    <mergeCell ref="AR7:AS7"/>
    <mergeCell ref="AT7:AU7"/>
    <mergeCell ref="AV7:AW7"/>
    <mergeCell ref="AX7:AY7"/>
    <mergeCell ref="AJ7:AK7"/>
    <mergeCell ref="AL7:AM7"/>
    <mergeCell ref="P7:Q7"/>
    <mergeCell ref="R7:S7"/>
    <mergeCell ref="T7:U7"/>
    <mergeCell ref="V7:W7"/>
    <mergeCell ref="X7:Y7"/>
    <mergeCell ref="Z7:AA7"/>
    <mergeCell ref="AZ7:BA7"/>
    <mergeCell ref="F7:G7"/>
    <mergeCell ref="H7:I7"/>
    <mergeCell ref="J7:K7"/>
    <mergeCell ref="L7:M7"/>
    <mergeCell ref="N7:O7"/>
    <mergeCell ref="AB7:AC7"/>
    <mergeCell ref="AD7:AE7"/>
    <mergeCell ref="AF7:AG7"/>
    <mergeCell ref="AH7:AI7"/>
    <mergeCell ref="QL5:QM5"/>
    <mergeCell ref="QN5:QO5"/>
    <mergeCell ref="QP5:QQ5"/>
    <mergeCell ref="PR6:PS6"/>
    <mergeCell ref="PT6:PU6"/>
    <mergeCell ref="PV6:PW6"/>
    <mergeCell ref="PX6:PY6"/>
    <mergeCell ref="PZ6:QA6"/>
    <mergeCell ref="QB6:QC6"/>
    <mergeCell ref="QF6:QG6"/>
    <mergeCell ref="PX5:PY5"/>
    <mergeCell ref="PZ5:QA5"/>
    <mergeCell ref="QB5:QC5"/>
    <mergeCell ref="QF5:QG5"/>
    <mergeCell ref="QH5:QI5"/>
    <mergeCell ref="QJ5:QK5"/>
    <mergeCell ref="QH6:QI6"/>
    <mergeCell ref="QJ6:QK6"/>
    <mergeCell ref="QL6:QM6"/>
    <mergeCell ref="QN6:QO6"/>
    <mergeCell ref="QP6:QQ6"/>
    <mergeCell ref="PK5:PL5"/>
    <mergeCell ref="PM5:PN5"/>
    <mergeCell ref="PO5:PP5"/>
    <mergeCell ref="PR5:PS5"/>
    <mergeCell ref="PT5:PU5"/>
    <mergeCell ref="PV5:PW5"/>
    <mergeCell ref="OY5:OZ5"/>
    <mergeCell ref="PA5:PB5"/>
    <mergeCell ref="PC5:PD5"/>
    <mergeCell ref="PE5:PF5"/>
    <mergeCell ref="PG5:PH5"/>
    <mergeCell ref="PI5:PJ5"/>
    <mergeCell ref="OM5:ON5"/>
    <mergeCell ref="OO5:OP5"/>
    <mergeCell ref="OQ5:OR5"/>
    <mergeCell ref="OS5:OT5"/>
    <mergeCell ref="OU5:OV5"/>
    <mergeCell ref="OW5:OX5"/>
    <mergeCell ref="OA5:OB5"/>
    <mergeCell ref="OC5:OD5"/>
    <mergeCell ref="OE5:OF5"/>
    <mergeCell ref="OG5:OH5"/>
    <mergeCell ref="OI5:OJ5"/>
    <mergeCell ref="OK5:OL5"/>
    <mergeCell ref="NO5:NP5"/>
    <mergeCell ref="NQ5:NR5"/>
    <mergeCell ref="NS5:NT5"/>
    <mergeCell ref="NU5:NV5"/>
    <mergeCell ref="NW5:NX5"/>
    <mergeCell ref="NY5:NZ5"/>
    <mergeCell ref="NC5:ND5"/>
    <mergeCell ref="NE5:NF5"/>
    <mergeCell ref="NG5:NH5"/>
    <mergeCell ref="NI5:NJ5"/>
    <mergeCell ref="NK5:NL5"/>
    <mergeCell ref="NM5:NN5"/>
    <mergeCell ref="MO5:MP5"/>
    <mergeCell ref="MS5:MT5"/>
    <mergeCell ref="MU5:MV5"/>
    <mergeCell ref="MW5:MX5"/>
    <mergeCell ref="MY5:MZ5"/>
    <mergeCell ref="NA5:NB5"/>
    <mergeCell ref="LX5:LY5"/>
    <mergeCell ref="LZ5:MA5"/>
    <mergeCell ref="MB5:MC5"/>
    <mergeCell ref="MD5:ME5"/>
    <mergeCell ref="MF5:MG5"/>
    <mergeCell ref="MM5:MN5"/>
    <mergeCell ref="LL5:LM5"/>
    <mergeCell ref="LN5:LO5"/>
    <mergeCell ref="LP5:LQ5"/>
    <mergeCell ref="LR5:LS5"/>
    <mergeCell ref="LT5:LU5"/>
    <mergeCell ref="LV5:LW5"/>
    <mergeCell ref="KZ5:LA5"/>
    <mergeCell ref="LB5:LC5"/>
    <mergeCell ref="LD5:LE5"/>
    <mergeCell ref="LF5:LG5"/>
    <mergeCell ref="LH5:LI5"/>
    <mergeCell ref="LJ5:LK5"/>
    <mergeCell ref="KN5:KO5"/>
    <mergeCell ref="KP5:KQ5"/>
    <mergeCell ref="KR5:KS5"/>
    <mergeCell ref="KT5:KU5"/>
    <mergeCell ref="KV5:KW5"/>
    <mergeCell ref="KX5:KY5"/>
    <mergeCell ref="KB5:KC5"/>
    <mergeCell ref="KD5:KE5"/>
    <mergeCell ref="KF5:KG5"/>
    <mergeCell ref="KH5:KI5"/>
    <mergeCell ref="KJ5:KK5"/>
    <mergeCell ref="KL5:KM5"/>
    <mergeCell ref="JP5:JQ5"/>
    <mergeCell ref="JR5:JS5"/>
    <mergeCell ref="JT5:JU5"/>
    <mergeCell ref="JV5:JW5"/>
    <mergeCell ref="JX5:JY5"/>
    <mergeCell ref="JZ5:KA5"/>
    <mergeCell ref="IV5:IW5"/>
    <mergeCell ref="IX5:IY5"/>
    <mergeCell ref="JA5:JB5"/>
    <mergeCell ref="JC5:JD5"/>
    <mergeCell ref="JJ5:JK5"/>
    <mergeCell ref="JL5:JM5"/>
    <mergeCell ref="IJ5:IK5"/>
    <mergeCell ref="IL5:IM5"/>
    <mergeCell ref="IN5:IO5"/>
    <mergeCell ref="IP5:IQ5"/>
    <mergeCell ref="IR5:IS5"/>
    <mergeCell ref="IT5:IU5"/>
    <mergeCell ref="HX5:HY5"/>
    <mergeCell ref="HZ5:IA5"/>
    <mergeCell ref="IB5:IC5"/>
    <mergeCell ref="ID5:IE5"/>
    <mergeCell ref="IF5:IG5"/>
    <mergeCell ref="IH5:II5"/>
    <mergeCell ref="HL5:HM5"/>
    <mergeCell ref="HN5:HO5"/>
    <mergeCell ref="HP5:HQ5"/>
    <mergeCell ref="HR5:HS5"/>
    <mergeCell ref="HT5:HU5"/>
    <mergeCell ref="HV5:HW5"/>
    <mergeCell ref="GZ5:HA5"/>
    <mergeCell ref="HB5:HC5"/>
    <mergeCell ref="HD5:HE5"/>
    <mergeCell ref="HF5:HG5"/>
    <mergeCell ref="HH5:HI5"/>
    <mergeCell ref="HJ5:HK5"/>
    <mergeCell ref="GN5:GO5"/>
    <mergeCell ref="GP5:GQ5"/>
    <mergeCell ref="GR5:GS5"/>
    <mergeCell ref="GT5:GU5"/>
    <mergeCell ref="GV5:GW5"/>
    <mergeCell ref="GX5:GY5"/>
    <mergeCell ref="FV5:FW5"/>
    <mergeCell ref="FX5:FY5"/>
    <mergeCell ref="GF5:GG5"/>
    <mergeCell ref="GH5:GI5"/>
    <mergeCell ref="GJ5:GK5"/>
    <mergeCell ref="GL5:GM5"/>
    <mergeCell ref="FE5:FF5"/>
    <mergeCell ref="FG5:FH5"/>
    <mergeCell ref="FI5:FJ5"/>
    <mergeCell ref="FK5:FL5"/>
    <mergeCell ref="FM5:FN5"/>
    <mergeCell ref="FO5:FP5"/>
    <mergeCell ref="ES5:ET5"/>
    <mergeCell ref="EU5:EV5"/>
    <mergeCell ref="EW5:EX5"/>
    <mergeCell ref="EY5:EZ5"/>
    <mergeCell ref="FA5:FB5"/>
    <mergeCell ref="FC5:FD5"/>
    <mergeCell ref="EG5:EH5"/>
    <mergeCell ref="EI5:EJ5"/>
    <mergeCell ref="EK5:EL5"/>
    <mergeCell ref="EM5:EN5"/>
    <mergeCell ref="EO5:EP5"/>
    <mergeCell ref="EQ5:ER5"/>
    <mergeCell ref="DU5:DV5"/>
    <mergeCell ref="DW5:DX5"/>
    <mergeCell ref="DY5:DZ5"/>
    <mergeCell ref="EA5:EB5"/>
    <mergeCell ref="EC5:ED5"/>
    <mergeCell ref="EE5:EF5"/>
    <mergeCell ref="DI5:DJ5"/>
    <mergeCell ref="DK5:DL5"/>
    <mergeCell ref="DM5:DN5"/>
    <mergeCell ref="DO5:DP5"/>
    <mergeCell ref="DQ5:DR5"/>
    <mergeCell ref="DS5:DT5"/>
    <mergeCell ref="CU5:CV5"/>
    <mergeCell ref="CW5:CX5"/>
    <mergeCell ref="DA5:DB5"/>
    <mergeCell ref="DC5:DD5"/>
    <mergeCell ref="DE5:DF5"/>
    <mergeCell ref="DG5:DH5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QN4:QO4"/>
    <mergeCell ref="QP4:QQ4"/>
    <mergeCell ref="P5:Q5"/>
    <mergeCell ref="R5:S5"/>
    <mergeCell ref="Z5:AA5"/>
    <mergeCell ref="AB5:AC5"/>
    <mergeCell ref="AD5:AE5"/>
    <mergeCell ref="AF5:AG5"/>
    <mergeCell ref="AH5:AI5"/>
    <mergeCell ref="AJ5:AK5"/>
    <mergeCell ref="PZ4:QA4"/>
    <mergeCell ref="QB4:QC4"/>
    <mergeCell ref="QF4:QG4"/>
    <mergeCell ref="QH4:QI4"/>
    <mergeCell ref="QJ4:QK4"/>
    <mergeCell ref="QL4:QM4"/>
    <mergeCell ref="PM4:PN4"/>
    <mergeCell ref="PO4:PP4"/>
    <mergeCell ref="PR4:PS4"/>
    <mergeCell ref="PT4:PU4"/>
    <mergeCell ref="PV4:PW4"/>
    <mergeCell ref="PX4:PY4"/>
    <mergeCell ref="PA4:PB4"/>
    <mergeCell ref="PC4:PD4"/>
    <mergeCell ref="PE4:PF4"/>
    <mergeCell ref="PG4:PH4"/>
    <mergeCell ref="PI4:PJ4"/>
    <mergeCell ref="PK4:PL4"/>
    <mergeCell ref="OO4:OP4"/>
    <mergeCell ref="OQ4:OR4"/>
    <mergeCell ref="OS4:OT4"/>
    <mergeCell ref="OU4:OV4"/>
    <mergeCell ref="OW4:OX4"/>
    <mergeCell ref="OY4:OZ4"/>
    <mergeCell ref="OC4:OD4"/>
    <mergeCell ref="OE4:OF4"/>
    <mergeCell ref="OG4:OH4"/>
    <mergeCell ref="OI4:OJ4"/>
    <mergeCell ref="OK4:OL4"/>
    <mergeCell ref="OM4:ON4"/>
    <mergeCell ref="NQ4:NR4"/>
    <mergeCell ref="NS4:NT4"/>
    <mergeCell ref="NU4:NV4"/>
    <mergeCell ref="NW4:NX4"/>
    <mergeCell ref="NY4:NZ4"/>
    <mergeCell ref="OA4:OB4"/>
    <mergeCell ref="NE4:NF4"/>
    <mergeCell ref="NG4:NH4"/>
    <mergeCell ref="NI4:NJ4"/>
    <mergeCell ref="NK4:NL4"/>
    <mergeCell ref="NM4:NN4"/>
    <mergeCell ref="NO4:NP4"/>
    <mergeCell ref="MS4:MT4"/>
    <mergeCell ref="MU4:MV4"/>
    <mergeCell ref="MW4:MX4"/>
    <mergeCell ref="MY4:MZ4"/>
    <mergeCell ref="NA4:NB4"/>
    <mergeCell ref="NC4:ND4"/>
    <mergeCell ref="MF4:MG4"/>
    <mergeCell ref="MI4:MJ4"/>
    <mergeCell ref="MK4:ML4"/>
    <mergeCell ref="MM4:MN4"/>
    <mergeCell ref="MO4:MP4"/>
    <mergeCell ref="MQ4:MR4"/>
    <mergeCell ref="LT4:LU4"/>
    <mergeCell ref="LV4:LW4"/>
    <mergeCell ref="LX4:LY4"/>
    <mergeCell ref="LZ4:MA4"/>
    <mergeCell ref="MB4:MC4"/>
    <mergeCell ref="MD4:ME4"/>
    <mergeCell ref="LH4:LI4"/>
    <mergeCell ref="LJ4:LK4"/>
    <mergeCell ref="LL4:LM4"/>
    <mergeCell ref="LN4:LO4"/>
    <mergeCell ref="LP4:LQ4"/>
    <mergeCell ref="LR4:LS4"/>
    <mergeCell ref="KV4:KW4"/>
    <mergeCell ref="KX4:KY4"/>
    <mergeCell ref="KZ4:LA4"/>
    <mergeCell ref="LB4:LC4"/>
    <mergeCell ref="LD4:LE4"/>
    <mergeCell ref="LF4:LG4"/>
    <mergeCell ref="KJ4:KK4"/>
    <mergeCell ref="KL4:KM4"/>
    <mergeCell ref="KN4:KO4"/>
    <mergeCell ref="KP4:KQ4"/>
    <mergeCell ref="KR4:KS4"/>
    <mergeCell ref="KT4:KU4"/>
    <mergeCell ref="JX4:JY4"/>
    <mergeCell ref="JZ4:KA4"/>
    <mergeCell ref="KB4:KC4"/>
    <mergeCell ref="KD4:KE4"/>
    <mergeCell ref="KF4:KG4"/>
    <mergeCell ref="KH4:KI4"/>
    <mergeCell ref="JL4:JM4"/>
    <mergeCell ref="JN4:JO4"/>
    <mergeCell ref="JP4:JQ4"/>
    <mergeCell ref="JR4:JS4"/>
    <mergeCell ref="JT4:JU4"/>
    <mergeCell ref="JV4:JW4"/>
    <mergeCell ref="IX4:IY4"/>
    <mergeCell ref="JA4:JB4"/>
    <mergeCell ref="JC4:JD4"/>
    <mergeCell ref="JF4:JG4"/>
    <mergeCell ref="JH4:JI4"/>
    <mergeCell ref="JJ4:JK4"/>
    <mergeCell ref="IL4:IM4"/>
    <mergeCell ref="IN4:IO4"/>
    <mergeCell ref="IP4:IQ4"/>
    <mergeCell ref="IR4:IS4"/>
    <mergeCell ref="IT4:IU4"/>
    <mergeCell ref="IV4:IW4"/>
    <mergeCell ref="HZ4:IA4"/>
    <mergeCell ref="IB4:IC4"/>
    <mergeCell ref="ID4:IE4"/>
    <mergeCell ref="IF4:IG4"/>
    <mergeCell ref="IH4:II4"/>
    <mergeCell ref="IJ4:IK4"/>
    <mergeCell ref="HN4:HO4"/>
    <mergeCell ref="HP4:HQ4"/>
    <mergeCell ref="HR4:HS4"/>
    <mergeCell ref="HT4:HU4"/>
    <mergeCell ref="HV4:HW4"/>
    <mergeCell ref="HX4:HY4"/>
    <mergeCell ref="HB4:HC4"/>
    <mergeCell ref="HD4:HE4"/>
    <mergeCell ref="HF4:HG4"/>
    <mergeCell ref="HH4:HI4"/>
    <mergeCell ref="HJ4:HK4"/>
    <mergeCell ref="HL4:HM4"/>
    <mergeCell ref="GP4:GQ4"/>
    <mergeCell ref="GR4:GS4"/>
    <mergeCell ref="GT4:GU4"/>
    <mergeCell ref="GV4:GW4"/>
    <mergeCell ref="GX4:GY4"/>
    <mergeCell ref="GZ4:HA4"/>
    <mergeCell ref="GD4:GE4"/>
    <mergeCell ref="GF4:GG4"/>
    <mergeCell ref="GH4:GI4"/>
    <mergeCell ref="GJ4:GK4"/>
    <mergeCell ref="GL4:GM4"/>
    <mergeCell ref="GN4:GO4"/>
    <mergeCell ref="FR4:FS4"/>
    <mergeCell ref="FT4:FU4"/>
    <mergeCell ref="FV4:FW4"/>
    <mergeCell ref="FX4:FY4"/>
    <mergeCell ref="FZ4:GA4"/>
    <mergeCell ref="GB4:GC4"/>
    <mergeCell ref="FE4:FF4"/>
    <mergeCell ref="FG4:FH4"/>
    <mergeCell ref="FI4:FJ4"/>
    <mergeCell ref="FK4:FL4"/>
    <mergeCell ref="FM4:FN4"/>
    <mergeCell ref="FO4:FP4"/>
    <mergeCell ref="ES4:ET4"/>
    <mergeCell ref="EU4:EV4"/>
    <mergeCell ref="EW4:EX4"/>
    <mergeCell ref="EY4:EZ4"/>
    <mergeCell ref="FA4:FB4"/>
    <mergeCell ref="FC4:FD4"/>
    <mergeCell ref="EG4:EH4"/>
    <mergeCell ref="EI4:EJ4"/>
    <mergeCell ref="EK4:EL4"/>
    <mergeCell ref="EM4:EN4"/>
    <mergeCell ref="EO4:EP4"/>
    <mergeCell ref="EQ4:ER4"/>
    <mergeCell ref="DU4:DV4"/>
    <mergeCell ref="DW4:DX4"/>
    <mergeCell ref="DY4:DZ4"/>
    <mergeCell ref="EA4:EB4"/>
    <mergeCell ref="EC4:ED4"/>
    <mergeCell ref="EE4:EF4"/>
    <mergeCell ref="DI4:DJ4"/>
    <mergeCell ref="DK4:DL4"/>
    <mergeCell ref="DM4:DN4"/>
    <mergeCell ref="DO4:DP4"/>
    <mergeCell ref="DQ4:DR4"/>
    <mergeCell ref="DS4:DT4"/>
    <mergeCell ref="CW4:CX4"/>
    <mergeCell ref="CY4:CZ4"/>
    <mergeCell ref="DA4:DB4"/>
    <mergeCell ref="DC4:DD4"/>
    <mergeCell ref="DE4:DF4"/>
    <mergeCell ref="DG4:DH4"/>
    <mergeCell ref="CJ4:CK4"/>
    <mergeCell ref="CL4:CM4"/>
    <mergeCell ref="CN4:CO4"/>
    <mergeCell ref="CP4:CQ4"/>
    <mergeCell ref="CR4:CS4"/>
    <mergeCell ref="CU4:CV4"/>
    <mergeCell ref="BX4:BY4"/>
    <mergeCell ref="BZ4:CA4"/>
    <mergeCell ref="CB4:CC4"/>
    <mergeCell ref="CD4:CE4"/>
    <mergeCell ref="CF4:CG4"/>
    <mergeCell ref="CH4:CI4"/>
    <mergeCell ref="BL4:BM4"/>
    <mergeCell ref="BN4:BO4"/>
    <mergeCell ref="BP4:BQ4"/>
    <mergeCell ref="BR4:BS4"/>
    <mergeCell ref="BT4:BU4"/>
    <mergeCell ref="BV4:BW4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  <mergeCell ref="IV3:IW3"/>
    <mergeCell ref="IX3:IY3"/>
    <mergeCell ref="JT3:JU3"/>
    <mergeCell ref="GJ3:GK3"/>
    <mergeCell ref="EU3:EV3"/>
    <mergeCell ref="EW3:EX3"/>
    <mergeCell ref="EY3:EZ3"/>
    <mergeCell ref="FA3:FB3"/>
    <mergeCell ref="FC3:FD3"/>
    <mergeCell ref="FE3:FF3"/>
    <mergeCell ref="EI3:EJ3"/>
    <mergeCell ref="EK3:EL3"/>
    <mergeCell ref="EM3:EN3"/>
    <mergeCell ref="EO3:EP3"/>
    <mergeCell ref="EQ3:ER3"/>
    <mergeCell ref="ES3:ET3"/>
    <mergeCell ref="DW3:DX3"/>
    <mergeCell ref="DY3:DZ3"/>
    <mergeCell ref="MW3:MX3"/>
    <mergeCell ref="A4:A11"/>
    <mergeCell ref="F4:G4"/>
    <mergeCell ref="H4:I4"/>
    <mergeCell ref="J4:K4"/>
    <mergeCell ref="L4:M4"/>
    <mergeCell ref="N4:O4"/>
    <mergeCell ref="IJ3:IK3"/>
    <mergeCell ref="IL3:IM3"/>
    <mergeCell ref="IN3:IO3"/>
    <mergeCell ref="IP3:IQ3"/>
    <mergeCell ref="IR3:IS3"/>
    <mergeCell ref="IT3:IU3"/>
    <mergeCell ref="HX3:HY3"/>
    <mergeCell ref="HZ3:IA3"/>
    <mergeCell ref="IB3:IC3"/>
    <mergeCell ref="ID3:IE3"/>
    <mergeCell ref="IF3:IG3"/>
    <mergeCell ref="IH3:II3"/>
    <mergeCell ref="FG3:FH3"/>
    <mergeCell ref="FI3:FJ3"/>
    <mergeCell ref="FK3:FL3"/>
    <mergeCell ref="FM3:FN3"/>
    <mergeCell ref="FO3:FP3"/>
    <mergeCell ref="EA3:EB3"/>
    <mergeCell ref="EC3:ED3"/>
    <mergeCell ref="EE3:EF3"/>
    <mergeCell ref="EG3:EH3"/>
    <mergeCell ref="DK3:DL3"/>
    <mergeCell ref="DM3:DN3"/>
    <mergeCell ref="DO3:DP3"/>
    <mergeCell ref="DQ3:DR3"/>
    <mergeCell ref="DS3:DT3"/>
    <mergeCell ref="DU3:DV3"/>
    <mergeCell ref="QL2:QM2"/>
    <mergeCell ref="QN2:QO2"/>
    <mergeCell ref="QP2:QQ2"/>
    <mergeCell ref="F3:G3"/>
    <mergeCell ref="H3:I3"/>
    <mergeCell ref="AD3:AE3"/>
    <mergeCell ref="AH3:AI3"/>
    <mergeCell ref="DC3:DD3"/>
    <mergeCell ref="DG3:DH3"/>
    <mergeCell ref="DI3:DJ3"/>
    <mergeCell ref="PX2:PY2"/>
    <mergeCell ref="PZ2:QA2"/>
    <mergeCell ref="QB2:QC2"/>
    <mergeCell ref="QF2:QG2"/>
    <mergeCell ref="QH2:QI2"/>
    <mergeCell ref="QJ2:QK2"/>
    <mergeCell ref="PK2:PL2"/>
    <mergeCell ref="PM2:PN2"/>
    <mergeCell ref="PO2:PP2"/>
    <mergeCell ref="PR2:PS2"/>
    <mergeCell ref="PT2:PU2"/>
    <mergeCell ref="PV2:PW2"/>
    <mergeCell ref="OY2:OZ2"/>
    <mergeCell ref="PA2:PB2"/>
    <mergeCell ref="PC2:PD2"/>
    <mergeCell ref="PE2:PF2"/>
    <mergeCell ref="PG2:PH2"/>
    <mergeCell ref="PI2:PJ2"/>
    <mergeCell ref="OM2:ON2"/>
    <mergeCell ref="OO2:OP2"/>
    <mergeCell ref="OQ2:OR2"/>
    <mergeCell ref="OS2:OT2"/>
    <mergeCell ref="OU2:OV2"/>
    <mergeCell ref="OW2:OX2"/>
    <mergeCell ref="OA2:OB2"/>
    <mergeCell ref="OC2:OD2"/>
    <mergeCell ref="OE2:OF2"/>
    <mergeCell ref="OG2:OH2"/>
    <mergeCell ref="OI2:OJ2"/>
    <mergeCell ref="OK2:OL2"/>
    <mergeCell ref="NO2:NP2"/>
    <mergeCell ref="NQ2:NR2"/>
    <mergeCell ref="NS2:NT2"/>
    <mergeCell ref="NU2:NV2"/>
    <mergeCell ref="NW2:NX2"/>
    <mergeCell ref="NY2:NZ2"/>
    <mergeCell ref="NC2:ND2"/>
    <mergeCell ref="NE2:NF2"/>
    <mergeCell ref="NG2:NH2"/>
    <mergeCell ref="NI2:NJ2"/>
    <mergeCell ref="NK2:NL2"/>
    <mergeCell ref="NM2:NN2"/>
    <mergeCell ref="MQ2:MR2"/>
    <mergeCell ref="MS2:MT2"/>
    <mergeCell ref="MU2:MV2"/>
    <mergeCell ref="MW2:MX2"/>
    <mergeCell ref="MY2:MZ2"/>
    <mergeCell ref="NA2:NB2"/>
    <mergeCell ref="LX2:LY2"/>
    <mergeCell ref="LZ2:MA2"/>
    <mergeCell ref="MB2:MC2"/>
    <mergeCell ref="MD2:ME2"/>
    <mergeCell ref="MF2:MG2"/>
    <mergeCell ref="MO2:MP2"/>
    <mergeCell ref="LL2:LM2"/>
    <mergeCell ref="LN2:LO2"/>
    <mergeCell ref="LP2:LQ2"/>
    <mergeCell ref="LR2:LS2"/>
    <mergeCell ref="LT2:LU2"/>
    <mergeCell ref="LV2:LW2"/>
    <mergeCell ref="KZ2:LA2"/>
    <mergeCell ref="LB2:LC2"/>
    <mergeCell ref="LD2:LE2"/>
    <mergeCell ref="LF2:LG2"/>
    <mergeCell ref="LH2:LI2"/>
    <mergeCell ref="LJ2:LK2"/>
    <mergeCell ref="KN2:KO2"/>
    <mergeCell ref="KP2:KQ2"/>
    <mergeCell ref="KR2:KS2"/>
    <mergeCell ref="KT2:KU2"/>
    <mergeCell ref="KV2:KW2"/>
    <mergeCell ref="KX2:KY2"/>
    <mergeCell ref="KB2:KC2"/>
    <mergeCell ref="KD2:KE2"/>
    <mergeCell ref="KF2:KG2"/>
    <mergeCell ref="KH2:KI2"/>
    <mergeCell ref="KJ2:KK2"/>
    <mergeCell ref="KL2:KM2"/>
    <mergeCell ref="JP2:JQ2"/>
    <mergeCell ref="JR2:JS2"/>
    <mergeCell ref="JT2:JU2"/>
    <mergeCell ref="JV2:JW2"/>
    <mergeCell ref="JX2:JY2"/>
    <mergeCell ref="JZ2:KA2"/>
    <mergeCell ref="IV2:IW2"/>
    <mergeCell ref="IX2:IY2"/>
    <mergeCell ref="JA2:JB2"/>
    <mergeCell ref="JC2:JD2"/>
    <mergeCell ref="JL2:JM2"/>
    <mergeCell ref="JN2:JO2"/>
    <mergeCell ref="IJ2:IK2"/>
    <mergeCell ref="IL2:IM2"/>
    <mergeCell ref="IN2:IO2"/>
    <mergeCell ref="IP2:IQ2"/>
    <mergeCell ref="IR2:IS2"/>
    <mergeCell ref="IT2:IU2"/>
    <mergeCell ref="HX2:HY2"/>
    <mergeCell ref="HZ2:IA2"/>
    <mergeCell ref="IB2:IC2"/>
    <mergeCell ref="ID2:IE2"/>
    <mergeCell ref="IF2:IG2"/>
    <mergeCell ref="IH2:II2"/>
    <mergeCell ref="HL2:HM2"/>
    <mergeCell ref="HN2:HO2"/>
    <mergeCell ref="HP2:HQ2"/>
    <mergeCell ref="HR2:HS2"/>
    <mergeCell ref="HT2:HU2"/>
    <mergeCell ref="HV2:HW2"/>
    <mergeCell ref="GZ2:HA2"/>
    <mergeCell ref="HB2:HC2"/>
    <mergeCell ref="HD2:HE2"/>
    <mergeCell ref="HF2:HG2"/>
    <mergeCell ref="HH2:HI2"/>
    <mergeCell ref="HJ2:HK2"/>
    <mergeCell ref="GN2:GO2"/>
    <mergeCell ref="GP2:GQ2"/>
    <mergeCell ref="GR2:GS2"/>
    <mergeCell ref="GT2:GU2"/>
    <mergeCell ref="GV2:GW2"/>
    <mergeCell ref="GX2:GY2"/>
    <mergeCell ref="GB2:GC2"/>
    <mergeCell ref="GD2:GE2"/>
    <mergeCell ref="GF2:GG2"/>
    <mergeCell ref="GH2:GI2"/>
    <mergeCell ref="GJ2:GK2"/>
    <mergeCell ref="GL2:GM2"/>
    <mergeCell ref="FI2:FJ2"/>
    <mergeCell ref="FK2:FL2"/>
    <mergeCell ref="FM2:FN2"/>
    <mergeCell ref="FO2:FP2"/>
    <mergeCell ref="FX2:FY2"/>
    <mergeCell ref="FZ2:GA2"/>
    <mergeCell ref="EW2:EX2"/>
    <mergeCell ref="EY2:EZ2"/>
    <mergeCell ref="FA2:FB2"/>
    <mergeCell ref="FC2:FD2"/>
    <mergeCell ref="FE2:FF2"/>
    <mergeCell ref="FG2:FH2"/>
    <mergeCell ref="EK2:EL2"/>
    <mergeCell ref="EM2:EN2"/>
    <mergeCell ref="EO2:EP2"/>
    <mergeCell ref="EQ2:ER2"/>
    <mergeCell ref="ES2:ET2"/>
    <mergeCell ref="EU2:EV2"/>
    <mergeCell ref="DY2:DZ2"/>
    <mergeCell ref="EA2:EB2"/>
    <mergeCell ref="EC2:ED2"/>
    <mergeCell ref="EE2:EF2"/>
    <mergeCell ref="EG2:EH2"/>
    <mergeCell ref="EI2:EJ2"/>
    <mergeCell ref="DM2:DN2"/>
    <mergeCell ref="DO2:DP2"/>
    <mergeCell ref="DQ2:DR2"/>
    <mergeCell ref="DS2:DT2"/>
    <mergeCell ref="DU2:DV2"/>
    <mergeCell ref="DW2:DX2"/>
    <mergeCell ref="DA2:DB2"/>
    <mergeCell ref="DC2:DD2"/>
    <mergeCell ref="DE2:DF2"/>
    <mergeCell ref="DG2:DH2"/>
    <mergeCell ref="DI2:DJ2"/>
    <mergeCell ref="DK2:DL2"/>
    <mergeCell ref="CL2:CM2"/>
    <mergeCell ref="CN2:CO2"/>
    <mergeCell ref="CP2:CQ2"/>
    <mergeCell ref="CR2:CS2"/>
    <mergeCell ref="CW2:CX2"/>
    <mergeCell ref="CY2:CZ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customProperties>
    <customPr name="_pios_id" r:id="rId1"/>
  </customPropertie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80C1-CE6E-4E31-828D-C289444C0EB1}">
  <dimension ref="A1"/>
  <sheetViews>
    <sheetView zoomScale="229" zoomScaleNormal="229" workbookViewId="0"/>
  </sheetViews>
  <sheetFormatPr defaultRowHeight="14.25" x14ac:dyDescent="0.45"/>
  <sheetData/>
  <pageMargins left="0.7" right="0.7" top="0.75" bottom="0.75" header="0.3" footer="0.3"/>
  <customProperties>
    <customPr name="_pios_id" r:id="rId1"/>
  </customPropertie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C7C5-F0AC-46F1-92DB-580E001E1C54}">
  <dimension ref="A1:C100"/>
  <sheetViews>
    <sheetView workbookViewId="0">
      <pane ySplit="1" topLeftCell="A2" activePane="bottomLeft" state="frozen"/>
      <selection pane="bottomLeft" activeCell="C33" sqref="C33"/>
    </sheetView>
  </sheetViews>
  <sheetFormatPr defaultRowHeight="14.25" x14ac:dyDescent="0.45"/>
  <cols>
    <col min="1" max="2" width="14" bestFit="1" customWidth="1"/>
  </cols>
  <sheetData>
    <row r="1" spans="1:3" x14ac:dyDescent="0.45">
      <c r="A1" s="5" t="s">
        <v>109</v>
      </c>
      <c r="B1" s="6" t="s">
        <v>7</v>
      </c>
      <c r="C1" s="12" t="s">
        <v>108</v>
      </c>
    </row>
    <row r="2" spans="1:3" x14ac:dyDescent="0.45">
      <c r="A2" s="7" t="s">
        <v>110</v>
      </c>
      <c r="B2" s="4" t="s">
        <v>17</v>
      </c>
      <c r="C2" s="8" t="s">
        <v>120</v>
      </c>
    </row>
    <row r="3" spans="1:3" x14ac:dyDescent="0.45">
      <c r="A3" s="7" t="s">
        <v>110</v>
      </c>
      <c r="B3" s="3" t="s">
        <v>36</v>
      </c>
      <c r="C3" s="8" t="s">
        <v>120</v>
      </c>
    </row>
    <row r="4" spans="1:3" x14ac:dyDescent="0.45">
      <c r="A4" s="7" t="s">
        <v>110</v>
      </c>
      <c r="B4" s="3" t="s">
        <v>48</v>
      </c>
      <c r="C4" s="8" t="s">
        <v>120</v>
      </c>
    </row>
    <row r="5" spans="1:3" x14ac:dyDescent="0.45">
      <c r="A5" s="7" t="s">
        <v>110</v>
      </c>
      <c r="B5" s="3" t="s">
        <v>50</v>
      </c>
      <c r="C5" s="8" t="s">
        <v>120</v>
      </c>
    </row>
    <row r="6" spans="1:3" x14ac:dyDescent="0.45">
      <c r="A6" s="7" t="s">
        <v>110</v>
      </c>
      <c r="B6" s="3" t="s">
        <v>52</v>
      </c>
      <c r="C6" s="8" t="s">
        <v>120</v>
      </c>
    </row>
    <row r="7" spans="1:3" x14ac:dyDescent="0.45">
      <c r="A7" s="7" t="s">
        <v>110</v>
      </c>
      <c r="B7" s="3" t="s">
        <v>55</v>
      </c>
      <c r="C7" s="8" t="s">
        <v>120</v>
      </c>
    </row>
    <row r="8" spans="1:3" x14ac:dyDescent="0.45">
      <c r="A8" s="7" t="s">
        <v>110</v>
      </c>
      <c r="B8" s="3" t="s">
        <v>61</v>
      </c>
      <c r="C8" s="8" t="s">
        <v>120</v>
      </c>
    </row>
    <row r="9" spans="1:3" x14ac:dyDescent="0.45">
      <c r="A9" s="7" t="s">
        <v>110</v>
      </c>
      <c r="B9" s="3" t="s">
        <v>63</v>
      </c>
      <c r="C9" s="8" t="s">
        <v>120</v>
      </c>
    </row>
    <row r="10" spans="1:3" x14ac:dyDescent="0.45">
      <c r="A10" s="7" t="s">
        <v>110</v>
      </c>
      <c r="B10" s="3" t="s">
        <v>64</v>
      </c>
      <c r="C10" s="8" t="s">
        <v>120</v>
      </c>
    </row>
    <row r="11" spans="1:3" x14ac:dyDescent="0.45">
      <c r="A11" s="7" t="s">
        <v>110</v>
      </c>
      <c r="B11" s="3" t="s">
        <v>65</v>
      </c>
      <c r="C11" s="8" t="s">
        <v>120</v>
      </c>
    </row>
    <row r="12" spans="1:3" x14ac:dyDescent="0.45">
      <c r="A12" s="7" t="s">
        <v>110</v>
      </c>
      <c r="B12" s="3" t="s">
        <v>70</v>
      </c>
      <c r="C12" s="8" t="s">
        <v>120</v>
      </c>
    </row>
    <row r="13" spans="1:3" x14ac:dyDescent="0.45">
      <c r="A13" s="7" t="s">
        <v>110</v>
      </c>
      <c r="B13" s="3" t="s">
        <v>71</v>
      </c>
      <c r="C13" s="8" t="s">
        <v>120</v>
      </c>
    </row>
    <row r="14" spans="1:3" x14ac:dyDescent="0.45">
      <c r="A14" s="7" t="s">
        <v>110</v>
      </c>
      <c r="B14" s="3" t="s">
        <v>72</v>
      </c>
      <c r="C14" s="8" t="s">
        <v>120</v>
      </c>
    </row>
    <row r="15" spans="1:3" x14ac:dyDescent="0.45">
      <c r="A15" s="7" t="s">
        <v>110</v>
      </c>
      <c r="B15" s="3" t="s">
        <v>74</v>
      </c>
      <c r="C15" s="8" t="s">
        <v>120</v>
      </c>
    </row>
    <row r="16" spans="1:3" x14ac:dyDescent="0.45">
      <c r="A16" s="7" t="s">
        <v>110</v>
      </c>
      <c r="B16" s="3" t="s">
        <v>77</v>
      </c>
      <c r="C16" s="8" t="s">
        <v>120</v>
      </c>
    </row>
    <row r="17" spans="1:3" x14ac:dyDescent="0.45">
      <c r="A17" s="7" t="s">
        <v>110</v>
      </c>
      <c r="B17" s="3" t="s">
        <v>79</v>
      </c>
      <c r="C17" s="8" t="s">
        <v>120</v>
      </c>
    </row>
    <row r="18" spans="1:3" x14ac:dyDescent="0.45">
      <c r="A18" s="7" t="s">
        <v>110</v>
      </c>
      <c r="B18" s="3" t="s">
        <v>81</v>
      </c>
      <c r="C18" s="8" t="s">
        <v>120</v>
      </c>
    </row>
    <row r="19" spans="1:3" x14ac:dyDescent="0.45">
      <c r="A19" s="7" t="s">
        <v>110</v>
      </c>
      <c r="B19" s="3" t="s">
        <v>86</v>
      </c>
      <c r="C19" s="8" t="s">
        <v>120</v>
      </c>
    </row>
    <row r="20" spans="1:3" x14ac:dyDescent="0.45">
      <c r="A20" s="7" t="s">
        <v>110</v>
      </c>
      <c r="B20" s="3" t="s">
        <v>88</v>
      </c>
      <c r="C20" s="8" t="s">
        <v>120</v>
      </c>
    </row>
    <row r="21" spans="1:3" x14ac:dyDescent="0.45">
      <c r="A21" s="7" t="s">
        <v>110</v>
      </c>
      <c r="B21" s="3" t="s">
        <v>89</v>
      </c>
      <c r="C21" s="8" t="s">
        <v>120</v>
      </c>
    </row>
    <row r="22" spans="1:3" x14ac:dyDescent="0.45">
      <c r="A22" s="7" t="s">
        <v>110</v>
      </c>
      <c r="B22" s="3" t="s">
        <v>90</v>
      </c>
      <c r="C22" s="8" t="s">
        <v>120</v>
      </c>
    </row>
    <row r="23" spans="1:3" x14ac:dyDescent="0.45">
      <c r="A23" s="7" t="s">
        <v>110</v>
      </c>
      <c r="B23" s="3" t="s">
        <v>91</v>
      </c>
      <c r="C23" s="8" t="s">
        <v>120</v>
      </c>
    </row>
    <row r="24" spans="1:3" x14ac:dyDescent="0.45">
      <c r="A24" s="7" t="s">
        <v>110</v>
      </c>
      <c r="B24" s="3" t="s">
        <v>94</v>
      </c>
      <c r="C24" s="8" t="s">
        <v>120</v>
      </c>
    </row>
    <row r="25" spans="1:3" x14ac:dyDescent="0.45">
      <c r="A25" s="7" t="s">
        <v>110</v>
      </c>
      <c r="B25" s="3" t="s">
        <v>96</v>
      </c>
      <c r="C25" s="8" t="s">
        <v>120</v>
      </c>
    </row>
    <row r="26" spans="1:3" x14ac:dyDescent="0.45">
      <c r="A26" s="7" t="s">
        <v>110</v>
      </c>
      <c r="B26" s="3" t="s">
        <v>97</v>
      </c>
      <c r="C26" s="8" t="s">
        <v>120</v>
      </c>
    </row>
    <row r="27" spans="1:3" x14ac:dyDescent="0.45">
      <c r="A27" s="7" t="s">
        <v>110</v>
      </c>
      <c r="B27" s="3" t="s">
        <v>98</v>
      </c>
      <c r="C27" s="8" t="s">
        <v>120</v>
      </c>
    </row>
    <row r="28" spans="1:3" x14ac:dyDescent="0.45">
      <c r="A28" s="7" t="s">
        <v>110</v>
      </c>
      <c r="B28" s="3" t="s">
        <v>99</v>
      </c>
      <c r="C28" s="8" t="s">
        <v>120</v>
      </c>
    </row>
    <row r="29" spans="1:3" x14ac:dyDescent="0.45">
      <c r="A29" s="7" t="s">
        <v>110</v>
      </c>
      <c r="B29" s="3" t="s">
        <v>100</v>
      </c>
      <c r="C29" s="8" t="s">
        <v>120</v>
      </c>
    </row>
    <row r="30" spans="1:3" x14ac:dyDescent="0.45">
      <c r="A30" s="7" t="s">
        <v>110</v>
      </c>
      <c r="B30" s="3" t="s">
        <v>102</v>
      </c>
      <c r="C30" s="8" t="s">
        <v>120</v>
      </c>
    </row>
    <row r="31" spans="1:3" x14ac:dyDescent="0.45">
      <c r="A31" s="7" t="s">
        <v>110</v>
      </c>
      <c r="B31" s="3" t="s">
        <v>103</v>
      </c>
      <c r="C31" s="8" t="s">
        <v>120</v>
      </c>
    </row>
    <row r="32" spans="1:3" x14ac:dyDescent="0.45">
      <c r="A32" s="7" t="s">
        <v>111</v>
      </c>
      <c r="B32" s="3" t="s">
        <v>13</v>
      </c>
      <c r="C32" s="8" t="s">
        <v>107</v>
      </c>
    </row>
    <row r="33" spans="1:3" x14ac:dyDescent="0.45">
      <c r="A33" s="7" t="s">
        <v>111</v>
      </c>
      <c r="B33" s="3" t="s">
        <v>18</v>
      </c>
      <c r="C33" s="8" t="s">
        <v>107</v>
      </c>
    </row>
    <row r="34" spans="1:3" x14ac:dyDescent="0.45">
      <c r="A34" s="7" t="s">
        <v>111</v>
      </c>
      <c r="B34" s="3" t="s">
        <v>37</v>
      </c>
      <c r="C34" s="8" t="s">
        <v>120</v>
      </c>
    </row>
    <row r="35" spans="1:3" x14ac:dyDescent="0.45">
      <c r="A35" s="7" t="s">
        <v>111</v>
      </c>
      <c r="B35" s="3" t="s">
        <v>47</v>
      </c>
      <c r="C35" s="8" t="s">
        <v>120</v>
      </c>
    </row>
    <row r="36" spans="1:3" x14ac:dyDescent="0.45">
      <c r="A36" s="7" t="s">
        <v>111</v>
      </c>
      <c r="B36" s="3" t="s">
        <v>66</v>
      </c>
      <c r="C36" s="8" t="s">
        <v>107</v>
      </c>
    </row>
    <row r="37" spans="1:3" x14ac:dyDescent="0.45">
      <c r="A37" s="7" t="s">
        <v>111</v>
      </c>
      <c r="B37" s="3" t="s">
        <v>73</v>
      </c>
      <c r="C37" s="8" t="s">
        <v>120</v>
      </c>
    </row>
    <row r="38" spans="1:3" x14ac:dyDescent="0.45">
      <c r="A38" s="7" t="s">
        <v>111</v>
      </c>
      <c r="B38" s="3" t="s">
        <v>76</v>
      </c>
      <c r="C38" s="8" t="s">
        <v>120</v>
      </c>
    </row>
    <row r="39" spans="1:3" x14ac:dyDescent="0.45">
      <c r="A39" s="7" t="s">
        <v>111</v>
      </c>
      <c r="B39" s="3" t="s">
        <v>82</v>
      </c>
      <c r="C39" s="8" t="s">
        <v>120</v>
      </c>
    </row>
    <row r="40" spans="1:3" x14ac:dyDescent="0.45">
      <c r="A40" s="7" t="s">
        <v>111</v>
      </c>
      <c r="B40" s="3" t="s">
        <v>92</v>
      </c>
      <c r="C40" s="8" t="s">
        <v>120</v>
      </c>
    </row>
    <row r="41" spans="1:3" x14ac:dyDescent="0.45">
      <c r="A41" s="7" t="s">
        <v>111</v>
      </c>
      <c r="B41" s="3" t="s">
        <v>104</v>
      </c>
      <c r="C41" s="8" t="s">
        <v>120</v>
      </c>
    </row>
    <row r="42" spans="1:3" x14ac:dyDescent="0.45">
      <c r="A42" s="7" t="s">
        <v>112</v>
      </c>
      <c r="B42" s="3" t="s">
        <v>10</v>
      </c>
      <c r="C42" s="8" t="s">
        <v>121</v>
      </c>
    </row>
    <row r="43" spans="1:3" x14ac:dyDescent="0.45">
      <c r="A43" s="7" t="s">
        <v>112</v>
      </c>
      <c r="B43" s="3" t="s">
        <v>16</v>
      </c>
      <c r="C43" s="8" t="s">
        <v>121</v>
      </c>
    </row>
    <row r="44" spans="1:3" x14ac:dyDescent="0.45">
      <c r="A44" s="7" t="s">
        <v>113</v>
      </c>
      <c r="B44" s="3" t="s">
        <v>8</v>
      </c>
      <c r="C44" s="8" t="s">
        <v>121</v>
      </c>
    </row>
    <row r="45" spans="1:3" x14ac:dyDescent="0.45">
      <c r="A45" s="7" t="s">
        <v>113</v>
      </c>
      <c r="B45" s="3" t="s">
        <v>12</v>
      </c>
      <c r="C45" s="8" t="s">
        <v>121</v>
      </c>
    </row>
    <row r="46" spans="1:3" x14ac:dyDescent="0.45">
      <c r="A46" s="7" t="s">
        <v>113</v>
      </c>
      <c r="B46" s="3" t="s">
        <v>19</v>
      </c>
      <c r="C46" s="8" t="s">
        <v>121</v>
      </c>
    </row>
    <row r="47" spans="1:3" x14ac:dyDescent="0.45">
      <c r="A47" s="7" t="s">
        <v>113</v>
      </c>
      <c r="B47" s="4" t="s">
        <v>23</v>
      </c>
      <c r="C47" s="8" t="s">
        <v>121</v>
      </c>
    </row>
    <row r="48" spans="1:3" x14ac:dyDescent="0.45">
      <c r="A48" s="7" t="s">
        <v>113</v>
      </c>
      <c r="B48" s="3" t="s">
        <v>27</v>
      </c>
      <c r="C48" s="8" t="s">
        <v>121</v>
      </c>
    </row>
    <row r="49" spans="1:3" x14ac:dyDescent="0.45">
      <c r="A49" s="7" t="s">
        <v>113</v>
      </c>
      <c r="B49" s="3" t="s">
        <v>34</v>
      </c>
      <c r="C49" s="8" t="s">
        <v>121</v>
      </c>
    </row>
    <row r="50" spans="1:3" x14ac:dyDescent="0.45">
      <c r="A50" s="7" t="s">
        <v>113</v>
      </c>
      <c r="B50" s="3" t="s">
        <v>41</v>
      </c>
      <c r="C50" s="8" t="s">
        <v>120</v>
      </c>
    </row>
    <row r="51" spans="1:3" x14ac:dyDescent="0.45">
      <c r="A51" s="7" t="s">
        <v>113</v>
      </c>
      <c r="B51" s="3" t="s">
        <v>60</v>
      </c>
      <c r="C51" s="8" t="s">
        <v>120</v>
      </c>
    </row>
    <row r="52" spans="1:3" x14ac:dyDescent="0.45">
      <c r="A52" s="7" t="s">
        <v>114</v>
      </c>
      <c r="B52" s="4" t="s">
        <v>25</v>
      </c>
      <c r="C52" s="8" t="s">
        <v>120</v>
      </c>
    </row>
    <row r="53" spans="1:3" x14ac:dyDescent="0.45">
      <c r="A53" s="7" t="s">
        <v>114</v>
      </c>
      <c r="B53" s="4" t="s">
        <v>26</v>
      </c>
      <c r="C53" s="8" t="s">
        <v>120</v>
      </c>
    </row>
    <row r="54" spans="1:3" x14ac:dyDescent="0.45">
      <c r="A54" s="7" t="s">
        <v>114</v>
      </c>
      <c r="B54" s="4" t="s">
        <v>28</v>
      </c>
      <c r="C54" s="8" t="s">
        <v>120</v>
      </c>
    </row>
    <row r="55" spans="1:3" x14ac:dyDescent="0.45">
      <c r="A55" s="7" t="s">
        <v>114</v>
      </c>
      <c r="B55" s="4" t="s">
        <v>30</v>
      </c>
      <c r="C55" s="8" t="s">
        <v>120</v>
      </c>
    </row>
    <row r="56" spans="1:3" x14ac:dyDescent="0.45">
      <c r="A56" s="7" t="s">
        <v>114</v>
      </c>
      <c r="B56" s="3" t="s">
        <v>39</v>
      </c>
      <c r="C56" s="8" t="s">
        <v>120</v>
      </c>
    </row>
    <row r="57" spans="1:3" x14ac:dyDescent="0.45">
      <c r="A57" s="7" t="s">
        <v>114</v>
      </c>
      <c r="B57" s="3" t="s">
        <v>40</v>
      </c>
      <c r="C57" s="8" t="s">
        <v>120</v>
      </c>
    </row>
    <row r="58" spans="1:3" x14ac:dyDescent="0.45">
      <c r="A58" s="7" t="s">
        <v>114</v>
      </c>
      <c r="B58" s="3" t="s">
        <v>56</v>
      </c>
      <c r="C58" s="8" t="s">
        <v>120</v>
      </c>
    </row>
    <row r="59" spans="1:3" x14ac:dyDescent="0.45">
      <c r="A59" s="7" t="s">
        <v>114</v>
      </c>
      <c r="B59" s="3" t="s">
        <v>57</v>
      </c>
      <c r="C59" s="8" t="s">
        <v>120</v>
      </c>
    </row>
    <row r="60" spans="1:3" x14ac:dyDescent="0.45">
      <c r="A60" s="7" t="s">
        <v>114</v>
      </c>
      <c r="B60" s="3" t="s">
        <v>62</v>
      </c>
      <c r="C60" s="8" t="s">
        <v>120</v>
      </c>
    </row>
    <row r="61" spans="1:3" x14ac:dyDescent="0.45">
      <c r="A61" s="7" t="s">
        <v>114</v>
      </c>
      <c r="B61" s="3" t="s">
        <v>67</v>
      </c>
      <c r="C61" s="8" t="s">
        <v>120</v>
      </c>
    </row>
    <row r="62" spans="1:3" x14ac:dyDescent="0.45">
      <c r="A62" s="7" t="s">
        <v>114</v>
      </c>
      <c r="B62" s="3" t="s">
        <v>78</v>
      </c>
      <c r="C62" s="8" t="s">
        <v>120</v>
      </c>
    </row>
    <row r="63" spans="1:3" x14ac:dyDescent="0.45">
      <c r="A63" s="7" t="s">
        <v>114</v>
      </c>
      <c r="B63" s="3" t="s">
        <v>83</v>
      </c>
      <c r="C63" s="8" t="s">
        <v>120</v>
      </c>
    </row>
    <row r="64" spans="1:3" x14ac:dyDescent="0.45">
      <c r="A64" s="7" t="s">
        <v>114</v>
      </c>
      <c r="B64" s="3" t="s">
        <v>95</v>
      </c>
      <c r="C64" s="8" t="s">
        <v>120</v>
      </c>
    </row>
    <row r="65" spans="1:3" x14ac:dyDescent="0.45">
      <c r="A65" s="7" t="s">
        <v>114</v>
      </c>
      <c r="B65" s="3" t="s">
        <v>106</v>
      </c>
      <c r="C65" s="8" t="s">
        <v>120</v>
      </c>
    </row>
    <row r="66" spans="1:3" x14ac:dyDescent="0.45">
      <c r="A66" s="7" t="s">
        <v>115</v>
      </c>
      <c r="B66" s="3" t="s">
        <v>11</v>
      </c>
      <c r="C66" s="8" t="s">
        <v>120</v>
      </c>
    </row>
    <row r="67" spans="1:3" x14ac:dyDescent="0.45">
      <c r="A67" s="7" t="s">
        <v>116</v>
      </c>
      <c r="B67" s="3" t="s">
        <v>14</v>
      </c>
      <c r="C67" s="8" t="s">
        <v>120</v>
      </c>
    </row>
    <row r="68" spans="1:3" x14ac:dyDescent="0.45">
      <c r="A68" s="7" t="s">
        <v>116</v>
      </c>
      <c r="B68" s="3" t="s">
        <v>20</v>
      </c>
      <c r="C68" s="8" t="s">
        <v>120</v>
      </c>
    </row>
    <row r="69" spans="1:3" x14ac:dyDescent="0.45">
      <c r="A69" s="7" t="s">
        <v>116</v>
      </c>
      <c r="B69" s="3" t="s">
        <v>24</v>
      </c>
      <c r="C69" s="8" t="s">
        <v>120</v>
      </c>
    </row>
    <row r="70" spans="1:3" x14ac:dyDescent="0.45">
      <c r="A70" s="7" t="s">
        <v>116</v>
      </c>
      <c r="B70" s="3" t="s">
        <v>29</v>
      </c>
      <c r="C70" s="8" t="s">
        <v>120</v>
      </c>
    </row>
    <row r="71" spans="1:3" x14ac:dyDescent="0.45">
      <c r="A71" s="7" t="s">
        <v>116</v>
      </c>
      <c r="B71" s="3" t="s">
        <v>42</v>
      </c>
      <c r="C71" s="8" t="s">
        <v>120</v>
      </c>
    </row>
    <row r="72" spans="1:3" x14ac:dyDescent="0.45">
      <c r="A72" s="7" t="s">
        <v>116</v>
      </c>
      <c r="B72" s="3" t="s">
        <v>43</v>
      </c>
      <c r="C72" s="8" t="s">
        <v>120</v>
      </c>
    </row>
    <row r="73" spans="1:3" x14ac:dyDescent="0.45">
      <c r="A73" s="7" t="s">
        <v>116</v>
      </c>
      <c r="B73" s="3" t="s">
        <v>51</v>
      </c>
      <c r="C73" s="8" t="s">
        <v>120</v>
      </c>
    </row>
    <row r="74" spans="1:3" x14ac:dyDescent="0.45">
      <c r="A74" s="7" t="s">
        <v>116</v>
      </c>
      <c r="B74" s="3" t="s">
        <v>75</v>
      </c>
      <c r="C74" s="8" t="s">
        <v>120</v>
      </c>
    </row>
    <row r="75" spans="1:3" x14ac:dyDescent="0.45">
      <c r="A75" s="7" t="s">
        <v>116</v>
      </c>
      <c r="B75" s="3" t="s">
        <v>93</v>
      </c>
      <c r="C75" s="8" t="s">
        <v>120</v>
      </c>
    </row>
    <row r="76" spans="1:3" x14ac:dyDescent="0.45">
      <c r="A76" s="7" t="s">
        <v>116</v>
      </c>
      <c r="B76" s="3" t="s">
        <v>105</v>
      </c>
      <c r="C76" s="8" t="s">
        <v>120</v>
      </c>
    </row>
    <row r="77" spans="1:3" x14ac:dyDescent="0.45">
      <c r="A77" s="7" t="s">
        <v>117</v>
      </c>
      <c r="B77" s="3" t="s">
        <v>9</v>
      </c>
      <c r="C77" s="8" t="s">
        <v>120</v>
      </c>
    </row>
    <row r="78" spans="1:3" x14ac:dyDescent="0.45">
      <c r="A78" s="7" t="s">
        <v>117</v>
      </c>
      <c r="B78" s="3" t="s">
        <v>21</v>
      </c>
      <c r="C78" s="8" t="s">
        <v>120</v>
      </c>
    </row>
    <row r="79" spans="1:3" x14ac:dyDescent="0.45">
      <c r="A79" s="7" t="s">
        <v>117</v>
      </c>
      <c r="B79" s="3" t="s">
        <v>22</v>
      </c>
      <c r="C79" s="8" t="s">
        <v>120</v>
      </c>
    </row>
    <row r="80" spans="1:3" x14ac:dyDescent="0.45">
      <c r="A80" s="7" t="s">
        <v>117</v>
      </c>
      <c r="B80" s="3" t="s">
        <v>35</v>
      </c>
      <c r="C80" s="8" t="s">
        <v>120</v>
      </c>
    </row>
    <row r="81" spans="1:3" x14ac:dyDescent="0.45">
      <c r="A81" s="7" t="s">
        <v>117</v>
      </c>
      <c r="B81" s="3" t="s">
        <v>38</v>
      </c>
      <c r="C81" s="8" t="s">
        <v>120</v>
      </c>
    </row>
    <row r="82" spans="1:3" x14ac:dyDescent="0.45">
      <c r="A82" s="7" t="s">
        <v>117</v>
      </c>
      <c r="B82" s="4" t="s">
        <v>49</v>
      </c>
      <c r="C82" s="8" t="s">
        <v>120</v>
      </c>
    </row>
    <row r="83" spans="1:3" x14ac:dyDescent="0.45">
      <c r="A83" s="7" t="s">
        <v>118</v>
      </c>
      <c r="B83" s="3" t="s">
        <v>15</v>
      </c>
      <c r="C83" s="8" t="s">
        <v>120</v>
      </c>
    </row>
    <row r="84" spans="1:3" x14ac:dyDescent="0.45">
      <c r="A84" s="7" t="s">
        <v>118</v>
      </c>
      <c r="B84" s="3" t="s">
        <v>31</v>
      </c>
      <c r="C84" s="8" t="s">
        <v>120</v>
      </c>
    </row>
    <row r="85" spans="1:3" x14ac:dyDescent="0.45">
      <c r="A85" s="7" t="s">
        <v>118</v>
      </c>
      <c r="B85" s="3" t="s">
        <v>32</v>
      </c>
      <c r="C85" s="8" t="s">
        <v>120</v>
      </c>
    </row>
    <row r="86" spans="1:3" x14ac:dyDescent="0.45">
      <c r="A86" s="7" t="s">
        <v>118</v>
      </c>
      <c r="B86" s="4" t="s">
        <v>44</v>
      </c>
      <c r="C86" s="8" t="s">
        <v>120</v>
      </c>
    </row>
    <row r="87" spans="1:3" x14ac:dyDescent="0.45">
      <c r="A87" s="7" t="s">
        <v>118</v>
      </c>
      <c r="B87" s="3" t="s">
        <v>45</v>
      </c>
      <c r="C87" s="8" t="s">
        <v>120</v>
      </c>
    </row>
    <row r="88" spans="1:3" x14ac:dyDescent="0.45">
      <c r="A88" s="7" t="s">
        <v>118</v>
      </c>
      <c r="B88" s="3" t="s">
        <v>46</v>
      </c>
      <c r="C88" s="8" t="s">
        <v>120</v>
      </c>
    </row>
    <row r="89" spans="1:3" x14ac:dyDescent="0.45">
      <c r="A89" s="7" t="s">
        <v>118</v>
      </c>
      <c r="B89" s="3" t="s">
        <v>53</v>
      </c>
      <c r="C89" s="8" t="s">
        <v>120</v>
      </c>
    </row>
    <row r="90" spans="1:3" x14ac:dyDescent="0.45">
      <c r="A90" s="7" t="s">
        <v>118</v>
      </c>
      <c r="B90" s="3" t="s">
        <v>59</v>
      </c>
      <c r="C90" s="8" t="s">
        <v>120</v>
      </c>
    </row>
    <row r="91" spans="1:3" x14ac:dyDescent="0.45">
      <c r="A91" s="7" t="s">
        <v>118</v>
      </c>
      <c r="B91" s="3" t="s">
        <v>68</v>
      </c>
      <c r="C91" s="8" t="s">
        <v>120</v>
      </c>
    </row>
    <row r="92" spans="1:3" x14ac:dyDescent="0.45">
      <c r="A92" s="7" t="s">
        <v>118</v>
      </c>
      <c r="B92" s="3" t="s">
        <v>69</v>
      </c>
      <c r="C92" s="8" t="s">
        <v>120</v>
      </c>
    </row>
    <row r="93" spans="1:3" x14ac:dyDescent="0.45">
      <c r="A93" s="7" t="s">
        <v>118</v>
      </c>
      <c r="B93" s="3" t="s">
        <v>84</v>
      </c>
      <c r="C93" s="8" t="s">
        <v>120</v>
      </c>
    </row>
    <row r="94" spans="1:3" x14ac:dyDescent="0.45">
      <c r="A94" s="7" t="s">
        <v>118</v>
      </c>
      <c r="B94" s="3" t="s">
        <v>85</v>
      </c>
      <c r="C94" s="8" t="s">
        <v>120</v>
      </c>
    </row>
    <row r="95" spans="1:3" x14ac:dyDescent="0.45">
      <c r="A95" s="7" t="s">
        <v>118</v>
      </c>
      <c r="B95" s="3" t="s">
        <v>87</v>
      </c>
      <c r="C95" s="8" t="s">
        <v>120</v>
      </c>
    </row>
    <row r="96" spans="1:3" x14ac:dyDescent="0.45">
      <c r="A96" s="7" t="s">
        <v>119</v>
      </c>
      <c r="B96" s="3" t="s">
        <v>33</v>
      </c>
      <c r="C96" s="8" t="s">
        <v>120</v>
      </c>
    </row>
    <row r="97" spans="1:3" x14ac:dyDescent="0.45">
      <c r="A97" s="7" t="s">
        <v>119</v>
      </c>
      <c r="B97" s="3" t="s">
        <v>54</v>
      </c>
      <c r="C97" s="8" t="s">
        <v>120</v>
      </c>
    </row>
    <row r="98" spans="1:3" x14ac:dyDescent="0.45">
      <c r="A98" s="7" t="s">
        <v>119</v>
      </c>
      <c r="B98" s="3" t="s">
        <v>58</v>
      </c>
      <c r="C98" s="8" t="s">
        <v>120</v>
      </c>
    </row>
    <row r="99" spans="1:3" x14ac:dyDescent="0.45">
      <c r="A99" s="7" t="s">
        <v>119</v>
      </c>
      <c r="B99" s="3" t="s">
        <v>80</v>
      </c>
      <c r="C99" s="8" t="s">
        <v>120</v>
      </c>
    </row>
    <row r="100" spans="1:3" ht="14.65" thickBot="1" x14ac:dyDescent="0.5">
      <c r="A100" s="9" t="s">
        <v>119</v>
      </c>
      <c r="B100" s="10" t="s">
        <v>101</v>
      </c>
      <c r="C100" s="11" t="s">
        <v>120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D94E-D531-42ED-930A-C1E1374EDDCD}">
  <dimension ref="A1:D15"/>
  <sheetViews>
    <sheetView workbookViewId="0">
      <selection activeCell="H22" sqref="G5:H22"/>
    </sheetView>
  </sheetViews>
  <sheetFormatPr defaultRowHeight="14.25" x14ac:dyDescent="0.45"/>
  <cols>
    <col min="1" max="1" width="29.6640625" bestFit="1" customWidth="1"/>
    <col min="2" max="2" width="12.1328125" bestFit="1" customWidth="1"/>
    <col min="3" max="3" width="12.6640625" style="13" bestFit="1" customWidth="1"/>
    <col min="4" max="4" width="6.3984375" bestFit="1" customWidth="1"/>
  </cols>
  <sheetData>
    <row r="1" spans="1:4" x14ac:dyDescent="0.45">
      <c r="A1" t="s">
        <v>7</v>
      </c>
      <c r="B1" t="s">
        <v>23</v>
      </c>
    </row>
    <row r="2" spans="1:4" x14ac:dyDescent="0.45">
      <c r="A2" t="s">
        <v>137</v>
      </c>
      <c r="B2" t="s">
        <v>138</v>
      </c>
    </row>
    <row r="3" spans="1:4" ht="14.65" thickBot="1" x14ac:dyDescent="0.5"/>
    <row r="4" spans="1:4" ht="14.65" thickBot="1" x14ac:dyDescent="0.5">
      <c r="A4" s="22" t="s">
        <v>122</v>
      </c>
      <c r="B4" s="22" t="s">
        <v>124</v>
      </c>
      <c r="C4" s="23" t="s">
        <v>125</v>
      </c>
      <c r="D4" s="24" t="s">
        <v>123</v>
      </c>
    </row>
    <row r="5" spans="1:4" x14ac:dyDescent="0.45">
      <c r="A5" s="17" t="s">
        <v>126</v>
      </c>
      <c r="B5" s="17">
        <v>28</v>
      </c>
      <c r="C5" s="20">
        <v>0.46666666666666667</v>
      </c>
      <c r="D5" s="14"/>
    </row>
    <row r="6" spans="1:4" x14ac:dyDescent="0.45">
      <c r="A6" s="17" t="s">
        <v>127</v>
      </c>
      <c r="B6" s="17">
        <v>22.400000000000002</v>
      </c>
      <c r="C6" s="20">
        <v>0.37333333333333335</v>
      </c>
      <c r="D6" s="15">
        <f>(B5-B6)/B5</f>
        <v>0.19999999999999993</v>
      </c>
    </row>
    <row r="7" spans="1:4" x14ac:dyDescent="0.45">
      <c r="A7" s="17" t="s">
        <v>128</v>
      </c>
      <c r="B7" s="19">
        <v>17.718742857142857</v>
      </c>
      <c r="C7" s="20">
        <v>0.29531238095238094</v>
      </c>
      <c r="D7" s="15">
        <f>(B6-B7)/B6</f>
        <v>0.20898469387755111</v>
      </c>
    </row>
    <row r="8" spans="1:4" x14ac:dyDescent="0.45">
      <c r="A8" s="17" t="s">
        <v>129</v>
      </c>
      <c r="B8" s="17"/>
      <c r="C8" s="20">
        <v>11.3</v>
      </c>
      <c r="D8" s="14"/>
    </row>
    <row r="9" spans="1:4" x14ac:dyDescent="0.45">
      <c r="A9" s="17" t="s">
        <v>130</v>
      </c>
      <c r="B9" s="17"/>
      <c r="C9" s="20">
        <v>10.974637881115346</v>
      </c>
      <c r="D9" s="14"/>
    </row>
    <row r="10" spans="1:4" x14ac:dyDescent="0.45">
      <c r="A10" s="17" t="s">
        <v>131</v>
      </c>
      <c r="B10" s="17"/>
      <c r="C10" s="20">
        <v>0.31413967382644792</v>
      </c>
      <c r="D10" s="14"/>
    </row>
    <row r="11" spans="1:4" x14ac:dyDescent="0.45">
      <c r="A11" s="17" t="s">
        <v>132</v>
      </c>
      <c r="B11" s="17"/>
      <c r="C11" s="20">
        <v>1.6157486952499984</v>
      </c>
      <c r="D11" s="14"/>
    </row>
    <row r="12" spans="1:4" x14ac:dyDescent="0.45">
      <c r="A12" s="17" t="s">
        <v>133</v>
      </c>
      <c r="B12" s="17"/>
      <c r="C12" s="20"/>
      <c r="D12" s="14"/>
    </row>
    <row r="13" spans="1:4" x14ac:dyDescent="0.45">
      <c r="A13" s="17" t="s">
        <v>134</v>
      </c>
      <c r="B13" s="17"/>
      <c r="C13" s="20"/>
      <c r="D13" s="14"/>
    </row>
    <row r="14" spans="1:4" x14ac:dyDescent="0.45">
      <c r="A14" s="17" t="s">
        <v>135</v>
      </c>
      <c r="B14" s="17"/>
      <c r="C14" s="20">
        <v>7.8075949367088606</v>
      </c>
      <c r="D14" s="14"/>
    </row>
    <row r="15" spans="1:4" ht="14.65" thickBot="1" x14ac:dyDescent="0.5">
      <c r="A15" s="18" t="s">
        <v>136</v>
      </c>
      <c r="B15" s="18"/>
      <c r="C15" s="21">
        <v>1.2205076973452229</v>
      </c>
      <c r="D15" s="16">
        <f>C15/C9</f>
        <v>0.11121166006264468</v>
      </c>
    </row>
  </sheetData>
  <pageMargins left="0.7" right="0.7" top="0.75" bottom="0.75" header="0.3" footer="0.3"/>
  <pageSetup paperSize="9" scale="120" orientation="portrait" verticalDpi="597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Input Output</vt:lpstr>
      <vt:lpstr>Sheet1</vt:lpstr>
      <vt:lpstr>2 AA</vt:lpstr>
      <vt:lpstr>Format ke IT</vt:lpstr>
      <vt:lpstr>Flow</vt:lpstr>
      <vt:lpstr>PS</vt:lpstr>
      <vt:lpstr>KS Country</vt:lpstr>
      <vt:lpstr>Daftar CA</vt:lpstr>
      <vt:lpstr>EB</vt:lpstr>
      <vt:lpstr>'2 AA'!Print_Area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Cahyawan</dc:creator>
  <cp:lastModifiedBy>Dennis Cahyawan</cp:lastModifiedBy>
  <cp:lastPrinted>2025-04-21T01:38:17Z</cp:lastPrinted>
  <dcterms:created xsi:type="dcterms:W3CDTF">2025-01-07T00:52:28Z</dcterms:created>
  <dcterms:modified xsi:type="dcterms:W3CDTF">2025-04-22T07:10:36Z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