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373367026597c2/Documents/"/>
    </mc:Choice>
  </mc:AlternateContent>
  <xr:revisionPtr revIDLastSave="122" documentId="8_{516FE834-00FC-4FB7-A85D-797EB30F6729}" xr6:coauthVersionLast="47" xr6:coauthVersionMax="47" xr10:uidLastSave="{0AB87DDF-878B-4153-9A1A-354402281D22}"/>
  <bookViews>
    <workbookView xWindow="-108" yWindow="-108" windowWidth="23256" windowHeight="13896" xr2:uid="{8E85F4F3-4BFC-4BEC-8AC5-3195170A1EEB}"/>
  </bookViews>
  <sheets>
    <sheet name="&lt;2025" sheetId="1" r:id="rId1"/>
    <sheet name="&gt;2025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5" i="3" l="1"/>
  <c r="X116" i="3"/>
  <c r="X117" i="3"/>
  <c r="X118" i="3"/>
  <c r="X119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</calcChain>
</file>

<file path=xl/sharedStrings.xml><?xml version="1.0" encoding="utf-8"?>
<sst xmlns="http://schemas.openxmlformats.org/spreadsheetml/2006/main" count="1314" uniqueCount="256">
  <si>
    <t>`number`</t>
  </si>
  <si>
    <t>so_id</t>
  </si>
  <si>
    <t>`type`</t>
  </si>
  <si>
    <t>ID00496200</t>
  </si>
  <si>
    <t>BK</t>
  </si>
  <si>
    <t>ID00479600</t>
  </si>
  <si>
    <t>ID00496600</t>
  </si>
  <si>
    <t>ID00479500</t>
  </si>
  <si>
    <t>ID00475700</t>
  </si>
  <si>
    <t>ID00484500</t>
  </si>
  <si>
    <t>ID00481300</t>
  </si>
  <si>
    <t>ID00496500</t>
  </si>
  <si>
    <t>ID00479000</t>
  </si>
  <si>
    <t>ID00511200</t>
  </si>
  <si>
    <t>ID00511300</t>
  </si>
  <si>
    <t>ID00481400</t>
  </si>
  <si>
    <t>ID00503500</t>
  </si>
  <si>
    <t>ID00496400</t>
  </si>
  <si>
    <t>ID00503600</t>
  </si>
  <si>
    <t>ID00522700</t>
  </si>
  <si>
    <t>ID00506200</t>
  </si>
  <si>
    <t>ID00506100</t>
  </si>
  <si>
    <t>ID00497500</t>
  </si>
  <si>
    <t>ID00506000</t>
  </si>
  <si>
    <t>ID00516200</t>
  </si>
  <si>
    <t>ID00501200</t>
  </si>
  <si>
    <t>ID00533900</t>
  </si>
  <si>
    <t>ID00530100</t>
  </si>
  <si>
    <t>BL</t>
  </si>
  <si>
    <t>no</t>
  </si>
  <si>
    <t>shipment_id</t>
  </si>
  <si>
    <t>sealine</t>
  </si>
  <si>
    <t>sealine_name</t>
  </si>
  <si>
    <t>last_updated_date</t>
  </si>
  <si>
    <t>status</t>
  </si>
  <si>
    <t>pol_id</t>
  </si>
  <si>
    <t>location_id</t>
  </si>
  <si>
    <t>`date`</t>
  </si>
  <si>
    <t>actual</t>
  </si>
  <si>
    <t>route_id</t>
  </si>
  <si>
    <t>JKT500256600</t>
  </si>
  <si>
    <t>PCIU</t>
  </si>
  <si>
    <t>SUB500134200</t>
  </si>
  <si>
    <t>ID00505200</t>
  </si>
  <si>
    <t>CHVW</t>
  </si>
  <si>
    <t>JKT500276700</t>
  </si>
  <si>
    <t>JKT500319700</t>
  </si>
  <si>
    <t>JKT500279300</t>
  </si>
  <si>
    <t>JKT500319800</t>
  </si>
  <si>
    <t>JKT500280100</t>
  </si>
  <si>
    <t>JKT500319900</t>
  </si>
  <si>
    <t>JKT500279200</t>
  </si>
  <si>
    <t>JKT500319000</t>
  </si>
  <si>
    <t>JKT500319500</t>
  </si>
  <si>
    <t>JKT500317100</t>
  </si>
  <si>
    <t>JKT500272500</t>
  </si>
  <si>
    <t>JKT500279700</t>
  </si>
  <si>
    <t>JKT500319400</t>
  </si>
  <si>
    <t>JKT500317200</t>
  </si>
  <si>
    <t>JKT500273800</t>
  </si>
  <si>
    <t>JKT500279800</t>
  </si>
  <si>
    <t>JKT500319300</t>
  </si>
  <si>
    <t>JKT500272800</t>
  </si>
  <si>
    <t>JKT500273700</t>
  </si>
  <si>
    <t>JKT500273000</t>
  </si>
  <si>
    <t>JKT500273600</t>
  </si>
  <si>
    <t>JKT500319600</t>
  </si>
  <si>
    <t>JKT500271000</t>
  </si>
  <si>
    <t>JKT500273500</t>
  </si>
  <si>
    <t>JKT500272400</t>
  </si>
  <si>
    <t>JKT500300000</t>
  </si>
  <si>
    <t>JKT500280300</t>
  </si>
  <si>
    <t>JKT500318800</t>
  </si>
  <si>
    <t>JKT500273400</t>
  </si>
  <si>
    <t>JKT500279400</t>
  </si>
  <si>
    <t>JKT500339700</t>
  </si>
  <si>
    <t>JKT500283800</t>
  </si>
  <si>
    <t>JKT500318100</t>
  </si>
  <si>
    <t>JKT500318600</t>
  </si>
  <si>
    <t>JKT500282200</t>
  </si>
  <si>
    <t>JKT500281800</t>
  </si>
  <si>
    <t>JKT500318000</t>
  </si>
  <si>
    <t>JKT500282000</t>
  </si>
  <si>
    <t>JKT500318200</t>
  </si>
  <si>
    <t>JKT500282300</t>
  </si>
  <si>
    <t>JKT500353200</t>
  </si>
  <si>
    <t>JKT500282100</t>
  </si>
  <si>
    <t>JKT500283900</t>
  </si>
  <si>
    <t>JKT500318500</t>
  </si>
  <si>
    <t>JKT500318300</t>
  </si>
  <si>
    <t>JKT500353300</t>
  </si>
  <si>
    <t>ID00510600</t>
  </si>
  <si>
    <t>ID00499200</t>
  </si>
  <si>
    <t>COSU</t>
  </si>
  <si>
    <t>ID00516300</t>
  </si>
  <si>
    <t>JKT500388101</t>
  </si>
  <si>
    <t>JKT500388701</t>
  </si>
  <si>
    <t>JKT500370903</t>
  </si>
  <si>
    <t>JKT500370901</t>
  </si>
  <si>
    <t>JKT500394800</t>
  </si>
  <si>
    <t>JKT500370902</t>
  </si>
  <si>
    <t>JKT500388100</t>
  </si>
  <si>
    <t>JKT500359600</t>
  </si>
  <si>
    <t>JKT500388700</t>
  </si>
  <si>
    <t>JKT500367600</t>
  </si>
  <si>
    <t>JKT500376400</t>
  </si>
  <si>
    <t>JKT500370900</t>
  </si>
  <si>
    <t>JKT500376401</t>
  </si>
  <si>
    <t>ID00519600</t>
  </si>
  <si>
    <t>ID00525700</t>
  </si>
  <si>
    <t>KMTU</t>
  </si>
  <si>
    <t>Korea Marine Transport (KMTC)</t>
  </si>
  <si>
    <t>DELIVERED</t>
  </si>
  <si>
    <t>02962/ND/VII/25-CBT</t>
  </si>
  <si>
    <t>MILENIA</t>
  </si>
  <si>
    <t>02925/ND/VII/25-CBT</t>
  </si>
  <si>
    <t>SWIRE</t>
  </si>
  <si>
    <t>02924/ND/VII/25-CBT</t>
  </si>
  <si>
    <t>02920/ND/VII/25-CBT</t>
  </si>
  <si>
    <t>02916/ND/VII/25-CBT</t>
  </si>
  <si>
    <t>ID00478900</t>
  </si>
  <si>
    <t>02926/ND/VII/25-CBT</t>
  </si>
  <si>
    <t>03305/ND/VII/25-CBT</t>
  </si>
  <si>
    <t>03306/ND/VII/25-CBT</t>
  </si>
  <si>
    <t>03328/ND/VII/25-CBT</t>
  </si>
  <si>
    <t>03304/ND/VII/25-CBT</t>
  </si>
  <si>
    <t>03491/ND/VIII/25-CBT</t>
  </si>
  <si>
    <t>03488/ND/VIII/25-CBT</t>
  </si>
  <si>
    <t>03487/ND/VIII/25-CBT</t>
  </si>
  <si>
    <t>03735/ND/VIII/25-CBT</t>
  </si>
  <si>
    <t>03569/ND/VIII/25-CBT</t>
  </si>
  <si>
    <t>03526/ND/VIII/25-CBT</t>
  </si>
  <si>
    <t>03579/ND/VIII/25-CBT</t>
  </si>
  <si>
    <t>03343/ND/VII/25-CBT</t>
  </si>
  <si>
    <t>03344/ND/VII/25-CBT</t>
  </si>
  <si>
    <t>00517/ND/VIII/25-SBY</t>
  </si>
  <si>
    <t>03504/ND/VIII/25-CBT</t>
  </si>
  <si>
    <t>03709/ND/VIII/25-CBT</t>
  </si>
  <si>
    <t>03732/ND/VIII/25-CBT</t>
  </si>
  <si>
    <t>Pacific International Lines (PIL)</t>
  </si>
  <si>
    <t>IN_TRANSIT</t>
  </si>
  <si>
    <t>02689/ND/VI/25-CBT</t>
  </si>
  <si>
    <t>PIL</t>
  </si>
  <si>
    <t>02849/ND/VII/25-CBT</t>
  </si>
  <si>
    <t>02851/ND/VII/25-CBT</t>
  </si>
  <si>
    <t>02864/ND/VII/25-CBT</t>
  </si>
  <si>
    <t>02852/ND/VII/25-CBT</t>
  </si>
  <si>
    <t>02821/ND/VII/25-CBT</t>
  </si>
  <si>
    <t>02855/ND/VII/25-CBT</t>
  </si>
  <si>
    <t>02805/ND/VI/25-CBT</t>
  </si>
  <si>
    <t>02863/ND/VII/25-CBT</t>
  </si>
  <si>
    <t>02801/ND/VI/25-CBT</t>
  </si>
  <si>
    <t>02804/ND/VI/25-CBT</t>
  </si>
  <si>
    <t>02802/ND/VI/25-CBT</t>
  </si>
  <si>
    <t>02812/ND/VI/25-CBT</t>
  </si>
  <si>
    <t>02819/ND/VII/25-CBT</t>
  </si>
  <si>
    <t>02818/ND/VII/25-CBT</t>
  </si>
  <si>
    <t>02822/ND/VII/25-CBT</t>
  </si>
  <si>
    <t>02853/ND/VII/25-CBT</t>
  </si>
  <si>
    <t>02803/ND/VI/25-CBT</t>
  </si>
  <si>
    <t>02854/ND/VII/25-CBT</t>
  </si>
  <si>
    <t>02967/ND/VII/25-CBT</t>
  </si>
  <si>
    <t>02995/ND/VII/25-CBT</t>
  </si>
  <si>
    <t>02944/ND/VII/25-CBT</t>
  </si>
  <si>
    <t>02996/ND/VII/25-CBT</t>
  </si>
  <si>
    <t>02968/ND/VII/25-CBT</t>
  </si>
  <si>
    <t>02997/ND/VII/25-CBT</t>
  </si>
  <si>
    <t>02933/ND/VII/25-CBT</t>
  </si>
  <si>
    <t>03137/ND/VII/25-CBT</t>
  </si>
  <si>
    <t>03128/ND/VII/25-CBT</t>
  </si>
  <si>
    <t>03150/ND/VII/25-CBT</t>
  </si>
  <si>
    <t>03136/ND/VII/25-CBT</t>
  </si>
  <si>
    <t>03126/ND/VII/25-CBT</t>
  </si>
  <si>
    <t>03117/ND/VII/25-CBT</t>
  </si>
  <si>
    <t>03135/ND/VII/25-CBT</t>
  </si>
  <si>
    <t>03118/ND/VII/25-CBT</t>
  </si>
  <si>
    <t>03125/ND/VII/25-CBT</t>
  </si>
  <si>
    <t>03149/ND/VII/25-CBT</t>
  </si>
  <si>
    <t>03122/ND/VII/25-CBT</t>
  </si>
  <si>
    <t>03127/ND/VII/25-CBT</t>
  </si>
  <si>
    <t>03148/ND/VII/25-CBT</t>
  </si>
  <si>
    <t>03140/ND/VII/25-CBT</t>
  </si>
  <si>
    <t>03141/ND/VII/25-CBT</t>
  </si>
  <si>
    <t>03139/ND/VII/25-CBT</t>
  </si>
  <si>
    <t>03138/ND/VII/25-CBT</t>
  </si>
  <si>
    <t>03142/ND/VII/25-CBT</t>
  </si>
  <si>
    <t>00458/ND/VII/25-SBY</t>
  </si>
  <si>
    <t>03281/ND/VII/25-CBT</t>
  </si>
  <si>
    <t>Swire Shipping</t>
  </si>
  <si>
    <t>00476/ND/VII/25-SBY</t>
  </si>
  <si>
    <t>00464/ND/VII/25-SBY</t>
  </si>
  <si>
    <t>ID00502200</t>
  </si>
  <si>
    <t>03400/ND/VIII/25-CBT</t>
  </si>
  <si>
    <t>03401/ND/VIII/25-CBT</t>
  </si>
  <si>
    <t>00500/ND/VIII/25-SBY</t>
  </si>
  <si>
    <t>03489/ND/VIII/25-CBT</t>
  </si>
  <si>
    <t>COSCO</t>
  </si>
  <si>
    <t>03568/ND/VIII/25-CBT</t>
  </si>
  <si>
    <t>COSU6426758770</t>
  </si>
  <si>
    <t>03540/ND/VIII/25-CBT</t>
  </si>
  <si>
    <t>COSU6427466650</t>
  </si>
  <si>
    <t>03543/ND/VIII/25-CBT</t>
  </si>
  <si>
    <t>03310/ND/VII/25-CBT</t>
  </si>
  <si>
    <t>MAEU257457458</t>
  </si>
  <si>
    <t>NOAH</t>
  </si>
  <si>
    <t>03545/ND/VIII/25-CBT</t>
  </si>
  <si>
    <t>03609/ND/VIII/25-CBT</t>
  </si>
  <si>
    <t>COSU6427449500</t>
  </si>
  <si>
    <t>03614/ND/VIII/25-CBT</t>
  </si>
  <si>
    <t>COSU6427086280</t>
  </si>
  <si>
    <t>03615/ND/VIII/25-CBT</t>
  </si>
  <si>
    <t>COSU6427086340</t>
  </si>
  <si>
    <t>03616/ND/VIII/25-CBT</t>
  </si>
  <si>
    <t>COSU6427086360</t>
  </si>
  <si>
    <t>03610/ND/VIII/25-CBT</t>
  </si>
  <si>
    <t>COSU6427451640</t>
  </si>
  <si>
    <t>03655/ND/VIII/25-CBT</t>
  </si>
  <si>
    <t>03639/ND/VIII/25-CBT</t>
  </si>
  <si>
    <t>03643/ND/VIII/25-CBT</t>
  </si>
  <si>
    <t>03594/ND/VIII/25-CBT</t>
  </si>
  <si>
    <t>03682/ND/VIII/25-CBT</t>
  </si>
  <si>
    <t>03648/ND/VIII/25-CBT</t>
  </si>
  <si>
    <t>00526/ND/VIII/25-SBY</t>
  </si>
  <si>
    <t>03623/ND/VIII/25-CBT</t>
  </si>
  <si>
    <t>03596/ND/VIII/25-CBT</t>
  </si>
  <si>
    <t>03745/ND/VIII/25-CBT</t>
  </si>
  <si>
    <t>COSU6428219700</t>
  </si>
  <si>
    <t>03744/ND/VIII/25-CBT</t>
  </si>
  <si>
    <t>COSU6428219680</t>
  </si>
  <si>
    <t>03718/ND/VIII/25-CBT</t>
  </si>
  <si>
    <t>COSU6428219740</t>
  </si>
  <si>
    <t>03699/ND/VIII/25-CBT</t>
  </si>
  <si>
    <t>03725/ND/VIII/25-CBT</t>
  </si>
  <si>
    <t>03764/ND/VIII/25-CBT</t>
  </si>
  <si>
    <t>COSU6428160690</t>
  </si>
  <si>
    <t>PLANNED</t>
  </si>
  <si>
    <t>03714/ND/VIII/25-CBT</t>
  </si>
  <si>
    <t>COAU7261952710</t>
  </si>
  <si>
    <t>03757/ND/VIII/25-CBT</t>
  </si>
  <si>
    <t>COAU7261952750</t>
  </si>
  <si>
    <t>03716/ND/VIII/25-CBT</t>
  </si>
  <si>
    <t>COSU6427680960</t>
  </si>
  <si>
    <t>03740/ND/VIII/25-CBT</t>
  </si>
  <si>
    <t>COSU6428160710</t>
  </si>
  <si>
    <t>03723/ND/VIII/25-CBT</t>
  </si>
  <si>
    <t>COSU6427961220</t>
  </si>
  <si>
    <t>invoice_id</t>
  </si>
  <si>
    <t>bl_no</t>
  </si>
  <si>
    <t>ship_line</t>
  </si>
  <si>
    <t>atd</t>
  </si>
  <si>
    <t>last_updated_date2</t>
  </si>
  <si>
    <t>shipment_id3</t>
  </si>
  <si>
    <t>so_id4</t>
  </si>
  <si>
    <t>invoice_id5</t>
  </si>
  <si>
    <t>check atd</t>
  </si>
  <si>
    <t>etd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</si>
</sst>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1" fontId="1" fillId="2" borderId="1" xfId="0" applyNumberFormat="1" applyFont="1" applyFill="1" applyBorder="1"/>
    <xf numFmtId="0" fontId="0" fillId="3" borderId="1" xfId="0" applyFill="1" applyBorder="1"/>
    <xf numFmtId="1" fontId="0" fillId="3" borderId="1" xfId="0" applyNumberFormat="1" applyFill="1" applyBorder="1"/>
    <xf numFmtId="0" fontId="0" fillId="0" borderId="1" xfId="0" applyBorder="1"/>
    <xf numFmtId="1" fontId="0" fillId="0" borderId="1" xfId="0" applyNumberFormat="1" applyBorder="1"/>
    <xf numFmtId="22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4" borderId="0" xfId="0" applyFill="1"/>
    <xf numFmtId="0" fontId="0" fillId="0" borderId="0" xfId="0" applyFill="1"/>
    <xf numFmtId="1" fontId="1" fillId="0" borderId="1" xfId="0" applyNumberFormat="1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0" fontId="0" fillId="0" borderId="0" xfId="0" applyNumberFormat="1"/>
  </cellXfs>
  <cellStyles count="1">
    <cellStyle name="Normal" xfId="0" builtinId="0"/>
  </cellStyles>
  <dxfs count="16"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4"/>
          <bgColor auto="1"/>
        </patternFill>
      </fill>
    </dxf>
    <dxf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1" formatCode="0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C7082-9A0C-42D9-8E92-4CDC7BE12137}" name="Table1" displayName="Table1" ref="A1:D29" totalsRowShown="0">
  <autoFilter ref="A1:D29" xr:uid="{258C7082-9A0C-42D9-8E92-4CDC7BE12137}"/>
  <tableColumns count="4">
    <tableColumn id="1" xr3:uid="{CB25CBBD-70E3-4E7A-A95C-96DE4680ADB2}" name="no"/>
    <tableColumn id="2" xr3:uid="{D422070C-8D18-468B-A0BF-862668B8CB52}" name="so_id" dataDxfId="15"/>
    <tableColumn id="4" xr3:uid="{B8BF1D30-6854-4985-B310-967F8DAAE9E1}" name="`number`" dataDxfId="0"/>
    <tableColumn id="3" xr3:uid="{F96FCA2A-002C-4391-BC4E-32C8763BB971}" name="`type`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B1AC97-CF5B-466E-83AB-5CF92CC0B011}" name="Table2" displayName="Table2" ref="A1:D91" totalsRowShown="0" headerRowDxfId="3" dataDxfId="2">
  <autoFilter ref="A1:D91" xr:uid="{18B1AC97-CF5B-466E-83AB-5CF92CC0B011}"/>
  <tableColumns count="4">
    <tableColumn id="1" xr3:uid="{CDB2F789-7DC1-45DD-8279-F6B833CA99AA}" name="no" dataDxfId="6"/>
    <tableColumn id="2" xr3:uid="{34414BDA-C0CE-4438-A29A-77BDA264444D}" name="so_id" dataDxfId="5"/>
    <tableColumn id="4" xr3:uid="{9C719429-3FA1-4AFD-B1DA-3967C34005B3}" name="`number`" dataDxfId="1"/>
    <tableColumn id="3" xr3:uid="{E284EE9D-A092-4A55-99E6-97FB9B3FEB24}" name="`type`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52D788-3624-46C1-9E4C-38C35BD66E74}" name="Table3" displayName="Table3" ref="A1:X119" totalsRowShown="0">
  <autoFilter ref="A1:X119" xr:uid="{CE52D788-3624-46C1-9E4C-38C35BD66E74}"/>
  <tableColumns count="24">
    <tableColumn id="24" xr3:uid="{8D641416-6C08-4232-BA55-3E8813F78F1F}" name="no"/>
    <tableColumn id="1" xr3:uid="{099F4165-55B9-48EA-92F7-2D99FF92FA0E}" name="shipment_id"/>
    <tableColumn id="2" xr3:uid="{0482EA70-0F49-4D8A-AC22-320051B72C65}" name="`number`"/>
    <tableColumn id="3" xr3:uid="{8430D893-51BE-4FB3-9AFD-E96D485EDA89}" name="so_id" dataDxfId="13"/>
    <tableColumn id="4" xr3:uid="{FC136AF1-7554-4EA3-B1A1-1A3620BC2A68}" name="`type`"/>
    <tableColumn id="5" xr3:uid="{E19A3649-9642-4A82-8D8E-EC2FFBA37926}" name="sealine"/>
    <tableColumn id="6" xr3:uid="{5C7E87A0-AD36-489B-848A-C19370001B94}" name="sealine_name"/>
    <tableColumn id="7" xr3:uid="{12F956A3-DEB4-4870-9CCC-A8746B17D90D}" name="last_updated_date" dataDxfId="12"/>
    <tableColumn id="8" xr3:uid="{17C06D09-BD4E-45C5-BA3D-9186D426FB15}" name="status"/>
    <tableColumn id="9" xr3:uid="{B154F072-026D-4674-8814-8AC457C062DA}" name="pol_id"/>
    <tableColumn id="10" xr3:uid="{850DF55A-AF9F-4B6C-98A2-808D9630E0E4}" name="location_id"/>
    <tableColumn id="11" xr3:uid="{7E647F95-3697-454F-AE33-CD3D82841663}" name="`date`" dataDxfId="11"/>
    <tableColumn id="12" xr3:uid="{7BD585E5-DE09-434F-AE8A-A8A0495837B4}" name="last_updated_date2" dataDxfId="10"/>
    <tableColumn id="13" xr3:uid="{BBAF18A1-2A05-47D3-BA2F-B3F38D46AE70}" name="actual"/>
    <tableColumn id="14" xr3:uid="{51D8E848-5F77-42B3-BD0E-B7F44135797E}" name="route_id"/>
    <tableColumn id="15" xr3:uid="{51111713-E673-47FC-95E5-A53EAA8BBC3A}" name="shipment_id3"/>
    <tableColumn id="16" xr3:uid="{FFF2EF2D-4DBA-4D11-A0B3-986403DD449C}" name="so_id4" dataDxfId="9"/>
    <tableColumn id="17" xr3:uid="{20EA00C3-13AF-4D7C-93D3-C5599A9B7D57}" name="invoice_id"/>
    <tableColumn id="18" xr3:uid="{2BFC93B2-56C7-4E2F-99BC-EE97F3DE279C}" name="invoice_id5"/>
    <tableColumn id="19" xr3:uid="{799304F2-3F4A-481B-BE5B-4CCBE01BD072}" name="bl_no"/>
    <tableColumn id="20" xr3:uid="{AE3A1619-6340-425C-AAB7-41B79E7A1846}" name="ship_line"/>
    <tableColumn id="21" xr3:uid="{50441ED7-2790-4FCB-A3AE-C3270702E12F}" name="etd"/>
    <tableColumn id="22" xr3:uid="{25706442-E9A5-4541-88A1-D0F30BAA16EA}" name="atd" dataDxfId="8"/>
    <tableColumn id="23" xr3:uid="{DB80B3FB-8BBB-4BE2-9419-68B76ABBC8F3}" name="check atd" dataDxfId="7">
      <calculatedColumnFormula>Table3[[#This Row],[`date`]]-Table3[[#This Row],[etd]]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BE99-2967-40E8-9A88-D05A51F8C6B6}">
  <dimension ref="A1:D29"/>
  <sheetViews>
    <sheetView tabSelected="1" workbookViewId="0">
      <selection activeCell="H18" sqref="H18"/>
    </sheetView>
  </sheetViews>
  <sheetFormatPr defaultRowHeight="14.4" x14ac:dyDescent="0.3"/>
  <cols>
    <col min="1" max="1" width="5.44140625" bestFit="1" customWidth="1"/>
    <col min="2" max="2" width="13.109375" bestFit="1" customWidth="1"/>
    <col min="3" max="3" width="11" bestFit="1" customWidth="1"/>
    <col min="4" max="4" width="8.109375" bestFit="1" customWidth="1"/>
  </cols>
  <sheetData>
    <row r="1" spans="1:4" x14ac:dyDescent="0.3">
      <c r="A1" t="s">
        <v>29</v>
      </c>
      <c r="B1" s="2" t="s">
        <v>1</v>
      </c>
      <c r="C1" s="1" t="s">
        <v>0</v>
      </c>
      <c r="D1" s="1" t="s">
        <v>2</v>
      </c>
    </row>
    <row r="2" spans="1:4" x14ac:dyDescent="0.3">
      <c r="A2">
        <v>1</v>
      </c>
      <c r="B2" s="4">
        <v>250016800014</v>
      </c>
      <c r="C2" s="3" t="s">
        <v>3</v>
      </c>
      <c r="D2" s="3" t="s">
        <v>28</v>
      </c>
    </row>
    <row r="3" spans="1:4" x14ac:dyDescent="0.3">
      <c r="A3">
        <v>2</v>
      </c>
      <c r="B3" s="6">
        <v>250022600039</v>
      </c>
      <c r="C3" s="5" t="s">
        <v>5</v>
      </c>
      <c r="D3" s="5" t="s">
        <v>28</v>
      </c>
    </row>
    <row r="4" spans="1:4" x14ac:dyDescent="0.3">
      <c r="A4">
        <v>3</v>
      </c>
      <c r="B4" s="4">
        <v>250012000004</v>
      </c>
      <c r="C4" s="3" t="s">
        <v>6</v>
      </c>
      <c r="D4" s="3" t="s">
        <v>28</v>
      </c>
    </row>
    <row r="5" spans="1:4" x14ac:dyDescent="0.3">
      <c r="A5">
        <v>4</v>
      </c>
      <c r="B5" s="6">
        <v>250017200015</v>
      </c>
      <c r="C5" s="5" t="s">
        <v>7</v>
      </c>
      <c r="D5" s="5" t="s">
        <v>28</v>
      </c>
    </row>
    <row r="6" spans="1:4" x14ac:dyDescent="0.3">
      <c r="A6">
        <v>5</v>
      </c>
      <c r="B6" s="4">
        <v>250017200017</v>
      </c>
      <c r="C6" s="3" t="s">
        <v>7</v>
      </c>
      <c r="D6" s="3" t="s">
        <v>28</v>
      </c>
    </row>
    <row r="7" spans="1:4" x14ac:dyDescent="0.3">
      <c r="A7">
        <v>6</v>
      </c>
      <c r="B7" s="6">
        <v>250038200004</v>
      </c>
      <c r="C7" s="5" t="s">
        <v>8</v>
      </c>
      <c r="D7" s="5" t="s">
        <v>28</v>
      </c>
    </row>
    <row r="8" spans="1:4" x14ac:dyDescent="0.3">
      <c r="A8">
        <v>7</v>
      </c>
      <c r="B8" s="4">
        <v>250022600048</v>
      </c>
      <c r="C8" s="3" t="s">
        <v>9</v>
      </c>
      <c r="D8" s="3" t="s">
        <v>28</v>
      </c>
    </row>
    <row r="9" spans="1:4" x14ac:dyDescent="0.3">
      <c r="A9">
        <v>8</v>
      </c>
      <c r="B9" s="6">
        <v>250062700002</v>
      </c>
      <c r="C9" s="5" t="s">
        <v>10</v>
      </c>
      <c r="D9" s="5" t="s">
        <v>28</v>
      </c>
    </row>
    <row r="10" spans="1:4" x14ac:dyDescent="0.3">
      <c r="A10">
        <v>9</v>
      </c>
      <c r="B10" s="4">
        <v>250016400002</v>
      </c>
      <c r="C10" s="3" t="s">
        <v>11</v>
      </c>
      <c r="D10" s="3" t="s">
        <v>28</v>
      </c>
    </row>
    <row r="11" spans="1:4" x14ac:dyDescent="0.3">
      <c r="A11">
        <v>10</v>
      </c>
      <c r="B11" s="6">
        <v>250015800006</v>
      </c>
      <c r="C11" s="5" t="s">
        <v>12</v>
      </c>
      <c r="D11" s="5" t="s">
        <v>28</v>
      </c>
    </row>
    <row r="12" spans="1:4" x14ac:dyDescent="0.3">
      <c r="A12">
        <v>11</v>
      </c>
      <c r="B12" s="4">
        <v>250017200020</v>
      </c>
      <c r="C12" s="3" t="s">
        <v>13</v>
      </c>
      <c r="D12" s="3" t="s">
        <v>28</v>
      </c>
    </row>
    <row r="13" spans="1:4" x14ac:dyDescent="0.3">
      <c r="A13">
        <v>12</v>
      </c>
      <c r="B13" s="6">
        <v>250017200019</v>
      </c>
      <c r="C13" s="5" t="s">
        <v>14</v>
      </c>
      <c r="D13" s="5" t="s">
        <v>28</v>
      </c>
    </row>
    <row r="14" spans="1:4" x14ac:dyDescent="0.3">
      <c r="A14">
        <v>13</v>
      </c>
      <c r="B14" s="4">
        <v>250015800006</v>
      </c>
      <c r="C14" s="3" t="s">
        <v>15</v>
      </c>
      <c r="D14" s="3" t="s">
        <v>28</v>
      </c>
    </row>
    <row r="15" spans="1:4" x14ac:dyDescent="0.3">
      <c r="A15">
        <v>14</v>
      </c>
      <c r="B15" s="6">
        <v>250022600051</v>
      </c>
      <c r="C15" s="5" t="s">
        <v>16</v>
      </c>
      <c r="D15" s="5" t="s">
        <v>28</v>
      </c>
    </row>
    <row r="16" spans="1:4" x14ac:dyDescent="0.3">
      <c r="A16">
        <v>15</v>
      </c>
      <c r="B16" s="4">
        <v>250016300028</v>
      </c>
      <c r="C16" s="3" t="s">
        <v>17</v>
      </c>
      <c r="D16" s="3" t="s">
        <v>28</v>
      </c>
    </row>
    <row r="17" spans="1:4" x14ac:dyDescent="0.3">
      <c r="A17">
        <v>16</v>
      </c>
      <c r="B17" s="6">
        <v>250017300222</v>
      </c>
      <c r="C17" s="5" t="s">
        <v>18</v>
      </c>
      <c r="D17" s="5" t="s">
        <v>28</v>
      </c>
    </row>
    <row r="18" spans="1:4" x14ac:dyDescent="0.3">
      <c r="A18">
        <v>17</v>
      </c>
      <c r="B18" s="4">
        <v>250017300250</v>
      </c>
      <c r="C18" s="3" t="s">
        <v>18</v>
      </c>
      <c r="D18" s="3" t="s">
        <v>28</v>
      </c>
    </row>
    <row r="19" spans="1:4" x14ac:dyDescent="0.3">
      <c r="A19">
        <v>18</v>
      </c>
      <c r="B19" s="6">
        <v>250017300251</v>
      </c>
      <c r="C19" s="5" t="s">
        <v>19</v>
      </c>
      <c r="D19" s="5" t="s">
        <v>28</v>
      </c>
    </row>
    <row r="20" spans="1:4" x14ac:dyDescent="0.3">
      <c r="A20">
        <v>19</v>
      </c>
      <c r="B20" s="4">
        <v>250017300240</v>
      </c>
      <c r="C20" s="3" t="s">
        <v>20</v>
      </c>
      <c r="D20" s="3" t="s">
        <v>28</v>
      </c>
    </row>
    <row r="21" spans="1:4" x14ac:dyDescent="0.3">
      <c r="A21">
        <v>20</v>
      </c>
      <c r="B21" s="6">
        <v>250017300239</v>
      </c>
      <c r="C21" s="5" t="s">
        <v>21</v>
      </c>
      <c r="D21" s="5" t="s">
        <v>28</v>
      </c>
    </row>
    <row r="22" spans="1:4" x14ac:dyDescent="0.3">
      <c r="A22">
        <v>21</v>
      </c>
      <c r="B22" s="4">
        <v>250038200005</v>
      </c>
      <c r="C22" s="3" t="s">
        <v>22</v>
      </c>
      <c r="D22" s="3" t="s">
        <v>28</v>
      </c>
    </row>
    <row r="23" spans="1:4" x14ac:dyDescent="0.3">
      <c r="A23">
        <v>22</v>
      </c>
      <c r="B23" s="6">
        <v>250017300252</v>
      </c>
      <c r="C23" s="5" t="s">
        <v>23</v>
      </c>
      <c r="D23" s="5" t="s">
        <v>28</v>
      </c>
    </row>
    <row r="24" spans="1:4" x14ac:dyDescent="0.3">
      <c r="A24">
        <v>23</v>
      </c>
      <c r="B24" s="4">
        <v>250020000006</v>
      </c>
      <c r="C24" s="3" t="s">
        <v>24</v>
      </c>
      <c r="D24" s="3" t="s">
        <v>28</v>
      </c>
    </row>
    <row r="25" spans="1:4" x14ac:dyDescent="0.3">
      <c r="A25">
        <v>24</v>
      </c>
      <c r="B25" s="6">
        <v>250022600057</v>
      </c>
      <c r="C25" s="5" t="s">
        <v>25</v>
      </c>
      <c r="D25" s="5" t="s">
        <v>28</v>
      </c>
    </row>
    <row r="26" spans="1:4" x14ac:dyDescent="0.3">
      <c r="A26">
        <v>25</v>
      </c>
      <c r="B26" s="4">
        <v>250017300285</v>
      </c>
      <c r="C26" s="3" t="s">
        <v>26</v>
      </c>
      <c r="D26" s="3" t="s">
        <v>28</v>
      </c>
    </row>
    <row r="27" spans="1:4" x14ac:dyDescent="0.3">
      <c r="A27">
        <v>26</v>
      </c>
      <c r="B27" s="6">
        <v>250017300264</v>
      </c>
      <c r="C27" s="5" t="s">
        <v>26</v>
      </c>
      <c r="D27" s="5" t="s">
        <v>28</v>
      </c>
    </row>
    <row r="28" spans="1:4" x14ac:dyDescent="0.3">
      <c r="A28">
        <v>27</v>
      </c>
      <c r="B28" s="4">
        <v>250017300284</v>
      </c>
      <c r="C28" s="3" t="s">
        <v>26</v>
      </c>
      <c r="D28" s="3" t="s">
        <v>28</v>
      </c>
    </row>
    <row r="29" spans="1:4" x14ac:dyDescent="0.3">
      <c r="A29">
        <v>28</v>
      </c>
      <c r="B29" s="6">
        <v>250022600054</v>
      </c>
      <c r="C29" s="5" t="s">
        <v>27</v>
      </c>
      <c r="D29" s="5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6727-A0DF-4E5E-BBD6-BC32AA540BE7}">
  <dimension ref="A1:E91"/>
  <sheetViews>
    <sheetView zoomScale="114" workbookViewId="0">
      <selection activeCell="C7" sqref="C7"/>
    </sheetView>
  </sheetViews>
  <sheetFormatPr defaultRowHeight="14.4" x14ac:dyDescent="0.3"/>
  <cols>
    <col min="1" max="1" width="8.88671875" style="11"/>
    <col min="2" max="2" width="13.88671875" style="11" bestFit="1" customWidth="1"/>
    <col min="3" max="3" width="16.5546875" style="11" bestFit="1" customWidth="1"/>
    <col min="4" max="4" width="8.88671875" style="11"/>
    <col min="6" max="16384" width="8.88671875" style="11"/>
  </cols>
  <sheetData>
    <row r="1" spans="1:5" x14ac:dyDescent="0.3">
      <c r="A1" s="11" t="s">
        <v>29</v>
      </c>
      <c r="B1" s="12" t="s">
        <v>1</v>
      </c>
      <c r="C1" s="13" t="s">
        <v>0</v>
      </c>
      <c r="D1" s="13" t="s">
        <v>2</v>
      </c>
      <c r="E1" s="11"/>
    </row>
    <row r="2" spans="1:5" x14ac:dyDescent="0.3">
      <c r="A2" s="11">
        <v>1</v>
      </c>
      <c r="B2" s="16">
        <v>240018400204</v>
      </c>
      <c r="C2" s="15" t="s">
        <v>40</v>
      </c>
      <c r="D2" s="14" t="s">
        <v>28</v>
      </c>
      <c r="E2" s="11"/>
    </row>
    <row r="3" spans="1:5" x14ac:dyDescent="0.3">
      <c r="A3" s="11">
        <v>2</v>
      </c>
      <c r="B3" s="16">
        <v>250018400008</v>
      </c>
      <c r="C3" s="15" t="s">
        <v>45</v>
      </c>
      <c r="D3" s="14" t="s">
        <v>28</v>
      </c>
      <c r="E3" s="11"/>
    </row>
    <row r="4" spans="1:5" x14ac:dyDescent="0.3">
      <c r="A4" s="11">
        <v>3</v>
      </c>
      <c r="B4" s="16">
        <v>250018400012</v>
      </c>
      <c r="C4" s="15" t="s">
        <v>47</v>
      </c>
      <c r="D4" s="14" t="s">
        <v>28</v>
      </c>
      <c r="E4" s="11"/>
    </row>
    <row r="5" spans="1:5" x14ac:dyDescent="0.3">
      <c r="A5" s="11">
        <v>4</v>
      </c>
      <c r="B5" s="16">
        <v>250018400014</v>
      </c>
      <c r="C5" s="15" t="s">
        <v>49</v>
      </c>
      <c r="D5" s="14" t="s">
        <v>28</v>
      </c>
      <c r="E5" s="11"/>
    </row>
    <row r="6" spans="1:5" x14ac:dyDescent="0.3">
      <c r="A6" s="11">
        <v>5</v>
      </c>
      <c r="B6" s="16">
        <v>250018400009</v>
      </c>
      <c r="C6" s="15" t="s">
        <v>51</v>
      </c>
      <c r="D6" s="14" t="s">
        <v>28</v>
      </c>
      <c r="E6" s="11"/>
    </row>
    <row r="7" spans="1:5" x14ac:dyDescent="0.3">
      <c r="A7" s="11">
        <v>6</v>
      </c>
      <c r="B7" s="16">
        <v>250018400005</v>
      </c>
      <c r="C7" s="15" t="s">
        <v>55</v>
      </c>
      <c r="D7" s="14" t="s">
        <v>28</v>
      </c>
      <c r="E7" s="11"/>
    </row>
    <row r="8" spans="1:5" x14ac:dyDescent="0.3">
      <c r="A8" s="11">
        <v>7</v>
      </c>
      <c r="B8" s="16">
        <v>250018400006</v>
      </c>
      <c r="C8" s="15" t="s">
        <v>56</v>
      </c>
      <c r="D8" s="14" t="s">
        <v>28</v>
      </c>
      <c r="E8" s="11"/>
    </row>
    <row r="9" spans="1:5" x14ac:dyDescent="0.3">
      <c r="A9" s="11">
        <v>8</v>
      </c>
      <c r="B9" s="16">
        <v>250054600032</v>
      </c>
      <c r="C9" s="15" t="s">
        <v>59</v>
      </c>
      <c r="D9" s="14" t="s">
        <v>28</v>
      </c>
      <c r="E9" s="11"/>
    </row>
    <row r="10" spans="1:5" x14ac:dyDescent="0.3">
      <c r="A10" s="11">
        <v>9</v>
      </c>
      <c r="B10" s="16">
        <v>250018400013</v>
      </c>
      <c r="C10" s="15" t="s">
        <v>60</v>
      </c>
      <c r="D10" s="14" t="s">
        <v>28</v>
      </c>
      <c r="E10" s="11"/>
    </row>
    <row r="11" spans="1:5" x14ac:dyDescent="0.3">
      <c r="A11" s="11">
        <v>10</v>
      </c>
      <c r="B11" s="16">
        <v>250018300025</v>
      </c>
      <c r="C11" s="15" t="s">
        <v>62</v>
      </c>
      <c r="D11" s="14" t="s">
        <v>28</v>
      </c>
      <c r="E11" s="11"/>
    </row>
    <row r="12" spans="1:5" x14ac:dyDescent="0.3">
      <c r="A12" s="11">
        <v>11</v>
      </c>
      <c r="B12" s="16">
        <v>250054600031</v>
      </c>
      <c r="C12" s="15" t="s">
        <v>63</v>
      </c>
      <c r="D12" s="14" t="s">
        <v>28</v>
      </c>
      <c r="E12" s="11"/>
    </row>
    <row r="13" spans="1:5" x14ac:dyDescent="0.3">
      <c r="A13" s="11">
        <v>12</v>
      </c>
      <c r="B13" s="16">
        <v>250054600029</v>
      </c>
      <c r="C13" s="15" t="s">
        <v>64</v>
      </c>
      <c r="D13" s="14" t="s">
        <v>28</v>
      </c>
      <c r="E13" s="11"/>
    </row>
    <row r="14" spans="1:5" x14ac:dyDescent="0.3">
      <c r="A14" s="11">
        <v>13</v>
      </c>
      <c r="B14" s="16">
        <v>250054600033</v>
      </c>
      <c r="C14" s="15" t="s">
        <v>65</v>
      </c>
      <c r="D14" s="14" t="s">
        <v>28</v>
      </c>
      <c r="E14" s="11"/>
    </row>
    <row r="15" spans="1:5" x14ac:dyDescent="0.3">
      <c r="A15" s="11">
        <v>14</v>
      </c>
      <c r="B15" s="16">
        <v>250049900002</v>
      </c>
      <c r="C15" s="15" t="s">
        <v>67</v>
      </c>
      <c r="D15" s="14" t="s">
        <v>28</v>
      </c>
      <c r="E15" s="11"/>
    </row>
    <row r="16" spans="1:5" x14ac:dyDescent="0.3">
      <c r="A16" s="11">
        <v>15</v>
      </c>
      <c r="B16" s="16">
        <v>250054600034</v>
      </c>
      <c r="C16" s="15" t="s">
        <v>68</v>
      </c>
      <c r="D16" s="14" t="s">
        <v>28</v>
      </c>
      <c r="E16" s="11"/>
    </row>
    <row r="17" spans="1:5" x14ac:dyDescent="0.3">
      <c r="A17" s="11">
        <v>16</v>
      </c>
      <c r="B17" s="16">
        <v>250018400003</v>
      </c>
      <c r="C17" s="15" t="s">
        <v>69</v>
      </c>
      <c r="D17" s="14" t="s">
        <v>28</v>
      </c>
      <c r="E17" s="11"/>
    </row>
    <row r="18" spans="1:5" x14ac:dyDescent="0.3">
      <c r="A18" s="11">
        <v>17</v>
      </c>
      <c r="B18" s="16">
        <v>250018400010</v>
      </c>
      <c r="C18" s="15" t="s">
        <v>71</v>
      </c>
      <c r="D18" s="14" t="s">
        <v>28</v>
      </c>
      <c r="E18" s="11"/>
    </row>
    <row r="19" spans="1:5" x14ac:dyDescent="0.3">
      <c r="A19" s="11">
        <v>18</v>
      </c>
      <c r="B19" s="16">
        <v>250054600030</v>
      </c>
      <c r="C19" s="15" t="s">
        <v>73</v>
      </c>
      <c r="D19" s="14" t="s">
        <v>28</v>
      </c>
      <c r="E19" s="11"/>
    </row>
    <row r="20" spans="1:5" x14ac:dyDescent="0.3">
      <c r="A20" s="11">
        <v>19</v>
      </c>
      <c r="B20" s="16">
        <v>250018400011</v>
      </c>
      <c r="C20" s="15" t="s">
        <v>74</v>
      </c>
      <c r="D20" s="14" t="s">
        <v>28</v>
      </c>
      <c r="E20" s="11"/>
    </row>
    <row r="21" spans="1:5" x14ac:dyDescent="0.3">
      <c r="A21" s="11">
        <v>20</v>
      </c>
      <c r="B21" s="16">
        <v>250060800010</v>
      </c>
      <c r="C21" s="15" t="s">
        <v>76</v>
      </c>
      <c r="D21" s="14" t="s">
        <v>28</v>
      </c>
      <c r="E21" s="11"/>
    </row>
    <row r="22" spans="1:5" x14ac:dyDescent="0.3">
      <c r="A22" s="11">
        <v>21</v>
      </c>
      <c r="B22" s="16">
        <v>250054600036</v>
      </c>
      <c r="C22" s="15" t="s">
        <v>79</v>
      </c>
      <c r="D22" s="14" t="s">
        <v>28</v>
      </c>
      <c r="E22" s="11"/>
    </row>
    <row r="23" spans="1:5" x14ac:dyDescent="0.3">
      <c r="A23" s="11">
        <v>22</v>
      </c>
      <c r="B23" s="16">
        <v>250054600037</v>
      </c>
      <c r="C23" s="15" t="s">
        <v>80</v>
      </c>
      <c r="D23" s="14" t="s">
        <v>28</v>
      </c>
      <c r="E23" s="11"/>
    </row>
    <row r="24" spans="1:5" x14ac:dyDescent="0.3">
      <c r="A24" s="11">
        <v>23</v>
      </c>
      <c r="B24" s="16">
        <v>250054600038</v>
      </c>
      <c r="C24" s="15" t="s">
        <v>82</v>
      </c>
      <c r="D24" s="14" t="s">
        <v>28</v>
      </c>
      <c r="E24" s="11"/>
    </row>
    <row r="25" spans="1:5" x14ac:dyDescent="0.3">
      <c r="A25" s="11">
        <v>24</v>
      </c>
      <c r="B25" s="16">
        <v>250018300031</v>
      </c>
      <c r="C25" s="15" t="s">
        <v>84</v>
      </c>
      <c r="D25" s="14" t="s">
        <v>28</v>
      </c>
      <c r="E25" s="11"/>
    </row>
    <row r="26" spans="1:5" x14ac:dyDescent="0.3">
      <c r="A26" s="11">
        <v>25</v>
      </c>
      <c r="B26" s="16">
        <v>250054600039</v>
      </c>
      <c r="C26" s="15" t="s">
        <v>86</v>
      </c>
      <c r="D26" s="14" t="s">
        <v>28</v>
      </c>
      <c r="E26" s="11"/>
    </row>
    <row r="27" spans="1:5" x14ac:dyDescent="0.3">
      <c r="A27" s="11">
        <v>26</v>
      </c>
      <c r="B27" s="16">
        <v>250018400016</v>
      </c>
      <c r="C27" s="15" t="s">
        <v>87</v>
      </c>
      <c r="D27" s="14" t="s">
        <v>28</v>
      </c>
      <c r="E27" s="11"/>
    </row>
    <row r="28" spans="1:5" x14ac:dyDescent="0.3">
      <c r="A28" s="11">
        <v>27</v>
      </c>
      <c r="B28" s="16">
        <v>250018400027</v>
      </c>
      <c r="C28" s="15" t="s">
        <v>46</v>
      </c>
      <c r="D28" s="14" t="s">
        <v>28</v>
      </c>
      <c r="E28" s="11"/>
    </row>
    <row r="29" spans="1:5" x14ac:dyDescent="0.3">
      <c r="A29" s="11">
        <v>28</v>
      </c>
      <c r="B29" s="16">
        <v>250018400024</v>
      </c>
      <c r="C29" s="15" t="s">
        <v>48</v>
      </c>
      <c r="D29" s="14" t="s">
        <v>28</v>
      </c>
      <c r="E29" s="11"/>
    </row>
    <row r="30" spans="1:5" x14ac:dyDescent="0.3">
      <c r="A30" s="11">
        <v>29</v>
      </c>
      <c r="B30" s="16">
        <v>250053400011</v>
      </c>
      <c r="C30" s="15" t="s">
        <v>50</v>
      </c>
      <c r="D30" s="14" t="s">
        <v>28</v>
      </c>
      <c r="E30" s="11"/>
    </row>
    <row r="31" spans="1:5" x14ac:dyDescent="0.3">
      <c r="A31" s="11">
        <v>30</v>
      </c>
      <c r="B31" s="16">
        <v>250018400026</v>
      </c>
      <c r="C31" s="15" t="s">
        <v>52</v>
      </c>
      <c r="D31" s="14" t="s">
        <v>28</v>
      </c>
      <c r="E31" s="11"/>
    </row>
    <row r="32" spans="1:5" x14ac:dyDescent="0.3">
      <c r="A32" s="11">
        <v>31</v>
      </c>
      <c r="B32" s="16">
        <v>250053400010</v>
      </c>
      <c r="C32" s="15" t="s">
        <v>53</v>
      </c>
      <c r="D32" s="14" t="s">
        <v>28</v>
      </c>
      <c r="E32" s="11"/>
    </row>
    <row r="33" spans="1:5" x14ac:dyDescent="0.3">
      <c r="A33" s="11">
        <v>32</v>
      </c>
      <c r="B33" s="16">
        <v>250018400020</v>
      </c>
      <c r="C33" s="15" t="s">
        <v>54</v>
      </c>
      <c r="D33" s="14" t="s">
        <v>28</v>
      </c>
      <c r="E33" s="11"/>
    </row>
    <row r="34" spans="1:5" x14ac:dyDescent="0.3">
      <c r="A34" s="11">
        <v>33</v>
      </c>
      <c r="B34" s="16">
        <v>250018400025</v>
      </c>
      <c r="C34" s="15" t="s">
        <v>57</v>
      </c>
      <c r="D34" s="14" t="s">
        <v>28</v>
      </c>
      <c r="E34" s="11"/>
    </row>
    <row r="35" spans="1:5" x14ac:dyDescent="0.3">
      <c r="A35" s="11">
        <v>34</v>
      </c>
      <c r="B35" s="16">
        <v>250018400021</v>
      </c>
      <c r="C35" s="15" t="s">
        <v>58</v>
      </c>
      <c r="D35" s="14" t="s">
        <v>28</v>
      </c>
      <c r="E35" s="11"/>
    </row>
    <row r="36" spans="1:5" x14ac:dyDescent="0.3">
      <c r="A36" s="11">
        <v>35</v>
      </c>
      <c r="B36" s="16">
        <v>250053400009</v>
      </c>
      <c r="C36" s="15" t="s">
        <v>61</v>
      </c>
      <c r="D36" s="14" t="s">
        <v>28</v>
      </c>
      <c r="E36" s="11"/>
    </row>
    <row r="37" spans="1:5" x14ac:dyDescent="0.3">
      <c r="A37" s="11">
        <v>36</v>
      </c>
      <c r="B37" s="16">
        <v>250018400035</v>
      </c>
      <c r="C37" s="15" t="s">
        <v>66</v>
      </c>
      <c r="D37" s="14" t="s">
        <v>28</v>
      </c>
      <c r="E37" s="11"/>
    </row>
    <row r="38" spans="1:5" x14ac:dyDescent="0.3">
      <c r="A38" s="11">
        <v>37</v>
      </c>
      <c r="B38" s="16">
        <v>250054600041</v>
      </c>
      <c r="C38" s="15" t="s">
        <v>70</v>
      </c>
      <c r="D38" s="14" t="s">
        <v>28</v>
      </c>
      <c r="E38" s="11"/>
    </row>
    <row r="39" spans="1:5" x14ac:dyDescent="0.3">
      <c r="A39" s="11">
        <v>38</v>
      </c>
      <c r="B39" s="16">
        <v>250018400023</v>
      </c>
      <c r="C39" s="15" t="s">
        <v>72</v>
      </c>
      <c r="D39" s="14" t="s">
        <v>28</v>
      </c>
      <c r="E39" s="11"/>
    </row>
    <row r="40" spans="1:5" x14ac:dyDescent="0.3">
      <c r="A40" s="11">
        <v>39</v>
      </c>
      <c r="B40" s="16">
        <v>250054600047</v>
      </c>
      <c r="C40" s="15" t="s">
        <v>77</v>
      </c>
      <c r="D40" s="14" t="s">
        <v>28</v>
      </c>
      <c r="E40" s="11"/>
    </row>
    <row r="41" spans="1:5" x14ac:dyDescent="0.3">
      <c r="A41" s="11">
        <v>40</v>
      </c>
      <c r="B41" s="16">
        <v>250054600044</v>
      </c>
      <c r="C41" s="15" t="s">
        <v>78</v>
      </c>
      <c r="D41" s="14" t="s">
        <v>28</v>
      </c>
      <c r="E41" s="11"/>
    </row>
    <row r="42" spans="1:5" x14ac:dyDescent="0.3">
      <c r="A42" s="11">
        <v>41</v>
      </c>
      <c r="B42" s="16">
        <v>250054600045</v>
      </c>
      <c r="C42" s="15" t="s">
        <v>81</v>
      </c>
      <c r="D42" s="14" t="s">
        <v>28</v>
      </c>
      <c r="E42" s="11"/>
    </row>
    <row r="43" spans="1:5" x14ac:dyDescent="0.3">
      <c r="A43" s="11">
        <v>42</v>
      </c>
      <c r="B43" s="16">
        <v>250054600043</v>
      </c>
      <c r="C43" s="15" t="s">
        <v>83</v>
      </c>
      <c r="D43" s="14" t="s">
        <v>28</v>
      </c>
      <c r="E43" s="11"/>
    </row>
    <row r="44" spans="1:5" x14ac:dyDescent="0.3">
      <c r="A44" s="11">
        <v>43</v>
      </c>
      <c r="B44" s="16">
        <v>250018400022</v>
      </c>
      <c r="C44" s="15" t="s">
        <v>88</v>
      </c>
      <c r="D44" s="14" t="s">
        <v>28</v>
      </c>
      <c r="E44" s="11"/>
    </row>
    <row r="45" spans="1:5" x14ac:dyDescent="0.3">
      <c r="A45" s="11">
        <v>44</v>
      </c>
      <c r="B45" s="16">
        <v>250054600046</v>
      </c>
      <c r="C45" s="15" t="s">
        <v>89</v>
      </c>
      <c r="D45" s="14" t="s">
        <v>28</v>
      </c>
      <c r="E45" s="11"/>
    </row>
    <row r="46" spans="1:5" x14ac:dyDescent="0.3">
      <c r="A46" s="11">
        <v>45</v>
      </c>
      <c r="B46" s="16">
        <v>250028100047</v>
      </c>
      <c r="C46" s="15" t="s">
        <v>42</v>
      </c>
      <c r="D46" s="14" t="s">
        <v>28</v>
      </c>
      <c r="E46" s="11"/>
    </row>
    <row r="47" spans="1:5" x14ac:dyDescent="0.3">
      <c r="A47" s="11">
        <v>46</v>
      </c>
      <c r="B47" s="16">
        <v>250018400037</v>
      </c>
      <c r="C47" s="15" t="s">
        <v>75</v>
      </c>
      <c r="D47" s="14" t="s">
        <v>28</v>
      </c>
      <c r="E47" s="11"/>
    </row>
    <row r="48" spans="1:5" x14ac:dyDescent="0.3">
      <c r="A48" s="11">
        <v>47</v>
      </c>
      <c r="B48" s="16">
        <v>250019800110</v>
      </c>
      <c r="C48" s="15" t="s">
        <v>43</v>
      </c>
      <c r="D48" s="14" t="s">
        <v>28</v>
      </c>
      <c r="E48" s="11"/>
    </row>
    <row r="49" spans="1:5" x14ac:dyDescent="0.3">
      <c r="A49" s="11">
        <v>48</v>
      </c>
      <c r="B49" s="16">
        <v>250019800106</v>
      </c>
      <c r="C49" s="15" t="s">
        <v>191</v>
      </c>
      <c r="D49" s="14" t="s">
        <v>28</v>
      </c>
      <c r="E49" s="11"/>
    </row>
    <row r="50" spans="1:5" x14ac:dyDescent="0.3">
      <c r="A50" s="11">
        <v>49</v>
      </c>
      <c r="B50" s="16">
        <v>250060800015</v>
      </c>
      <c r="C50" s="15" t="s">
        <v>85</v>
      </c>
      <c r="D50" s="14" t="s">
        <v>28</v>
      </c>
      <c r="E50" s="11"/>
    </row>
    <row r="51" spans="1:5" x14ac:dyDescent="0.3">
      <c r="A51" s="11">
        <v>50</v>
      </c>
      <c r="B51" s="16">
        <v>250054600049</v>
      </c>
      <c r="C51" s="15" t="s">
        <v>90</v>
      </c>
      <c r="D51" s="14" t="s">
        <v>28</v>
      </c>
      <c r="E51" s="11"/>
    </row>
    <row r="52" spans="1:5" x14ac:dyDescent="0.3">
      <c r="A52" s="11">
        <v>51</v>
      </c>
      <c r="B52" s="16">
        <v>250019800112</v>
      </c>
      <c r="C52" s="15" t="s">
        <v>91</v>
      </c>
      <c r="D52" s="14" t="s">
        <v>28</v>
      </c>
      <c r="E52" s="11"/>
    </row>
    <row r="53" spans="1:5" x14ac:dyDescent="0.3">
      <c r="A53" s="11">
        <v>52</v>
      </c>
      <c r="B53" s="16">
        <v>250019800111</v>
      </c>
      <c r="C53" s="15" t="s">
        <v>91</v>
      </c>
      <c r="D53" s="14" t="s">
        <v>28</v>
      </c>
      <c r="E53" s="11"/>
    </row>
    <row r="54" spans="1:5" x14ac:dyDescent="0.3">
      <c r="A54" s="11">
        <v>53</v>
      </c>
      <c r="B54" s="16">
        <v>250022600053</v>
      </c>
      <c r="C54" s="15" t="s">
        <v>92</v>
      </c>
      <c r="D54" s="14" t="s">
        <v>28</v>
      </c>
      <c r="E54" s="11"/>
    </row>
    <row r="55" spans="1:5" x14ac:dyDescent="0.3">
      <c r="A55" s="11">
        <v>54</v>
      </c>
      <c r="B55" s="16">
        <v>250015400031</v>
      </c>
      <c r="C55" s="15" t="s">
        <v>198</v>
      </c>
      <c r="D55" s="14" t="s">
        <v>28</v>
      </c>
      <c r="E55" s="11"/>
    </row>
    <row r="56" spans="1:5" x14ac:dyDescent="0.3">
      <c r="A56" s="11">
        <v>55</v>
      </c>
      <c r="B56" s="16">
        <v>250015300209</v>
      </c>
      <c r="C56" s="15" t="s">
        <v>200</v>
      </c>
      <c r="D56" s="14" t="s">
        <v>28</v>
      </c>
      <c r="E56" s="11"/>
    </row>
    <row r="57" spans="1:5" x14ac:dyDescent="0.3">
      <c r="A57" s="11">
        <v>56</v>
      </c>
      <c r="B57" s="16">
        <v>250011000030</v>
      </c>
      <c r="C57" s="15" t="s">
        <v>102</v>
      </c>
      <c r="D57" s="14" t="s">
        <v>28</v>
      </c>
      <c r="E57" s="11"/>
    </row>
    <row r="58" spans="1:5" x14ac:dyDescent="0.3">
      <c r="A58" s="11">
        <v>57</v>
      </c>
      <c r="B58" s="16">
        <v>250011000028</v>
      </c>
      <c r="C58" s="15" t="s">
        <v>203</v>
      </c>
      <c r="D58" s="14" t="s">
        <v>28</v>
      </c>
      <c r="E58" s="11"/>
    </row>
    <row r="59" spans="1:5" x14ac:dyDescent="0.3">
      <c r="A59" s="11">
        <v>58</v>
      </c>
      <c r="B59" s="16">
        <v>250028100052</v>
      </c>
      <c r="C59" s="15" t="s">
        <v>104</v>
      </c>
      <c r="D59" s="14" t="s">
        <v>28</v>
      </c>
      <c r="E59" s="11"/>
    </row>
    <row r="60" spans="1:5" x14ac:dyDescent="0.3">
      <c r="A60" s="11">
        <v>59</v>
      </c>
      <c r="B60" s="16">
        <v>250028100048</v>
      </c>
      <c r="C60" s="15" t="s">
        <v>104</v>
      </c>
      <c r="D60" s="14" t="s">
        <v>28</v>
      </c>
      <c r="E60" s="11"/>
    </row>
    <row r="61" spans="1:5" x14ac:dyDescent="0.3">
      <c r="A61" s="11">
        <v>60</v>
      </c>
      <c r="B61" s="16">
        <v>250028100054</v>
      </c>
      <c r="C61" s="15" t="s">
        <v>105</v>
      </c>
      <c r="D61" s="14" t="s">
        <v>28</v>
      </c>
      <c r="E61" s="11"/>
    </row>
    <row r="62" spans="1:5" x14ac:dyDescent="0.3">
      <c r="A62" s="11">
        <v>61</v>
      </c>
      <c r="B62" s="16">
        <v>250028100054</v>
      </c>
      <c r="C62" s="15" t="s">
        <v>105</v>
      </c>
      <c r="D62" s="14" t="s">
        <v>28</v>
      </c>
      <c r="E62" s="11"/>
    </row>
    <row r="63" spans="1:5" x14ac:dyDescent="0.3">
      <c r="A63" s="11">
        <v>62</v>
      </c>
      <c r="B63" s="16">
        <v>250015300210</v>
      </c>
      <c r="C63" s="15" t="s">
        <v>207</v>
      </c>
      <c r="D63" s="14" t="s">
        <v>28</v>
      </c>
      <c r="E63" s="11"/>
    </row>
    <row r="64" spans="1:5" x14ac:dyDescent="0.3">
      <c r="A64" s="11">
        <v>63</v>
      </c>
      <c r="B64" s="16">
        <v>250018700030</v>
      </c>
      <c r="C64" s="15" t="s">
        <v>209</v>
      </c>
      <c r="D64" s="14" t="s">
        <v>28</v>
      </c>
      <c r="E64" s="11"/>
    </row>
    <row r="65" spans="1:5" x14ac:dyDescent="0.3">
      <c r="A65" s="11">
        <v>64</v>
      </c>
      <c r="B65" s="16">
        <v>250018700031</v>
      </c>
      <c r="C65" s="15" t="s">
        <v>211</v>
      </c>
      <c r="D65" s="14" t="s">
        <v>28</v>
      </c>
      <c r="E65" s="11"/>
    </row>
    <row r="66" spans="1:5" x14ac:dyDescent="0.3">
      <c r="A66" s="11">
        <v>65</v>
      </c>
      <c r="B66" s="16">
        <v>250018700032</v>
      </c>
      <c r="C66" s="15" t="s">
        <v>213</v>
      </c>
      <c r="D66" s="14" t="s">
        <v>28</v>
      </c>
      <c r="E66" s="11"/>
    </row>
    <row r="67" spans="1:5" x14ac:dyDescent="0.3">
      <c r="A67" s="11">
        <v>66</v>
      </c>
      <c r="B67" s="16">
        <v>250015300218</v>
      </c>
      <c r="C67" s="15" t="s">
        <v>215</v>
      </c>
      <c r="D67" s="14" t="s">
        <v>28</v>
      </c>
      <c r="E67" s="11"/>
    </row>
    <row r="68" spans="1:5" x14ac:dyDescent="0.3">
      <c r="A68" s="11">
        <v>67</v>
      </c>
      <c r="B68" s="16">
        <v>250057200008</v>
      </c>
      <c r="C68" s="15" t="s">
        <v>95</v>
      </c>
      <c r="D68" s="14" t="s">
        <v>28</v>
      </c>
      <c r="E68" s="11"/>
    </row>
    <row r="69" spans="1:5" x14ac:dyDescent="0.3">
      <c r="A69" s="11">
        <v>68</v>
      </c>
      <c r="B69" s="16">
        <v>250054600055</v>
      </c>
      <c r="C69" s="15" t="s">
        <v>96</v>
      </c>
      <c r="D69" s="14" t="s">
        <v>28</v>
      </c>
      <c r="E69" s="11"/>
    </row>
    <row r="70" spans="1:5" x14ac:dyDescent="0.3">
      <c r="A70" s="11">
        <v>69</v>
      </c>
      <c r="B70" s="16">
        <v>250028100052</v>
      </c>
      <c r="C70" s="15" t="s">
        <v>104</v>
      </c>
      <c r="D70" s="14" t="s">
        <v>28</v>
      </c>
      <c r="E70" s="11"/>
    </row>
    <row r="71" spans="1:5" x14ac:dyDescent="0.3">
      <c r="A71" s="11">
        <v>70</v>
      </c>
      <c r="B71" s="16">
        <v>250028100060</v>
      </c>
      <c r="C71" s="15" t="s">
        <v>97</v>
      </c>
      <c r="D71" s="14" t="s">
        <v>28</v>
      </c>
      <c r="E71" s="11"/>
    </row>
    <row r="72" spans="1:5" x14ac:dyDescent="0.3">
      <c r="A72" s="11">
        <v>71</v>
      </c>
      <c r="B72" s="16">
        <v>250028100054</v>
      </c>
      <c r="C72" s="15" t="s">
        <v>105</v>
      </c>
      <c r="D72" s="14" t="s">
        <v>28</v>
      </c>
      <c r="E72" s="11"/>
    </row>
    <row r="73" spans="1:5" x14ac:dyDescent="0.3">
      <c r="A73" s="11">
        <v>72</v>
      </c>
      <c r="B73" s="16">
        <v>250057200009</v>
      </c>
      <c r="C73" s="15" t="s">
        <v>99</v>
      </c>
      <c r="D73" s="14" t="s">
        <v>28</v>
      </c>
      <c r="E73" s="11"/>
    </row>
    <row r="74" spans="1:5" x14ac:dyDescent="0.3">
      <c r="A74" s="11">
        <v>73</v>
      </c>
      <c r="B74" s="16">
        <v>250028100054</v>
      </c>
      <c r="C74" s="15" t="s">
        <v>105</v>
      </c>
      <c r="D74" s="14" t="s">
        <v>28</v>
      </c>
      <c r="E74" s="11"/>
    </row>
    <row r="75" spans="1:5" x14ac:dyDescent="0.3">
      <c r="A75" s="11">
        <v>74</v>
      </c>
      <c r="B75" s="16">
        <v>250053400016</v>
      </c>
      <c r="C75" s="15" t="s">
        <v>101</v>
      </c>
      <c r="D75" s="14" t="s">
        <v>28</v>
      </c>
      <c r="E75" s="11"/>
    </row>
    <row r="76" spans="1:5" x14ac:dyDescent="0.3">
      <c r="A76" s="11">
        <v>75</v>
      </c>
      <c r="B76" s="16">
        <v>250019800114</v>
      </c>
      <c r="C76" s="15" t="s">
        <v>94</v>
      </c>
      <c r="D76" s="14" t="s">
        <v>28</v>
      </c>
      <c r="E76" s="11"/>
    </row>
    <row r="77" spans="1:5" x14ac:dyDescent="0.3">
      <c r="A77" s="11">
        <v>76</v>
      </c>
      <c r="B77" s="16">
        <v>250054600054</v>
      </c>
      <c r="C77" s="15" t="s">
        <v>103</v>
      </c>
      <c r="D77" s="14" t="s">
        <v>28</v>
      </c>
      <c r="E77" s="11"/>
    </row>
    <row r="78" spans="1:5" x14ac:dyDescent="0.3">
      <c r="A78" s="11">
        <v>77</v>
      </c>
      <c r="B78" s="16">
        <v>250028100055</v>
      </c>
      <c r="C78" s="15" t="s">
        <v>106</v>
      </c>
      <c r="D78" s="14" t="s">
        <v>28</v>
      </c>
      <c r="E78" s="11"/>
    </row>
    <row r="79" spans="1:5" x14ac:dyDescent="0.3">
      <c r="A79" s="11">
        <v>78</v>
      </c>
      <c r="B79" s="16">
        <v>250018700035</v>
      </c>
      <c r="C79" s="15" t="s">
        <v>226</v>
      </c>
      <c r="D79" s="14" t="s">
        <v>28</v>
      </c>
      <c r="E79" s="11"/>
    </row>
    <row r="80" spans="1:5" x14ac:dyDescent="0.3">
      <c r="A80" s="11">
        <v>79</v>
      </c>
      <c r="B80" s="16">
        <v>250018700034</v>
      </c>
      <c r="C80" s="15" t="s">
        <v>228</v>
      </c>
      <c r="D80" s="14" t="s">
        <v>28</v>
      </c>
      <c r="E80" s="11"/>
    </row>
    <row r="81" spans="1:5" x14ac:dyDescent="0.3">
      <c r="A81" s="11">
        <v>80</v>
      </c>
      <c r="B81" s="16">
        <v>250018700033</v>
      </c>
      <c r="C81" s="15" t="s">
        <v>230</v>
      </c>
      <c r="D81" s="14" t="s">
        <v>28</v>
      </c>
      <c r="E81" s="11"/>
    </row>
    <row r="82" spans="1:5" x14ac:dyDescent="0.3">
      <c r="A82" s="11">
        <v>81</v>
      </c>
      <c r="B82" s="16">
        <v>250017300279</v>
      </c>
      <c r="C82" s="15" t="s">
        <v>108</v>
      </c>
      <c r="D82" s="14" t="s">
        <v>28</v>
      </c>
      <c r="E82" s="11"/>
    </row>
    <row r="83" spans="1:5" x14ac:dyDescent="0.3">
      <c r="A83" s="11">
        <v>82</v>
      </c>
      <c r="B83" s="16">
        <v>250017300221</v>
      </c>
      <c r="C83" s="15" t="s">
        <v>108</v>
      </c>
      <c r="D83" s="14" t="s">
        <v>28</v>
      </c>
      <c r="E83" s="11"/>
    </row>
    <row r="84" spans="1:5" x14ac:dyDescent="0.3">
      <c r="A84" s="11">
        <v>83</v>
      </c>
      <c r="B84" s="16">
        <v>250017300283</v>
      </c>
      <c r="C84" s="15" t="s">
        <v>108</v>
      </c>
      <c r="D84" s="14" t="s">
        <v>28</v>
      </c>
      <c r="E84" s="11"/>
    </row>
    <row r="85" spans="1:5" x14ac:dyDescent="0.3">
      <c r="A85" s="11">
        <v>84</v>
      </c>
      <c r="B85" s="16">
        <v>250016300029</v>
      </c>
      <c r="C85" s="15" t="s">
        <v>109</v>
      </c>
      <c r="D85" s="14" t="s">
        <v>28</v>
      </c>
      <c r="E85" s="11"/>
    </row>
    <row r="86" spans="1:5" x14ac:dyDescent="0.3">
      <c r="A86" s="11">
        <v>85</v>
      </c>
      <c r="B86" s="16">
        <v>250015300228</v>
      </c>
      <c r="C86" s="15" t="s">
        <v>234</v>
      </c>
      <c r="D86" s="14" t="s">
        <v>28</v>
      </c>
      <c r="E86" s="11"/>
    </row>
    <row r="87" spans="1:5" x14ac:dyDescent="0.3">
      <c r="A87" s="11">
        <v>86</v>
      </c>
      <c r="B87" s="16">
        <v>250014500221</v>
      </c>
      <c r="C87" s="15" t="s">
        <v>237</v>
      </c>
      <c r="D87" s="14" t="s">
        <v>28</v>
      </c>
      <c r="E87" s="11"/>
    </row>
    <row r="88" spans="1:5" x14ac:dyDescent="0.3">
      <c r="A88" s="11">
        <v>87</v>
      </c>
      <c r="B88" s="16">
        <v>250014500222</v>
      </c>
      <c r="C88" s="15" t="s">
        <v>239</v>
      </c>
      <c r="D88" s="14" t="s">
        <v>28</v>
      </c>
      <c r="E88" s="11"/>
    </row>
    <row r="89" spans="1:5" x14ac:dyDescent="0.3">
      <c r="A89" s="11">
        <v>88</v>
      </c>
      <c r="B89" s="16">
        <v>250015300222</v>
      </c>
      <c r="C89" s="15" t="s">
        <v>241</v>
      </c>
      <c r="D89" s="14" t="s">
        <v>28</v>
      </c>
      <c r="E89" s="11"/>
    </row>
    <row r="90" spans="1:5" x14ac:dyDescent="0.3">
      <c r="A90" s="11">
        <v>89</v>
      </c>
      <c r="B90" s="16">
        <v>250015300224</v>
      </c>
      <c r="C90" s="15" t="s">
        <v>243</v>
      </c>
      <c r="D90" s="14" t="s">
        <v>28</v>
      </c>
      <c r="E90" s="11"/>
    </row>
    <row r="91" spans="1:5" x14ac:dyDescent="0.3">
      <c r="A91" s="11">
        <v>90</v>
      </c>
      <c r="B91" s="16">
        <v>250015300223</v>
      </c>
      <c r="C91" s="15" t="s">
        <v>245</v>
      </c>
      <c r="D91" s="14" t="s">
        <v>28</v>
      </c>
      <c r="E91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D9D7-F622-4F9C-8943-9D282372B53E}">
  <dimension ref="A1:X119"/>
  <sheetViews>
    <sheetView workbookViewId="0"/>
  </sheetViews>
  <sheetFormatPr defaultRowHeight="14.4" x14ac:dyDescent="0.3"/>
  <cols>
    <col min="2" max="2" width="13.6640625" bestFit="1" customWidth="1"/>
    <col min="3" max="3" width="13.44140625" bestFit="1" customWidth="1"/>
    <col min="4" max="4" width="15.6640625" style="9" bestFit="1" customWidth="1"/>
    <col min="5" max="5" width="8.109375" bestFit="1" customWidth="1"/>
    <col min="6" max="6" width="9" bestFit="1" customWidth="1"/>
    <col min="7" max="7" width="27.109375" hidden="1" customWidth="1"/>
    <col min="8" max="8" width="19.109375" hidden="1" customWidth="1"/>
    <col min="9" max="9" width="10.88671875" hidden="1" customWidth="1"/>
    <col min="10" max="10" width="8.44140625" hidden="1" customWidth="1"/>
    <col min="11" max="11" width="12.5546875" hidden="1" customWidth="1"/>
    <col min="12" max="12" width="15.6640625" bestFit="1" customWidth="1"/>
    <col min="13" max="13" width="20.21875" hidden="1" customWidth="1"/>
    <col min="14" max="14" width="8.33203125" hidden="1" customWidth="1"/>
    <col min="15" max="15" width="10.33203125" hidden="1" customWidth="1"/>
    <col min="16" max="16" width="14.6640625" hidden="1" customWidth="1"/>
    <col min="17" max="17" width="15.6640625" style="9" hidden="1" customWidth="1"/>
    <col min="18" max="19" width="19.77734375" hidden="1" customWidth="1"/>
    <col min="20" max="20" width="16" bestFit="1" customWidth="1"/>
    <col min="21" max="21" width="10.6640625" bestFit="1" customWidth="1"/>
    <col min="22" max="23" width="10.5546875" bestFit="1" customWidth="1"/>
  </cols>
  <sheetData>
    <row r="1" spans="1:24" x14ac:dyDescent="0.3">
      <c r="A1" t="s">
        <v>29</v>
      </c>
      <c r="B1" t="s">
        <v>30</v>
      </c>
      <c r="C1" t="s">
        <v>0</v>
      </c>
      <c r="D1" s="9" t="s">
        <v>1</v>
      </c>
      <c r="E1" t="s">
        <v>2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s="10" t="s">
        <v>37</v>
      </c>
      <c r="M1" t="s">
        <v>250</v>
      </c>
      <c r="N1" t="s">
        <v>38</v>
      </c>
      <c r="O1" t="s">
        <v>39</v>
      </c>
      <c r="P1" t="s">
        <v>251</v>
      </c>
      <c r="Q1" s="9" t="s">
        <v>252</v>
      </c>
      <c r="R1" t="s">
        <v>246</v>
      </c>
      <c r="S1" t="s">
        <v>253</v>
      </c>
      <c r="T1" t="s">
        <v>247</v>
      </c>
      <c r="U1" t="s">
        <v>248</v>
      </c>
      <c r="V1" s="10" t="s">
        <v>255</v>
      </c>
      <c r="W1" t="s">
        <v>249</v>
      </c>
      <c r="X1" t="s">
        <v>254</v>
      </c>
    </row>
    <row r="2" spans="1:24" x14ac:dyDescent="0.3">
      <c r="A2">
        <v>1</v>
      </c>
      <c r="B2">
        <v>4596</v>
      </c>
      <c r="C2" t="s">
        <v>8</v>
      </c>
      <c r="D2" s="9">
        <v>250038200004</v>
      </c>
      <c r="E2" t="s">
        <v>4</v>
      </c>
      <c r="F2" t="s">
        <v>110</v>
      </c>
      <c r="G2" t="s">
        <v>111</v>
      </c>
      <c r="H2" s="7">
        <v>45879.021331018521</v>
      </c>
      <c r="I2" t="s">
        <v>112</v>
      </c>
      <c r="J2">
        <v>32060</v>
      </c>
      <c r="K2">
        <v>1</v>
      </c>
      <c r="L2" s="7">
        <v>43298.947928240741</v>
      </c>
      <c r="M2" s="7">
        <v>45879.021331018521</v>
      </c>
      <c r="N2">
        <v>1</v>
      </c>
      <c r="P2">
        <v>4596</v>
      </c>
      <c r="Q2" s="9">
        <v>250038200004</v>
      </c>
      <c r="R2" t="s">
        <v>113</v>
      </c>
      <c r="S2" t="s">
        <v>113</v>
      </c>
      <c r="T2" t="s">
        <v>8</v>
      </c>
      <c r="U2" t="s">
        <v>114</v>
      </c>
      <c r="V2" s="8">
        <v>45851</v>
      </c>
      <c r="W2" s="8">
        <v>43298</v>
      </c>
      <c r="X2">
        <f>Table3[[#This Row],[`date`]]-Table3[[#This Row],[etd]]</f>
        <v>-2552.052071759259</v>
      </c>
    </row>
    <row r="3" spans="1:24" x14ac:dyDescent="0.3">
      <c r="A3">
        <v>2</v>
      </c>
      <c r="B3">
        <v>4196</v>
      </c>
      <c r="C3" t="s">
        <v>5</v>
      </c>
      <c r="D3" s="9">
        <v>250022600039</v>
      </c>
      <c r="E3" t="s">
        <v>4</v>
      </c>
      <c r="F3" t="s">
        <v>110</v>
      </c>
      <c r="G3" t="s">
        <v>111</v>
      </c>
      <c r="H3" s="7">
        <v>45874.517083333332</v>
      </c>
      <c r="I3" t="s">
        <v>112</v>
      </c>
      <c r="J3">
        <v>27403</v>
      </c>
      <c r="K3">
        <v>1</v>
      </c>
      <c r="L3" s="7">
        <v>43304.666678240741</v>
      </c>
      <c r="M3" s="7">
        <v>45874.517083333332</v>
      </c>
      <c r="N3">
        <v>1</v>
      </c>
      <c r="P3">
        <v>4196</v>
      </c>
      <c r="Q3" s="9">
        <v>250022600039</v>
      </c>
      <c r="R3" t="s">
        <v>115</v>
      </c>
      <c r="S3" t="s">
        <v>115</v>
      </c>
      <c r="T3" t="s">
        <v>5</v>
      </c>
      <c r="U3" t="s">
        <v>116</v>
      </c>
      <c r="V3" s="8">
        <v>45851</v>
      </c>
      <c r="W3" s="8">
        <v>45851</v>
      </c>
      <c r="X3">
        <f>Table3[[#This Row],[`date`]]-Table3[[#This Row],[etd]]</f>
        <v>-2546.333321759259</v>
      </c>
    </row>
    <row r="4" spans="1:24" x14ac:dyDescent="0.3">
      <c r="A4">
        <v>3</v>
      </c>
      <c r="B4">
        <v>4572</v>
      </c>
      <c r="C4" t="s">
        <v>7</v>
      </c>
      <c r="D4" s="9">
        <v>250017200015</v>
      </c>
      <c r="E4" t="s">
        <v>4</v>
      </c>
      <c r="F4" t="s">
        <v>110</v>
      </c>
      <c r="G4" t="s">
        <v>111</v>
      </c>
      <c r="H4" s="7">
        <v>45879.010694444441</v>
      </c>
      <c r="I4" t="s">
        <v>112</v>
      </c>
      <c r="J4">
        <v>31860</v>
      </c>
      <c r="K4">
        <v>1</v>
      </c>
      <c r="L4" s="7">
        <v>43305.927094907405</v>
      </c>
      <c r="M4" s="7">
        <v>45879.010694444441</v>
      </c>
      <c r="N4">
        <v>1</v>
      </c>
      <c r="P4">
        <v>4572</v>
      </c>
      <c r="Q4" s="9">
        <v>250017200015</v>
      </c>
      <c r="R4" t="s">
        <v>117</v>
      </c>
      <c r="S4" t="s">
        <v>117</v>
      </c>
      <c r="T4" t="s">
        <v>7</v>
      </c>
      <c r="U4" t="s">
        <v>116</v>
      </c>
      <c r="V4" s="8">
        <v>45851</v>
      </c>
      <c r="W4" s="8">
        <v>43305</v>
      </c>
      <c r="X4">
        <f>Table3[[#This Row],[`date`]]-Table3[[#This Row],[etd]]</f>
        <v>-2545.0729050925947</v>
      </c>
    </row>
    <row r="5" spans="1:24" x14ac:dyDescent="0.3">
      <c r="A5">
        <v>4</v>
      </c>
      <c r="B5">
        <v>4573</v>
      </c>
      <c r="C5" t="s">
        <v>7</v>
      </c>
      <c r="D5" s="9">
        <v>250017200017</v>
      </c>
      <c r="E5" t="s">
        <v>4</v>
      </c>
      <c r="F5" t="s">
        <v>110</v>
      </c>
      <c r="G5" t="s">
        <v>111</v>
      </c>
      <c r="H5" s="7">
        <v>45879.010694444441</v>
      </c>
      <c r="I5" t="s">
        <v>112</v>
      </c>
      <c r="J5">
        <v>31862</v>
      </c>
      <c r="K5">
        <v>1</v>
      </c>
      <c r="L5" s="7">
        <v>43305.927094907405</v>
      </c>
      <c r="M5" s="7">
        <v>45879.010694444441</v>
      </c>
      <c r="N5">
        <v>1</v>
      </c>
      <c r="P5">
        <v>4573</v>
      </c>
      <c r="Q5" s="9">
        <v>250017200017</v>
      </c>
      <c r="R5" t="s">
        <v>117</v>
      </c>
      <c r="S5" t="s">
        <v>117</v>
      </c>
      <c r="T5" t="s">
        <v>7</v>
      </c>
      <c r="U5" t="s">
        <v>116</v>
      </c>
      <c r="V5" s="8">
        <v>45851</v>
      </c>
      <c r="W5" s="8">
        <v>45851</v>
      </c>
      <c r="X5">
        <f>Table3[[#This Row],[`date`]]-Table3[[#This Row],[etd]]</f>
        <v>-2545.0729050925947</v>
      </c>
    </row>
    <row r="6" spans="1:24" x14ac:dyDescent="0.3">
      <c r="A6">
        <v>5</v>
      </c>
      <c r="B6">
        <v>4930</v>
      </c>
      <c r="C6" t="s">
        <v>12</v>
      </c>
      <c r="D6" s="9">
        <v>250015800006</v>
      </c>
      <c r="E6" t="s">
        <v>4</v>
      </c>
      <c r="F6" t="s">
        <v>110</v>
      </c>
      <c r="G6" t="s">
        <v>111</v>
      </c>
      <c r="H6" s="7">
        <v>45883.002685185187</v>
      </c>
      <c r="I6" t="s">
        <v>112</v>
      </c>
      <c r="J6">
        <v>38255</v>
      </c>
      <c r="K6">
        <v>1</v>
      </c>
      <c r="L6" s="7">
        <v>43307.944456018522</v>
      </c>
      <c r="M6" s="7">
        <v>45883.002685185187</v>
      </c>
      <c r="N6">
        <v>1</v>
      </c>
      <c r="P6">
        <v>4930</v>
      </c>
      <c r="Q6" s="9">
        <v>250015800006</v>
      </c>
      <c r="R6" t="s">
        <v>118</v>
      </c>
      <c r="S6" t="s">
        <v>118</v>
      </c>
      <c r="T6" t="s">
        <v>15</v>
      </c>
      <c r="U6" t="s">
        <v>116</v>
      </c>
      <c r="V6" s="8">
        <v>45851</v>
      </c>
      <c r="W6" s="8">
        <v>45851</v>
      </c>
      <c r="X6">
        <f>Table3[[#This Row],[`date`]]-Table3[[#This Row],[etd]]</f>
        <v>-2543.055543981478</v>
      </c>
    </row>
    <row r="7" spans="1:24" x14ac:dyDescent="0.3">
      <c r="A7">
        <v>6</v>
      </c>
      <c r="B7">
        <v>4951</v>
      </c>
      <c r="C7" t="s">
        <v>15</v>
      </c>
      <c r="D7" s="9">
        <v>250015800006</v>
      </c>
      <c r="E7" t="s">
        <v>4</v>
      </c>
      <c r="F7" t="s">
        <v>110</v>
      </c>
      <c r="G7" t="s">
        <v>111</v>
      </c>
      <c r="H7" s="7">
        <v>45883.022430555553</v>
      </c>
      <c r="I7" t="s">
        <v>112</v>
      </c>
      <c r="J7">
        <v>38541</v>
      </c>
      <c r="K7">
        <v>1</v>
      </c>
      <c r="L7" s="7">
        <v>43311.922233796293</v>
      </c>
      <c r="M7" s="7">
        <v>45883.022430555553</v>
      </c>
      <c r="N7">
        <v>1</v>
      </c>
      <c r="P7">
        <v>4951</v>
      </c>
      <c r="Q7" s="9">
        <v>250015800006</v>
      </c>
      <c r="R7" t="s">
        <v>118</v>
      </c>
      <c r="S7" t="s">
        <v>118</v>
      </c>
      <c r="T7" t="s">
        <v>15</v>
      </c>
      <c r="U7" t="s">
        <v>116</v>
      </c>
      <c r="V7" s="8">
        <v>45851</v>
      </c>
      <c r="W7" s="8">
        <v>45851</v>
      </c>
      <c r="X7">
        <f>Table3[[#This Row],[`date`]]-Table3[[#This Row],[etd]]</f>
        <v>-2539.0777662037071</v>
      </c>
    </row>
    <row r="8" spans="1:24" x14ac:dyDescent="0.3">
      <c r="A8">
        <v>7</v>
      </c>
      <c r="B8">
        <v>4821</v>
      </c>
      <c r="C8" t="s">
        <v>10</v>
      </c>
      <c r="D8" s="9">
        <v>250062700002</v>
      </c>
      <c r="E8" t="s">
        <v>4</v>
      </c>
      <c r="F8" t="s">
        <v>110</v>
      </c>
      <c r="G8" t="s">
        <v>111</v>
      </c>
      <c r="H8" s="7">
        <v>45882.00576388889</v>
      </c>
      <c r="I8" t="s">
        <v>112</v>
      </c>
      <c r="J8">
        <v>36668</v>
      </c>
      <c r="K8">
        <v>1</v>
      </c>
      <c r="L8" s="7">
        <v>43317.423622685186</v>
      </c>
      <c r="M8" s="7">
        <v>45882.00576388889</v>
      </c>
      <c r="N8">
        <v>1</v>
      </c>
      <c r="P8">
        <v>4821</v>
      </c>
      <c r="Q8" s="9">
        <v>250062700002</v>
      </c>
      <c r="R8" t="s">
        <v>119</v>
      </c>
      <c r="S8" t="s">
        <v>119</v>
      </c>
      <c r="T8" t="s">
        <v>120</v>
      </c>
      <c r="U8" t="s">
        <v>116</v>
      </c>
      <c r="V8" s="8">
        <v>45851</v>
      </c>
      <c r="W8" s="8">
        <v>45851</v>
      </c>
      <c r="X8">
        <f>Table3[[#This Row],[`date`]]-Table3[[#This Row],[etd]]</f>
        <v>-2533.5763773148137</v>
      </c>
    </row>
    <row r="9" spans="1:24" x14ac:dyDescent="0.3">
      <c r="A9">
        <v>8</v>
      </c>
      <c r="B9">
        <v>4601</v>
      </c>
      <c r="C9" t="s">
        <v>9</v>
      </c>
      <c r="D9" s="9">
        <v>250022600048</v>
      </c>
      <c r="E9" t="s">
        <v>4</v>
      </c>
      <c r="F9" t="s">
        <v>110</v>
      </c>
      <c r="G9" t="s">
        <v>111</v>
      </c>
      <c r="H9" s="7">
        <v>45879.024293981478</v>
      </c>
      <c r="I9" t="s">
        <v>112</v>
      </c>
      <c r="J9">
        <v>32156</v>
      </c>
      <c r="K9">
        <v>1</v>
      </c>
      <c r="L9" s="7">
        <v>43324.730567129627</v>
      </c>
      <c r="M9" s="7">
        <v>45879.024293981478</v>
      </c>
      <c r="N9">
        <v>1</v>
      </c>
      <c r="P9">
        <v>4601</v>
      </c>
      <c r="Q9" s="9">
        <v>250022600048</v>
      </c>
      <c r="R9" t="s">
        <v>121</v>
      </c>
      <c r="S9" t="s">
        <v>121</v>
      </c>
      <c r="T9" t="s">
        <v>9</v>
      </c>
      <c r="U9" t="s">
        <v>116</v>
      </c>
      <c r="V9" s="8">
        <v>45851</v>
      </c>
      <c r="W9" s="8">
        <v>45851</v>
      </c>
      <c r="X9">
        <f>Table3[[#This Row],[`date`]]-Table3[[#This Row],[etd]]</f>
        <v>-2526.2694328703728</v>
      </c>
    </row>
    <row r="10" spans="1:24" x14ac:dyDescent="0.3">
      <c r="A10">
        <v>9</v>
      </c>
      <c r="B10">
        <v>4179</v>
      </c>
      <c r="C10" t="s">
        <v>3</v>
      </c>
      <c r="D10" s="9">
        <v>250016800014</v>
      </c>
      <c r="E10" t="s">
        <v>4</v>
      </c>
      <c r="F10" t="s">
        <v>110</v>
      </c>
      <c r="G10" t="s">
        <v>111</v>
      </c>
      <c r="H10" s="7">
        <v>45874.515474537038</v>
      </c>
      <c r="I10" t="s">
        <v>112</v>
      </c>
      <c r="J10">
        <v>27330</v>
      </c>
      <c r="K10">
        <v>1</v>
      </c>
      <c r="L10" s="7">
        <v>43366.500011574077</v>
      </c>
      <c r="M10" s="7">
        <v>45874.515474537038</v>
      </c>
      <c r="N10">
        <v>1</v>
      </c>
      <c r="P10">
        <v>4179</v>
      </c>
      <c r="Q10" s="9">
        <v>250016800014</v>
      </c>
      <c r="R10" t="s">
        <v>122</v>
      </c>
      <c r="S10" t="s">
        <v>122</v>
      </c>
      <c r="T10" t="s">
        <v>3</v>
      </c>
      <c r="U10" t="s">
        <v>116</v>
      </c>
      <c r="V10" s="8">
        <v>45872</v>
      </c>
      <c r="W10" s="8">
        <v>43366</v>
      </c>
      <c r="X10">
        <f>Table3[[#This Row],[`date`]]-Table3[[#This Row],[etd]]</f>
        <v>-2505.4999884259232</v>
      </c>
    </row>
    <row r="11" spans="1:24" x14ac:dyDescent="0.3">
      <c r="A11">
        <v>10</v>
      </c>
      <c r="B11">
        <v>5111</v>
      </c>
      <c r="C11" t="s">
        <v>17</v>
      </c>
      <c r="D11" s="9">
        <v>250016300028</v>
      </c>
      <c r="E11" t="s">
        <v>4</v>
      </c>
      <c r="F11" t="s">
        <v>110</v>
      </c>
      <c r="G11" t="s">
        <v>111</v>
      </c>
      <c r="H11" s="7">
        <v>45885.507951388892</v>
      </c>
      <c r="I11" t="s">
        <v>112</v>
      </c>
      <c r="J11">
        <v>41704</v>
      </c>
      <c r="K11">
        <v>1</v>
      </c>
      <c r="L11" s="7">
        <v>43375.066678240742</v>
      </c>
      <c r="M11" s="7">
        <v>45885.507951388892</v>
      </c>
      <c r="N11">
        <v>1</v>
      </c>
      <c r="P11">
        <v>5111</v>
      </c>
      <c r="Q11" s="9">
        <v>250016300028</v>
      </c>
      <c r="R11" t="s">
        <v>123</v>
      </c>
      <c r="S11" t="s">
        <v>123</v>
      </c>
      <c r="T11" t="s">
        <v>17</v>
      </c>
      <c r="U11" t="s">
        <v>116</v>
      </c>
      <c r="V11" s="8">
        <v>45872</v>
      </c>
      <c r="W11" s="8">
        <v>45873</v>
      </c>
      <c r="X11">
        <f>Table3[[#This Row],[`date`]]-Table3[[#This Row],[etd]]</f>
        <v>-2496.9333217592575</v>
      </c>
    </row>
    <row r="12" spans="1:24" x14ac:dyDescent="0.3">
      <c r="A12">
        <v>11</v>
      </c>
      <c r="B12">
        <v>4539</v>
      </c>
      <c r="C12" t="s">
        <v>6</v>
      </c>
      <c r="D12" s="9">
        <v>250012000004</v>
      </c>
      <c r="E12" t="s">
        <v>4</v>
      </c>
      <c r="F12" t="s">
        <v>110</v>
      </c>
      <c r="G12" t="s">
        <v>111</v>
      </c>
      <c r="H12" s="7">
        <v>45878.023379629631</v>
      </c>
      <c r="I12" t="s">
        <v>112</v>
      </c>
      <c r="J12">
        <v>30192</v>
      </c>
      <c r="K12">
        <v>1</v>
      </c>
      <c r="L12" s="7">
        <v>43379.036122685182</v>
      </c>
      <c r="M12" s="7">
        <v>45878.023379629631</v>
      </c>
      <c r="N12">
        <v>1</v>
      </c>
      <c r="P12">
        <v>4539</v>
      </c>
      <c r="Q12" s="9">
        <v>250012000004</v>
      </c>
      <c r="R12" t="s">
        <v>124</v>
      </c>
      <c r="S12" t="s">
        <v>124</v>
      </c>
      <c r="T12" t="s">
        <v>6</v>
      </c>
      <c r="U12" t="s">
        <v>116</v>
      </c>
      <c r="V12" s="8">
        <v>45872</v>
      </c>
      <c r="W12" s="8">
        <v>45844</v>
      </c>
      <c r="X12">
        <f>Table3[[#This Row],[`date`]]-Table3[[#This Row],[etd]]</f>
        <v>-2492.9638773148181</v>
      </c>
    </row>
    <row r="13" spans="1:24" x14ac:dyDescent="0.3">
      <c r="A13">
        <v>12</v>
      </c>
      <c r="B13">
        <v>4832</v>
      </c>
      <c r="C13" t="s">
        <v>11</v>
      </c>
      <c r="D13" s="9">
        <v>250016400002</v>
      </c>
      <c r="E13" t="s">
        <v>4</v>
      </c>
      <c r="F13" t="s">
        <v>110</v>
      </c>
      <c r="G13" t="s">
        <v>111</v>
      </c>
      <c r="H13" s="7">
        <v>45882.018738425926</v>
      </c>
      <c r="I13" t="s">
        <v>112</v>
      </c>
      <c r="J13">
        <v>36833</v>
      </c>
      <c r="K13">
        <v>1</v>
      </c>
      <c r="L13" s="7">
        <v>43381.870844907404</v>
      </c>
      <c r="M13" s="7">
        <v>45882.018738425926</v>
      </c>
      <c r="N13">
        <v>1</v>
      </c>
      <c r="P13">
        <v>4832</v>
      </c>
      <c r="Q13" s="9">
        <v>250016400002</v>
      </c>
      <c r="R13" t="s">
        <v>125</v>
      </c>
      <c r="S13" t="s">
        <v>125</v>
      </c>
      <c r="T13" t="s">
        <v>11</v>
      </c>
      <c r="U13" t="s">
        <v>116</v>
      </c>
      <c r="V13" s="8">
        <v>45872</v>
      </c>
      <c r="W13" s="8">
        <v>43381</v>
      </c>
      <c r="X13">
        <f>Table3[[#This Row],[`date`]]-Table3[[#This Row],[etd]]</f>
        <v>-2490.1291550925962</v>
      </c>
    </row>
    <row r="14" spans="1:24" x14ac:dyDescent="0.3">
      <c r="A14">
        <v>13</v>
      </c>
      <c r="B14">
        <v>5420</v>
      </c>
      <c r="C14" t="s">
        <v>22</v>
      </c>
      <c r="D14" s="9">
        <v>250038200005</v>
      </c>
      <c r="E14" t="s">
        <v>4</v>
      </c>
      <c r="F14" t="s">
        <v>110</v>
      </c>
      <c r="G14" t="s">
        <v>111</v>
      </c>
      <c r="H14" s="7">
        <v>45890.004513888889</v>
      </c>
      <c r="I14" t="s">
        <v>112</v>
      </c>
      <c r="J14">
        <v>50317</v>
      </c>
      <c r="K14">
        <v>1</v>
      </c>
      <c r="L14" s="7">
        <v>43388.602789351855</v>
      </c>
      <c r="M14" s="7">
        <v>45890.004513888889</v>
      </c>
      <c r="N14">
        <v>1</v>
      </c>
      <c r="P14">
        <v>5420</v>
      </c>
      <c r="Q14" s="9">
        <v>250038200005</v>
      </c>
      <c r="R14" t="s">
        <v>126</v>
      </c>
      <c r="S14" t="s">
        <v>126</v>
      </c>
      <c r="T14" t="s">
        <v>22</v>
      </c>
      <c r="U14" t="s">
        <v>114</v>
      </c>
      <c r="V14" s="8">
        <v>45886</v>
      </c>
      <c r="W14" s="8">
        <v>43388</v>
      </c>
      <c r="X14">
        <f>Table3[[#This Row],[`date`]]-Table3[[#This Row],[etd]]</f>
        <v>-2497.3972106481451</v>
      </c>
    </row>
    <row r="15" spans="1:24" x14ac:dyDescent="0.3">
      <c r="A15">
        <v>14</v>
      </c>
      <c r="B15">
        <v>5020</v>
      </c>
      <c r="C15" t="s">
        <v>16</v>
      </c>
      <c r="D15" s="9">
        <v>250022600051</v>
      </c>
      <c r="E15" t="s">
        <v>4</v>
      </c>
      <c r="F15" t="s">
        <v>110</v>
      </c>
      <c r="G15" t="s">
        <v>111</v>
      </c>
      <c r="H15" s="7">
        <v>45883.529456018521</v>
      </c>
      <c r="I15" t="s">
        <v>112</v>
      </c>
      <c r="J15">
        <v>39460</v>
      </c>
      <c r="K15">
        <v>1</v>
      </c>
      <c r="L15" s="7">
        <v>43411.888206018521</v>
      </c>
      <c r="M15" s="7">
        <v>45883.529456018521</v>
      </c>
      <c r="N15">
        <v>1</v>
      </c>
      <c r="P15">
        <v>5020</v>
      </c>
      <c r="Q15" s="9">
        <v>250022600051</v>
      </c>
      <c r="R15" t="s">
        <v>127</v>
      </c>
      <c r="S15" t="s">
        <v>127</v>
      </c>
      <c r="T15" t="s">
        <v>16</v>
      </c>
      <c r="U15" t="s">
        <v>116</v>
      </c>
      <c r="V15" s="8">
        <v>45886</v>
      </c>
      <c r="W15" s="8">
        <v>45854</v>
      </c>
      <c r="X15">
        <f>Table3[[#This Row],[`date`]]-Table3[[#This Row],[etd]]</f>
        <v>-2474.1117939814794</v>
      </c>
    </row>
    <row r="16" spans="1:24" x14ac:dyDescent="0.3">
      <c r="A16">
        <v>15</v>
      </c>
      <c r="B16">
        <v>5170</v>
      </c>
      <c r="C16" t="s">
        <v>18</v>
      </c>
      <c r="D16" s="9">
        <v>250017300222</v>
      </c>
      <c r="E16" t="s">
        <v>4</v>
      </c>
      <c r="F16" t="s">
        <v>110</v>
      </c>
      <c r="G16" t="s">
        <v>111</v>
      </c>
      <c r="H16" s="7">
        <v>45886.00341435185</v>
      </c>
      <c r="I16" t="s">
        <v>112</v>
      </c>
      <c r="J16">
        <v>42559</v>
      </c>
      <c r="K16">
        <v>1</v>
      </c>
      <c r="L16" s="7">
        <v>43421.795844907407</v>
      </c>
      <c r="M16" s="7">
        <v>45886.00341435185</v>
      </c>
      <c r="N16">
        <v>1</v>
      </c>
      <c r="P16">
        <v>5170</v>
      </c>
      <c r="Q16" s="9">
        <v>250017300222</v>
      </c>
      <c r="R16" t="s">
        <v>128</v>
      </c>
      <c r="S16" t="s">
        <v>128</v>
      </c>
      <c r="T16" t="s">
        <v>18</v>
      </c>
      <c r="U16" t="s">
        <v>116</v>
      </c>
      <c r="V16" s="8">
        <v>45886</v>
      </c>
      <c r="W16" s="8">
        <v>43421</v>
      </c>
      <c r="X16">
        <f>Table3[[#This Row],[`date`]]-Table3[[#This Row],[etd]]</f>
        <v>-2464.2041550925933</v>
      </c>
    </row>
    <row r="17" spans="1:24" x14ac:dyDescent="0.3">
      <c r="A17">
        <v>16</v>
      </c>
      <c r="B17">
        <v>5171</v>
      </c>
      <c r="C17" t="s">
        <v>18</v>
      </c>
      <c r="D17" s="9">
        <v>250017300250</v>
      </c>
      <c r="E17" t="s">
        <v>4</v>
      </c>
      <c r="F17" t="s">
        <v>110</v>
      </c>
      <c r="G17" t="s">
        <v>111</v>
      </c>
      <c r="H17" s="7">
        <v>45886.00341435185</v>
      </c>
      <c r="I17" t="s">
        <v>112</v>
      </c>
      <c r="J17">
        <v>42561</v>
      </c>
      <c r="K17">
        <v>1</v>
      </c>
      <c r="L17" s="7">
        <v>43421.795844907407</v>
      </c>
      <c r="M17" s="7">
        <v>45886.00341435185</v>
      </c>
      <c r="N17">
        <v>1</v>
      </c>
      <c r="P17">
        <v>5171</v>
      </c>
      <c r="Q17" s="9">
        <v>250017300250</v>
      </c>
      <c r="R17" t="s">
        <v>128</v>
      </c>
      <c r="S17" t="s">
        <v>128</v>
      </c>
      <c r="T17" t="s">
        <v>18</v>
      </c>
      <c r="U17" t="s">
        <v>116</v>
      </c>
      <c r="V17" s="8">
        <v>45886</v>
      </c>
      <c r="W17" s="8">
        <v>43421</v>
      </c>
      <c r="X17">
        <f>Table3[[#This Row],[`date`]]-Table3[[#This Row],[etd]]</f>
        <v>-2464.2041550925933</v>
      </c>
    </row>
    <row r="18" spans="1:24" x14ac:dyDescent="0.3">
      <c r="A18">
        <v>17</v>
      </c>
      <c r="B18">
        <v>6079</v>
      </c>
      <c r="C18" t="s">
        <v>25</v>
      </c>
      <c r="D18" s="9">
        <v>250022600057</v>
      </c>
      <c r="E18" t="s">
        <v>4</v>
      </c>
      <c r="F18" t="s">
        <v>110</v>
      </c>
      <c r="G18" t="s">
        <v>111</v>
      </c>
      <c r="H18" s="7">
        <v>45900.006145833337</v>
      </c>
      <c r="I18" t="s">
        <v>112</v>
      </c>
      <c r="J18">
        <v>67949</v>
      </c>
      <c r="K18">
        <v>1</v>
      </c>
      <c r="L18" s="7">
        <v>43424.113206018519</v>
      </c>
      <c r="M18" s="7">
        <v>45900.006145833337</v>
      </c>
      <c r="N18">
        <v>1</v>
      </c>
      <c r="P18">
        <v>6079</v>
      </c>
      <c r="Q18" s="9">
        <v>250022600057</v>
      </c>
      <c r="R18" t="s">
        <v>129</v>
      </c>
      <c r="S18" t="s">
        <v>129</v>
      </c>
      <c r="T18" t="s">
        <v>25</v>
      </c>
      <c r="U18" t="s">
        <v>116</v>
      </c>
      <c r="V18" s="8">
        <v>45900</v>
      </c>
      <c r="W18" s="8">
        <v>43424</v>
      </c>
      <c r="X18">
        <f>Table3[[#This Row],[`date`]]-Table3[[#This Row],[etd]]</f>
        <v>-2475.8867939814809</v>
      </c>
    </row>
    <row r="19" spans="1:24" x14ac:dyDescent="0.3">
      <c r="A19">
        <v>18</v>
      </c>
      <c r="B19">
        <v>5382</v>
      </c>
      <c r="C19" t="s">
        <v>21</v>
      </c>
      <c r="D19" s="9">
        <v>250017300239</v>
      </c>
      <c r="E19" t="s">
        <v>4</v>
      </c>
      <c r="F19" t="s">
        <v>110</v>
      </c>
      <c r="G19" t="s">
        <v>111</v>
      </c>
      <c r="H19" s="7">
        <v>45889.029224537036</v>
      </c>
      <c r="I19" t="s">
        <v>112</v>
      </c>
      <c r="J19">
        <v>48892</v>
      </c>
      <c r="K19">
        <v>1</v>
      </c>
      <c r="L19" s="7">
        <v>43427.99931712963</v>
      </c>
      <c r="M19" s="7">
        <v>45889.029224537036</v>
      </c>
      <c r="N19">
        <v>1</v>
      </c>
      <c r="P19">
        <v>5382</v>
      </c>
      <c r="Q19" s="9">
        <v>250017300239</v>
      </c>
      <c r="R19" t="s">
        <v>130</v>
      </c>
      <c r="S19" t="s">
        <v>130</v>
      </c>
      <c r="T19" t="s">
        <v>21</v>
      </c>
      <c r="U19" t="s">
        <v>116</v>
      </c>
      <c r="V19" s="8">
        <v>45886</v>
      </c>
      <c r="W19" s="8">
        <v>43427</v>
      </c>
      <c r="X19">
        <f>Table3[[#This Row],[`date`]]-Table3[[#This Row],[etd]]</f>
        <v>-2458.0006828703699</v>
      </c>
    </row>
    <row r="20" spans="1:24" x14ac:dyDescent="0.3">
      <c r="A20">
        <v>19</v>
      </c>
      <c r="B20">
        <v>5503</v>
      </c>
      <c r="C20" t="s">
        <v>23</v>
      </c>
      <c r="D20" s="9">
        <v>250017300252</v>
      </c>
      <c r="E20" t="s">
        <v>4</v>
      </c>
      <c r="F20" t="s">
        <v>110</v>
      </c>
      <c r="G20" t="s">
        <v>111</v>
      </c>
      <c r="H20" s="7">
        <v>45891.002581018518</v>
      </c>
      <c r="I20" t="s">
        <v>112</v>
      </c>
      <c r="J20">
        <v>52196</v>
      </c>
      <c r="K20">
        <v>1</v>
      </c>
      <c r="L20" s="7">
        <v>43427.99931712963</v>
      </c>
      <c r="M20" s="7">
        <v>45891.002581018518</v>
      </c>
      <c r="N20">
        <v>1</v>
      </c>
      <c r="P20">
        <v>5503</v>
      </c>
      <c r="Q20" s="9">
        <v>250017300252</v>
      </c>
      <c r="R20" t="s">
        <v>131</v>
      </c>
      <c r="S20" t="s">
        <v>131</v>
      </c>
      <c r="T20" t="s">
        <v>23</v>
      </c>
      <c r="U20" t="s">
        <v>116</v>
      </c>
      <c r="V20" s="8">
        <v>45886</v>
      </c>
      <c r="W20" s="8">
        <v>43427</v>
      </c>
      <c r="X20">
        <f>Table3[[#This Row],[`date`]]-Table3[[#This Row],[etd]]</f>
        <v>-2458.0006828703699</v>
      </c>
    </row>
    <row r="21" spans="1:24" x14ac:dyDescent="0.3">
      <c r="A21">
        <v>20</v>
      </c>
      <c r="B21">
        <v>5378</v>
      </c>
      <c r="C21" t="s">
        <v>20</v>
      </c>
      <c r="D21" s="9">
        <v>250017300240</v>
      </c>
      <c r="E21" t="s">
        <v>4</v>
      </c>
      <c r="F21" t="s">
        <v>110</v>
      </c>
      <c r="G21" t="s">
        <v>111</v>
      </c>
      <c r="H21" s="7">
        <v>45889.025659722225</v>
      </c>
      <c r="I21" t="s">
        <v>112</v>
      </c>
      <c r="J21">
        <v>48818</v>
      </c>
      <c r="K21">
        <v>1</v>
      </c>
      <c r="L21" s="7">
        <v>43434.555567129632</v>
      </c>
      <c r="M21" s="7">
        <v>45889.025659722225</v>
      </c>
      <c r="N21">
        <v>1</v>
      </c>
      <c r="P21">
        <v>5378</v>
      </c>
      <c r="Q21" s="9">
        <v>250017300240</v>
      </c>
      <c r="R21" t="s">
        <v>132</v>
      </c>
      <c r="S21" t="s">
        <v>132</v>
      </c>
      <c r="T21" t="s">
        <v>20</v>
      </c>
      <c r="U21" t="s">
        <v>116</v>
      </c>
      <c r="V21" s="8">
        <v>45886</v>
      </c>
      <c r="W21" s="8">
        <v>45330</v>
      </c>
      <c r="X21">
        <f>Table3[[#This Row],[`date`]]-Table3[[#This Row],[etd]]</f>
        <v>-2451.4444328703685</v>
      </c>
    </row>
    <row r="22" spans="1:24" x14ac:dyDescent="0.3">
      <c r="A22">
        <v>21</v>
      </c>
      <c r="B22">
        <v>4936</v>
      </c>
      <c r="C22" t="s">
        <v>13</v>
      </c>
      <c r="D22" s="9">
        <v>250017200020</v>
      </c>
      <c r="E22" t="s">
        <v>4</v>
      </c>
      <c r="F22" t="s">
        <v>110</v>
      </c>
      <c r="G22" t="s">
        <v>111</v>
      </c>
      <c r="H22" s="7">
        <v>45883.006967592592</v>
      </c>
      <c r="I22" t="s">
        <v>112</v>
      </c>
      <c r="J22">
        <v>38335</v>
      </c>
      <c r="K22">
        <v>1</v>
      </c>
      <c r="L22" s="7">
        <v>43453.802094907405</v>
      </c>
      <c r="M22" s="7">
        <v>45883.006967592592</v>
      </c>
      <c r="N22">
        <v>1</v>
      </c>
      <c r="P22">
        <v>4936</v>
      </c>
      <c r="Q22" s="9">
        <v>250017200020</v>
      </c>
      <c r="R22" t="s">
        <v>133</v>
      </c>
      <c r="S22" t="s">
        <v>133</v>
      </c>
      <c r="T22" t="s">
        <v>13</v>
      </c>
      <c r="U22" t="s">
        <v>116</v>
      </c>
      <c r="V22" s="8">
        <v>45872</v>
      </c>
      <c r="W22" s="8">
        <v>43453</v>
      </c>
      <c r="X22">
        <f>Table3[[#This Row],[`date`]]-Table3[[#This Row],[etd]]</f>
        <v>-2418.1979050925947</v>
      </c>
    </row>
    <row r="23" spans="1:24" x14ac:dyDescent="0.3">
      <c r="A23">
        <v>22</v>
      </c>
      <c r="B23">
        <v>4944</v>
      </c>
      <c r="C23" t="s">
        <v>14</v>
      </c>
      <c r="D23" s="9">
        <v>250017200019</v>
      </c>
      <c r="E23" t="s">
        <v>4</v>
      </c>
      <c r="F23" t="s">
        <v>110</v>
      </c>
      <c r="G23" t="s">
        <v>111</v>
      </c>
      <c r="H23" s="7">
        <v>45883.018888888888</v>
      </c>
      <c r="I23" t="s">
        <v>112</v>
      </c>
      <c r="J23">
        <v>38497</v>
      </c>
      <c r="K23">
        <v>1</v>
      </c>
      <c r="L23" s="7">
        <v>43460.059039351851</v>
      </c>
      <c r="M23" s="7">
        <v>45883.018888888888</v>
      </c>
      <c r="N23">
        <v>1</v>
      </c>
      <c r="P23">
        <v>4944</v>
      </c>
      <c r="Q23" s="9">
        <v>250017200019</v>
      </c>
      <c r="R23" t="s">
        <v>134</v>
      </c>
      <c r="S23" t="s">
        <v>134</v>
      </c>
      <c r="T23" t="s">
        <v>14</v>
      </c>
      <c r="U23" t="s">
        <v>116</v>
      </c>
      <c r="V23" s="8">
        <v>45872</v>
      </c>
      <c r="W23" s="8">
        <v>43460</v>
      </c>
      <c r="X23">
        <f>Table3[[#This Row],[`date`]]-Table3[[#This Row],[etd]]</f>
        <v>-2411.9409606481495</v>
      </c>
    </row>
    <row r="24" spans="1:24" x14ac:dyDescent="0.3">
      <c r="A24">
        <v>23</v>
      </c>
      <c r="B24">
        <v>5508</v>
      </c>
      <c r="C24" t="s">
        <v>24</v>
      </c>
      <c r="D24" s="9">
        <v>250020000006</v>
      </c>
      <c r="E24" t="s">
        <v>4</v>
      </c>
      <c r="F24" t="s">
        <v>110</v>
      </c>
      <c r="G24" t="s">
        <v>111</v>
      </c>
      <c r="H24" s="7">
        <v>45891.00990740741</v>
      </c>
      <c r="I24" t="s">
        <v>112</v>
      </c>
      <c r="J24">
        <v>52351</v>
      </c>
      <c r="K24">
        <v>1</v>
      </c>
      <c r="L24" s="7">
        <v>43497.88890046296</v>
      </c>
      <c r="M24" s="7">
        <v>45891.00990740741</v>
      </c>
      <c r="N24">
        <v>1</v>
      </c>
      <c r="P24">
        <v>5508</v>
      </c>
      <c r="Q24" s="9">
        <v>250020000006</v>
      </c>
      <c r="R24" t="s">
        <v>135</v>
      </c>
      <c r="S24" t="s">
        <v>135</v>
      </c>
      <c r="T24" t="s">
        <v>24</v>
      </c>
      <c r="U24" t="s">
        <v>116</v>
      </c>
      <c r="V24" s="8">
        <v>45894</v>
      </c>
      <c r="W24" s="8">
        <v>43497</v>
      </c>
      <c r="X24">
        <f>Table3[[#This Row],[`date`]]-Table3[[#This Row],[etd]]</f>
        <v>-2396.11109953704</v>
      </c>
    </row>
    <row r="25" spans="1:24" x14ac:dyDescent="0.3">
      <c r="A25">
        <v>24</v>
      </c>
      <c r="B25">
        <v>5172</v>
      </c>
      <c r="C25" t="s">
        <v>19</v>
      </c>
      <c r="D25" s="9">
        <v>250017300251</v>
      </c>
      <c r="E25" t="s">
        <v>4</v>
      </c>
      <c r="F25" t="s">
        <v>110</v>
      </c>
      <c r="G25" t="s">
        <v>111</v>
      </c>
      <c r="H25" s="7">
        <v>45892.506226851852</v>
      </c>
      <c r="I25" t="s">
        <v>112</v>
      </c>
      <c r="J25">
        <v>42567</v>
      </c>
      <c r="K25">
        <v>1</v>
      </c>
      <c r="L25" s="7">
        <v>43509.292372685188</v>
      </c>
      <c r="M25" s="7">
        <v>45892.506226851852</v>
      </c>
      <c r="N25">
        <v>1</v>
      </c>
      <c r="P25">
        <v>5172</v>
      </c>
      <c r="Q25" s="9">
        <v>250017300251</v>
      </c>
      <c r="R25" t="s">
        <v>136</v>
      </c>
      <c r="S25" t="s">
        <v>136</v>
      </c>
      <c r="T25" t="s">
        <v>19</v>
      </c>
      <c r="U25" t="s">
        <v>116</v>
      </c>
      <c r="V25" s="8">
        <v>45886</v>
      </c>
      <c r="W25" s="8">
        <v>45854</v>
      </c>
      <c r="X25">
        <f>Table3[[#This Row],[`date`]]-Table3[[#This Row],[etd]]</f>
        <v>-2376.7076273148123</v>
      </c>
    </row>
    <row r="26" spans="1:24" x14ac:dyDescent="0.3">
      <c r="A26">
        <v>25</v>
      </c>
      <c r="B26">
        <v>6085</v>
      </c>
      <c r="C26" t="s">
        <v>26</v>
      </c>
      <c r="D26" s="9">
        <v>250017300285</v>
      </c>
      <c r="E26" t="s">
        <v>4</v>
      </c>
      <c r="F26" t="s">
        <v>110</v>
      </c>
      <c r="G26" t="s">
        <v>111</v>
      </c>
      <c r="H26" s="7">
        <v>45900.01357638889</v>
      </c>
      <c r="I26" t="s">
        <v>112</v>
      </c>
      <c r="J26">
        <v>68094</v>
      </c>
      <c r="K26">
        <v>1</v>
      </c>
      <c r="L26" s="7">
        <v>43585.383344907408</v>
      </c>
      <c r="M26" s="7">
        <v>45900.01357638889</v>
      </c>
      <c r="N26">
        <v>1</v>
      </c>
      <c r="P26">
        <v>6085</v>
      </c>
      <c r="Q26" s="9">
        <v>250017300285</v>
      </c>
      <c r="R26" t="s">
        <v>137</v>
      </c>
      <c r="S26" t="s">
        <v>137</v>
      </c>
      <c r="T26" t="s">
        <v>26</v>
      </c>
      <c r="U26" t="s">
        <v>116</v>
      </c>
      <c r="V26" s="8">
        <v>45900</v>
      </c>
      <c r="W26" s="8">
        <v>43585</v>
      </c>
      <c r="X26">
        <f>Table3[[#This Row],[`date`]]-Table3[[#This Row],[etd]]</f>
        <v>-2314.6166550925918</v>
      </c>
    </row>
    <row r="27" spans="1:24" x14ac:dyDescent="0.3">
      <c r="A27">
        <v>26</v>
      </c>
      <c r="B27">
        <v>6086</v>
      </c>
      <c r="C27" t="s">
        <v>26</v>
      </c>
      <c r="D27" s="9">
        <v>250017300264</v>
      </c>
      <c r="E27" t="s">
        <v>4</v>
      </c>
      <c r="F27" t="s">
        <v>110</v>
      </c>
      <c r="G27" t="s">
        <v>111</v>
      </c>
      <c r="H27" s="7">
        <v>45900.01357638889</v>
      </c>
      <c r="I27" t="s">
        <v>112</v>
      </c>
      <c r="J27">
        <v>68097</v>
      </c>
      <c r="K27">
        <v>1</v>
      </c>
      <c r="L27" s="7">
        <v>43585.383344907408</v>
      </c>
      <c r="M27" s="7">
        <v>45900.01357638889</v>
      </c>
      <c r="N27">
        <v>1</v>
      </c>
      <c r="P27">
        <v>6086</v>
      </c>
      <c r="Q27" s="9">
        <v>250017300264</v>
      </c>
      <c r="R27" t="s">
        <v>137</v>
      </c>
      <c r="S27" t="s">
        <v>137</v>
      </c>
      <c r="T27" t="s">
        <v>26</v>
      </c>
      <c r="U27" t="s">
        <v>116</v>
      </c>
      <c r="V27" s="8">
        <v>45900</v>
      </c>
      <c r="W27" s="8">
        <v>43585</v>
      </c>
      <c r="X27">
        <f>Table3[[#This Row],[`date`]]-Table3[[#This Row],[etd]]</f>
        <v>-2314.6166550925918</v>
      </c>
    </row>
    <row r="28" spans="1:24" x14ac:dyDescent="0.3">
      <c r="A28">
        <v>27</v>
      </c>
      <c r="B28">
        <v>6087</v>
      </c>
      <c r="C28" t="s">
        <v>26</v>
      </c>
      <c r="D28" s="9">
        <v>250017300284</v>
      </c>
      <c r="E28" t="s">
        <v>4</v>
      </c>
      <c r="F28" t="s">
        <v>110</v>
      </c>
      <c r="G28" t="s">
        <v>111</v>
      </c>
      <c r="H28" s="7">
        <v>45900.01357638889</v>
      </c>
      <c r="I28" t="s">
        <v>112</v>
      </c>
      <c r="J28">
        <v>68100</v>
      </c>
      <c r="K28">
        <v>1</v>
      </c>
      <c r="L28" s="7">
        <v>43585.383344907408</v>
      </c>
      <c r="M28" s="7">
        <v>45900.01357638889</v>
      </c>
      <c r="N28">
        <v>1</v>
      </c>
      <c r="P28">
        <v>6087</v>
      </c>
      <c r="Q28" s="9">
        <v>250017300284</v>
      </c>
      <c r="R28" t="s">
        <v>137</v>
      </c>
      <c r="S28" t="s">
        <v>137</v>
      </c>
      <c r="T28" t="s">
        <v>26</v>
      </c>
      <c r="U28" t="s">
        <v>116</v>
      </c>
      <c r="V28" s="8">
        <v>45900</v>
      </c>
      <c r="W28" s="8">
        <v>43585</v>
      </c>
      <c r="X28">
        <f>Table3[[#This Row],[`date`]]-Table3[[#This Row],[etd]]</f>
        <v>-2314.6166550925918</v>
      </c>
    </row>
    <row r="29" spans="1:24" x14ac:dyDescent="0.3">
      <c r="A29">
        <v>28</v>
      </c>
      <c r="B29">
        <v>6223</v>
      </c>
      <c r="C29" t="s">
        <v>27</v>
      </c>
      <c r="D29" s="9">
        <v>250022600054</v>
      </c>
      <c r="E29" t="s">
        <v>4</v>
      </c>
      <c r="F29" t="s">
        <v>110</v>
      </c>
      <c r="G29" t="s">
        <v>111</v>
      </c>
      <c r="H29" s="7">
        <v>45902.04105324074</v>
      </c>
      <c r="I29" t="s">
        <v>112</v>
      </c>
      <c r="J29">
        <v>71175</v>
      </c>
      <c r="K29">
        <v>1</v>
      </c>
      <c r="L29" s="7">
        <v>43585.383344907408</v>
      </c>
      <c r="M29" s="7">
        <v>45902.04105324074</v>
      </c>
      <c r="N29">
        <v>1</v>
      </c>
      <c r="P29">
        <v>6223</v>
      </c>
      <c r="Q29" s="9">
        <v>250022600054</v>
      </c>
      <c r="R29" t="s">
        <v>138</v>
      </c>
      <c r="S29" t="s">
        <v>138</v>
      </c>
      <c r="T29" t="s">
        <v>27</v>
      </c>
      <c r="U29" t="s">
        <v>116</v>
      </c>
      <c r="V29" s="8">
        <v>45900</v>
      </c>
      <c r="W29" s="8">
        <v>43585</v>
      </c>
      <c r="X29">
        <f>Table3[[#This Row],[`date`]]-Table3[[#This Row],[etd]]</f>
        <v>-2314.6166550925918</v>
      </c>
    </row>
    <row r="30" spans="1:24" x14ac:dyDescent="0.3">
      <c r="A30">
        <v>29</v>
      </c>
      <c r="B30">
        <v>4107</v>
      </c>
      <c r="C30" t="s">
        <v>40</v>
      </c>
      <c r="D30" s="9">
        <v>240018400204</v>
      </c>
      <c r="E30" t="s">
        <v>4</v>
      </c>
      <c r="F30" t="s">
        <v>41</v>
      </c>
      <c r="G30" t="s">
        <v>139</v>
      </c>
      <c r="H30" s="7">
        <v>45874.503136574072</v>
      </c>
      <c r="I30" t="s">
        <v>140</v>
      </c>
      <c r="J30">
        <v>27119</v>
      </c>
      <c r="K30">
        <v>1</v>
      </c>
      <c r="L30" s="7">
        <v>45838</v>
      </c>
      <c r="M30" s="7">
        <v>45874.503136574072</v>
      </c>
      <c r="N30">
        <v>1</v>
      </c>
      <c r="P30">
        <v>4107</v>
      </c>
      <c r="Q30" s="9">
        <v>240018400204</v>
      </c>
      <c r="R30" t="s">
        <v>141</v>
      </c>
      <c r="S30" t="s">
        <v>141</v>
      </c>
      <c r="T30" t="s">
        <v>40</v>
      </c>
      <c r="U30" t="s">
        <v>142</v>
      </c>
      <c r="V30" s="8">
        <v>45837</v>
      </c>
      <c r="W30" s="8">
        <v>45838</v>
      </c>
      <c r="X30">
        <f>Table3[[#This Row],[`date`]]-Table3[[#This Row],[etd]]</f>
        <v>1</v>
      </c>
    </row>
    <row r="31" spans="1:24" x14ac:dyDescent="0.3">
      <c r="A31">
        <v>30</v>
      </c>
      <c r="B31">
        <v>4277</v>
      </c>
      <c r="C31" t="s">
        <v>45</v>
      </c>
      <c r="D31" s="9">
        <v>250018400008</v>
      </c>
      <c r="E31" t="s">
        <v>4</v>
      </c>
      <c r="F31" t="s">
        <v>41</v>
      </c>
      <c r="G31" t="s">
        <v>139</v>
      </c>
      <c r="H31" s="7">
        <v>45881.502453703702</v>
      </c>
      <c r="I31" t="s">
        <v>140</v>
      </c>
      <c r="J31">
        <v>27832</v>
      </c>
      <c r="K31">
        <v>1</v>
      </c>
      <c r="L31" s="7">
        <v>45844</v>
      </c>
      <c r="M31" s="7">
        <v>45881.502453703702</v>
      </c>
      <c r="N31">
        <v>1</v>
      </c>
      <c r="P31">
        <v>4277</v>
      </c>
      <c r="Q31" s="9">
        <v>250018400008</v>
      </c>
      <c r="R31" t="s">
        <v>143</v>
      </c>
      <c r="S31" t="s">
        <v>143</v>
      </c>
      <c r="T31" t="s">
        <v>45</v>
      </c>
      <c r="U31" t="s">
        <v>142</v>
      </c>
      <c r="V31" s="8">
        <v>45844</v>
      </c>
      <c r="W31" s="8">
        <v>45844</v>
      </c>
      <c r="X31">
        <f>Table3[[#This Row],[`date`]]-Table3[[#This Row],[etd]]</f>
        <v>0</v>
      </c>
    </row>
    <row r="32" spans="1:24" x14ac:dyDescent="0.3">
      <c r="A32">
        <v>31</v>
      </c>
      <c r="B32">
        <v>4294</v>
      </c>
      <c r="C32" t="s">
        <v>47</v>
      </c>
      <c r="D32" s="9">
        <v>250018400012</v>
      </c>
      <c r="E32" t="s">
        <v>4</v>
      </c>
      <c r="F32" t="s">
        <v>41</v>
      </c>
      <c r="G32" t="s">
        <v>139</v>
      </c>
      <c r="H32" s="7">
        <v>45881.00439814815</v>
      </c>
      <c r="I32" t="s">
        <v>112</v>
      </c>
      <c r="J32">
        <v>27859</v>
      </c>
      <c r="K32">
        <v>1</v>
      </c>
      <c r="L32" s="7">
        <v>45844</v>
      </c>
      <c r="M32" s="7">
        <v>45881.00439814815</v>
      </c>
      <c r="N32">
        <v>1</v>
      </c>
      <c r="P32">
        <v>4294</v>
      </c>
      <c r="Q32" s="9">
        <v>250018400012</v>
      </c>
      <c r="R32" t="s">
        <v>144</v>
      </c>
      <c r="S32" t="s">
        <v>144</v>
      </c>
      <c r="T32" t="s">
        <v>47</v>
      </c>
      <c r="U32" t="s">
        <v>142</v>
      </c>
      <c r="V32" s="8">
        <v>45844</v>
      </c>
      <c r="W32" s="8">
        <v>45844</v>
      </c>
      <c r="X32">
        <f>Table3[[#This Row],[`date`]]-Table3[[#This Row],[etd]]</f>
        <v>0</v>
      </c>
    </row>
    <row r="33" spans="1:24" x14ac:dyDescent="0.3">
      <c r="A33">
        <v>32</v>
      </c>
      <c r="B33">
        <v>4312</v>
      </c>
      <c r="C33" t="s">
        <v>49</v>
      </c>
      <c r="D33" s="9">
        <v>250018400014</v>
      </c>
      <c r="E33" t="s">
        <v>4</v>
      </c>
      <c r="F33" t="s">
        <v>41</v>
      </c>
      <c r="G33" t="s">
        <v>139</v>
      </c>
      <c r="H33" s="7">
        <v>45881.504710648151</v>
      </c>
      <c r="I33" t="s">
        <v>112</v>
      </c>
      <c r="J33">
        <v>27968</v>
      </c>
      <c r="K33">
        <v>1</v>
      </c>
      <c r="L33" s="7">
        <v>45844</v>
      </c>
      <c r="M33" s="7">
        <v>45881.504710648151</v>
      </c>
      <c r="N33">
        <v>1</v>
      </c>
      <c r="P33">
        <v>4312</v>
      </c>
      <c r="Q33" s="9">
        <v>250018400014</v>
      </c>
      <c r="R33" t="s">
        <v>145</v>
      </c>
      <c r="S33" t="s">
        <v>145</v>
      </c>
      <c r="T33" t="s">
        <v>49</v>
      </c>
      <c r="U33" t="s">
        <v>142</v>
      </c>
      <c r="V33" s="8">
        <v>45844</v>
      </c>
      <c r="W33" s="8">
        <v>45844</v>
      </c>
      <c r="X33">
        <f>Table3[[#This Row],[`date`]]-Table3[[#This Row],[etd]]</f>
        <v>0</v>
      </c>
    </row>
    <row r="34" spans="1:24" x14ac:dyDescent="0.3">
      <c r="A34">
        <v>33</v>
      </c>
      <c r="B34">
        <v>4333</v>
      </c>
      <c r="C34" t="s">
        <v>51</v>
      </c>
      <c r="D34" s="9">
        <v>250018400009</v>
      </c>
      <c r="E34" t="s">
        <v>4</v>
      </c>
      <c r="F34" t="s">
        <v>41</v>
      </c>
      <c r="G34" t="s">
        <v>139</v>
      </c>
      <c r="H34" s="7">
        <v>45881.516412037039</v>
      </c>
      <c r="I34" t="s">
        <v>140</v>
      </c>
      <c r="J34">
        <v>28039</v>
      </c>
      <c r="K34">
        <v>1</v>
      </c>
      <c r="L34" s="7">
        <v>45844</v>
      </c>
      <c r="M34" s="7">
        <v>45881.516412037039</v>
      </c>
      <c r="N34">
        <v>1</v>
      </c>
      <c r="P34">
        <v>4333</v>
      </c>
      <c r="Q34" s="9">
        <v>250018400009</v>
      </c>
      <c r="R34" t="s">
        <v>146</v>
      </c>
      <c r="S34" t="s">
        <v>146</v>
      </c>
      <c r="T34" t="s">
        <v>51</v>
      </c>
      <c r="U34" t="s">
        <v>142</v>
      </c>
      <c r="V34" s="8">
        <v>45844</v>
      </c>
      <c r="W34" s="8">
        <v>45844</v>
      </c>
      <c r="X34">
        <f>Table3[[#This Row],[`date`]]-Table3[[#This Row],[etd]]</f>
        <v>0</v>
      </c>
    </row>
    <row r="35" spans="1:24" x14ac:dyDescent="0.3">
      <c r="A35">
        <v>34</v>
      </c>
      <c r="B35">
        <v>4343</v>
      </c>
      <c r="C35" t="s">
        <v>55</v>
      </c>
      <c r="D35" s="9">
        <v>250018400005</v>
      </c>
      <c r="E35" t="s">
        <v>4</v>
      </c>
      <c r="F35" t="s">
        <v>41</v>
      </c>
      <c r="G35" t="s">
        <v>139</v>
      </c>
      <c r="H35" s="7">
        <v>45881.519953703704</v>
      </c>
      <c r="I35" t="s">
        <v>140</v>
      </c>
      <c r="J35">
        <v>28087</v>
      </c>
      <c r="K35">
        <v>1</v>
      </c>
      <c r="L35" s="7">
        <v>45844</v>
      </c>
      <c r="M35" s="7">
        <v>45881.519953703704</v>
      </c>
      <c r="N35">
        <v>1</v>
      </c>
      <c r="P35">
        <v>4343</v>
      </c>
      <c r="Q35" s="9">
        <v>250018400005</v>
      </c>
      <c r="R35" t="s">
        <v>147</v>
      </c>
      <c r="S35" t="s">
        <v>147</v>
      </c>
      <c r="T35" t="s">
        <v>55</v>
      </c>
      <c r="U35" t="s">
        <v>142</v>
      </c>
      <c r="V35" s="8">
        <v>45844</v>
      </c>
      <c r="W35" s="8">
        <v>45844</v>
      </c>
      <c r="X35">
        <f>Table3[[#This Row],[`date`]]-Table3[[#This Row],[etd]]</f>
        <v>0</v>
      </c>
    </row>
    <row r="36" spans="1:24" x14ac:dyDescent="0.3">
      <c r="A36">
        <v>35</v>
      </c>
      <c r="B36">
        <v>4344</v>
      </c>
      <c r="C36" t="s">
        <v>56</v>
      </c>
      <c r="D36" s="9">
        <v>250018400006</v>
      </c>
      <c r="E36" t="s">
        <v>4</v>
      </c>
      <c r="F36" t="s">
        <v>41</v>
      </c>
      <c r="G36" t="s">
        <v>139</v>
      </c>
      <c r="H36" s="7">
        <v>45881.519953703704</v>
      </c>
      <c r="I36" t="s">
        <v>140</v>
      </c>
      <c r="J36">
        <v>28088</v>
      </c>
      <c r="K36">
        <v>1</v>
      </c>
      <c r="L36" s="7">
        <v>45844</v>
      </c>
      <c r="M36" s="7">
        <v>45881.519953703704</v>
      </c>
      <c r="N36">
        <v>1</v>
      </c>
      <c r="P36">
        <v>4344</v>
      </c>
      <c r="Q36" s="9">
        <v>250018400006</v>
      </c>
      <c r="R36" t="s">
        <v>148</v>
      </c>
      <c r="S36" t="s">
        <v>148</v>
      </c>
      <c r="T36" t="s">
        <v>56</v>
      </c>
      <c r="U36" t="s">
        <v>142</v>
      </c>
      <c r="V36" s="8">
        <v>45844</v>
      </c>
      <c r="W36" s="8">
        <v>45844</v>
      </c>
      <c r="X36">
        <f>Table3[[#This Row],[`date`]]-Table3[[#This Row],[etd]]</f>
        <v>0</v>
      </c>
    </row>
    <row r="37" spans="1:24" x14ac:dyDescent="0.3">
      <c r="A37">
        <v>36</v>
      </c>
      <c r="B37">
        <v>4366</v>
      </c>
      <c r="C37" t="s">
        <v>59</v>
      </c>
      <c r="D37" s="9">
        <v>250054600032</v>
      </c>
      <c r="E37" t="s">
        <v>4</v>
      </c>
      <c r="F37" t="s">
        <v>41</v>
      </c>
      <c r="G37" t="s">
        <v>139</v>
      </c>
      <c r="H37" s="7">
        <v>45881.528298611112</v>
      </c>
      <c r="I37" t="s">
        <v>140</v>
      </c>
      <c r="J37">
        <v>28163</v>
      </c>
      <c r="K37">
        <v>1</v>
      </c>
      <c r="L37" s="7">
        <v>45844</v>
      </c>
      <c r="M37" s="7">
        <v>45881.528298611112</v>
      </c>
      <c r="N37">
        <v>1</v>
      </c>
      <c r="P37">
        <v>4366</v>
      </c>
      <c r="Q37" s="9">
        <v>250054600032</v>
      </c>
      <c r="R37" t="s">
        <v>149</v>
      </c>
      <c r="S37" t="s">
        <v>149</v>
      </c>
      <c r="T37" t="s">
        <v>59</v>
      </c>
      <c r="U37" t="s">
        <v>142</v>
      </c>
      <c r="V37" s="8">
        <v>45844</v>
      </c>
      <c r="W37" s="8">
        <v>45844</v>
      </c>
      <c r="X37">
        <f>Table3[[#This Row],[`date`]]-Table3[[#This Row],[etd]]</f>
        <v>0</v>
      </c>
    </row>
    <row r="38" spans="1:24" x14ac:dyDescent="0.3">
      <c r="A38">
        <v>37</v>
      </c>
      <c r="B38">
        <v>4367</v>
      </c>
      <c r="C38" t="s">
        <v>60</v>
      </c>
      <c r="D38" s="9">
        <v>250018400013</v>
      </c>
      <c r="E38" t="s">
        <v>4</v>
      </c>
      <c r="F38" t="s">
        <v>41</v>
      </c>
      <c r="G38" t="s">
        <v>139</v>
      </c>
      <c r="H38" s="7">
        <v>45881.528298611112</v>
      </c>
      <c r="I38" t="s">
        <v>112</v>
      </c>
      <c r="J38">
        <v>28164</v>
      </c>
      <c r="K38">
        <v>1</v>
      </c>
      <c r="L38" s="7">
        <v>45844</v>
      </c>
      <c r="M38" s="7">
        <v>45881.528298611112</v>
      </c>
      <c r="N38">
        <v>1</v>
      </c>
      <c r="P38">
        <v>4367</v>
      </c>
      <c r="Q38" s="9">
        <v>250018400013</v>
      </c>
      <c r="R38" t="s">
        <v>150</v>
      </c>
      <c r="S38" t="s">
        <v>150</v>
      </c>
      <c r="T38" t="s">
        <v>60</v>
      </c>
      <c r="U38" t="s">
        <v>142</v>
      </c>
      <c r="V38" s="8">
        <v>45844</v>
      </c>
      <c r="W38" s="8">
        <v>45844</v>
      </c>
      <c r="X38">
        <f>Table3[[#This Row],[`date`]]-Table3[[#This Row],[etd]]</f>
        <v>0</v>
      </c>
    </row>
    <row r="39" spans="1:24" x14ac:dyDescent="0.3">
      <c r="A39">
        <v>38</v>
      </c>
      <c r="B39">
        <v>4381</v>
      </c>
      <c r="C39" t="s">
        <v>62</v>
      </c>
      <c r="D39" s="9">
        <v>250018300025</v>
      </c>
      <c r="E39" t="s">
        <v>4</v>
      </c>
      <c r="F39" t="s">
        <v>41</v>
      </c>
      <c r="G39" t="s">
        <v>139</v>
      </c>
      <c r="H39" s="7">
        <v>45881.528854166667</v>
      </c>
      <c r="I39" t="s">
        <v>140</v>
      </c>
      <c r="J39">
        <v>28221</v>
      </c>
      <c r="K39">
        <v>1</v>
      </c>
      <c r="L39" s="7">
        <v>45844</v>
      </c>
      <c r="M39" s="7">
        <v>45881.528854166667</v>
      </c>
      <c r="N39">
        <v>1</v>
      </c>
      <c r="P39">
        <v>4381</v>
      </c>
      <c r="Q39" s="9">
        <v>250018300025</v>
      </c>
      <c r="R39" t="s">
        <v>151</v>
      </c>
      <c r="S39" t="s">
        <v>151</v>
      </c>
      <c r="T39" t="s">
        <v>62</v>
      </c>
      <c r="U39" t="s">
        <v>142</v>
      </c>
      <c r="V39" s="8">
        <v>45844</v>
      </c>
      <c r="W39" s="8">
        <v>45844</v>
      </c>
      <c r="X39">
        <f>Table3[[#This Row],[`date`]]-Table3[[#This Row],[etd]]</f>
        <v>0</v>
      </c>
    </row>
    <row r="40" spans="1:24" x14ac:dyDescent="0.3">
      <c r="A40">
        <v>39</v>
      </c>
      <c r="B40">
        <v>4384</v>
      </c>
      <c r="C40" t="s">
        <v>63</v>
      </c>
      <c r="D40" s="9">
        <v>250054600031</v>
      </c>
      <c r="E40" t="s">
        <v>4</v>
      </c>
      <c r="F40" t="s">
        <v>41</v>
      </c>
      <c r="G40" t="s">
        <v>139</v>
      </c>
      <c r="H40" s="7">
        <v>45881.528854166667</v>
      </c>
      <c r="I40" t="s">
        <v>140</v>
      </c>
      <c r="J40">
        <v>28227</v>
      </c>
      <c r="K40">
        <v>1</v>
      </c>
      <c r="L40" s="7">
        <v>45844</v>
      </c>
      <c r="M40" s="7">
        <v>45881.528854166667</v>
      </c>
      <c r="N40">
        <v>1</v>
      </c>
      <c r="P40">
        <v>4384</v>
      </c>
      <c r="Q40" s="9">
        <v>250054600031</v>
      </c>
      <c r="R40" t="s">
        <v>152</v>
      </c>
      <c r="S40" t="s">
        <v>152</v>
      </c>
      <c r="T40" t="s">
        <v>63</v>
      </c>
      <c r="U40" t="s">
        <v>142</v>
      </c>
      <c r="V40" s="8">
        <v>45844</v>
      </c>
      <c r="W40" s="8">
        <v>45844</v>
      </c>
      <c r="X40">
        <f>Table3[[#This Row],[`date`]]-Table3[[#This Row],[etd]]</f>
        <v>0</v>
      </c>
    </row>
    <row r="41" spans="1:24" x14ac:dyDescent="0.3">
      <c r="A41">
        <v>40</v>
      </c>
      <c r="B41">
        <v>4388</v>
      </c>
      <c r="C41" t="s">
        <v>64</v>
      </c>
      <c r="D41" s="9">
        <v>250054600029</v>
      </c>
      <c r="E41" t="s">
        <v>4</v>
      </c>
      <c r="F41" t="s">
        <v>41</v>
      </c>
      <c r="G41" t="s">
        <v>139</v>
      </c>
      <c r="H41" s="7">
        <v>45881.528854166667</v>
      </c>
      <c r="I41" t="s">
        <v>140</v>
      </c>
      <c r="J41">
        <v>28242</v>
      </c>
      <c r="K41">
        <v>1</v>
      </c>
      <c r="L41" s="7">
        <v>45844</v>
      </c>
      <c r="M41" s="7">
        <v>45881.528854166667</v>
      </c>
      <c r="N41">
        <v>1</v>
      </c>
      <c r="P41">
        <v>4388</v>
      </c>
      <c r="Q41" s="9">
        <v>250054600029</v>
      </c>
      <c r="R41" t="s">
        <v>153</v>
      </c>
      <c r="S41" t="s">
        <v>153</v>
      </c>
      <c r="T41" t="s">
        <v>64</v>
      </c>
      <c r="U41" t="s">
        <v>142</v>
      </c>
      <c r="V41" s="8">
        <v>45844</v>
      </c>
      <c r="W41" s="8">
        <v>45844</v>
      </c>
      <c r="X41">
        <f>Table3[[#This Row],[`date`]]-Table3[[#This Row],[etd]]</f>
        <v>0</v>
      </c>
    </row>
    <row r="42" spans="1:24" x14ac:dyDescent="0.3">
      <c r="A42">
        <v>41</v>
      </c>
      <c r="B42">
        <v>4393</v>
      </c>
      <c r="C42" t="s">
        <v>65</v>
      </c>
      <c r="D42" s="9">
        <v>250054600033</v>
      </c>
      <c r="E42" t="s">
        <v>4</v>
      </c>
      <c r="F42" t="s">
        <v>41</v>
      </c>
      <c r="G42" t="s">
        <v>139</v>
      </c>
      <c r="H42" s="7">
        <v>45881.528865740744</v>
      </c>
      <c r="I42" t="s">
        <v>140</v>
      </c>
      <c r="J42">
        <v>28299</v>
      </c>
      <c r="K42">
        <v>1</v>
      </c>
      <c r="L42" s="7">
        <v>45844</v>
      </c>
      <c r="M42" s="7">
        <v>45881.528865740744</v>
      </c>
      <c r="N42">
        <v>1</v>
      </c>
      <c r="P42">
        <v>4393</v>
      </c>
      <c r="Q42" s="9">
        <v>250054600033</v>
      </c>
      <c r="R42" t="s">
        <v>154</v>
      </c>
      <c r="S42" t="s">
        <v>154</v>
      </c>
      <c r="T42" t="s">
        <v>65</v>
      </c>
      <c r="U42" t="s">
        <v>142</v>
      </c>
      <c r="V42" s="8">
        <v>45844</v>
      </c>
      <c r="W42" s="8">
        <v>45844</v>
      </c>
      <c r="X42">
        <f>Table3[[#This Row],[`date`]]-Table3[[#This Row],[etd]]</f>
        <v>0</v>
      </c>
    </row>
    <row r="43" spans="1:24" x14ac:dyDescent="0.3">
      <c r="A43">
        <v>42</v>
      </c>
      <c r="B43">
        <v>4400</v>
      </c>
      <c r="C43" t="s">
        <v>67</v>
      </c>
      <c r="D43" s="9">
        <v>250049900002</v>
      </c>
      <c r="E43" t="s">
        <v>4</v>
      </c>
      <c r="F43" t="s">
        <v>41</v>
      </c>
      <c r="G43" t="s">
        <v>139</v>
      </c>
      <c r="H43" s="7">
        <v>45881.528865740744</v>
      </c>
      <c r="I43" t="s">
        <v>140</v>
      </c>
      <c r="J43">
        <v>28312</v>
      </c>
      <c r="K43">
        <v>1</v>
      </c>
      <c r="L43" s="7">
        <v>45844</v>
      </c>
      <c r="M43" s="7">
        <v>45881.528865740744</v>
      </c>
      <c r="N43">
        <v>1</v>
      </c>
      <c r="P43">
        <v>4400</v>
      </c>
      <c r="Q43" s="9">
        <v>250049900002</v>
      </c>
      <c r="R43" t="s">
        <v>155</v>
      </c>
      <c r="S43" t="s">
        <v>155</v>
      </c>
      <c r="T43" t="s">
        <v>67</v>
      </c>
      <c r="U43" t="s">
        <v>142</v>
      </c>
      <c r="V43" s="8">
        <v>45844</v>
      </c>
      <c r="W43" s="8">
        <v>45844</v>
      </c>
      <c r="X43">
        <f>Table3[[#This Row],[`date`]]-Table3[[#This Row],[etd]]</f>
        <v>0</v>
      </c>
    </row>
    <row r="44" spans="1:24" x14ac:dyDescent="0.3">
      <c r="A44">
        <v>43</v>
      </c>
      <c r="B44">
        <v>4401</v>
      </c>
      <c r="C44" t="s">
        <v>68</v>
      </c>
      <c r="D44" s="9">
        <v>250054600034</v>
      </c>
      <c r="E44" t="s">
        <v>4</v>
      </c>
      <c r="F44" t="s">
        <v>41</v>
      </c>
      <c r="G44" t="s">
        <v>139</v>
      </c>
      <c r="H44" s="7">
        <v>45881.530787037038</v>
      </c>
      <c r="I44" t="s">
        <v>140</v>
      </c>
      <c r="J44">
        <v>28313</v>
      </c>
      <c r="K44">
        <v>1</v>
      </c>
      <c r="L44" s="7">
        <v>45844</v>
      </c>
      <c r="M44" s="7">
        <v>45881.530787037038</v>
      </c>
      <c r="N44">
        <v>1</v>
      </c>
      <c r="P44">
        <v>4401</v>
      </c>
      <c r="Q44" s="9">
        <v>250054600034</v>
      </c>
      <c r="R44" t="s">
        <v>156</v>
      </c>
      <c r="S44" t="s">
        <v>156</v>
      </c>
      <c r="T44" t="s">
        <v>68</v>
      </c>
      <c r="U44" t="s">
        <v>142</v>
      </c>
      <c r="V44" s="8">
        <v>45844</v>
      </c>
      <c r="W44" s="8">
        <v>45844</v>
      </c>
      <c r="X44">
        <f>Table3[[#This Row],[`date`]]-Table3[[#This Row],[etd]]</f>
        <v>0</v>
      </c>
    </row>
    <row r="45" spans="1:24" x14ac:dyDescent="0.3">
      <c r="A45">
        <v>44</v>
      </c>
      <c r="B45">
        <v>4408</v>
      </c>
      <c r="C45" t="s">
        <v>69</v>
      </c>
      <c r="D45" s="9">
        <v>250018400003</v>
      </c>
      <c r="E45" t="s">
        <v>4</v>
      </c>
      <c r="F45" t="s">
        <v>41</v>
      </c>
      <c r="G45" t="s">
        <v>139</v>
      </c>
      <c r="H45" s="7">
        <v>45881.530798611115</v>
      </c>
      <c r="I45" t="s">
        <v>112</v>
      </c>
      <c r="J45">
        <v>28341</v>
      </c>
      <c r="K45">
        <v>1</v>
      </c>
      <c r="L45" s="7">
        <v>45844</v>
      </c>
      <c r="M45" s="7">
        <v>45881.530798611115</v>
      </c>
      <c r="N45">
        <v>1</v>
      </c>
      <c r="P45">
        <v>4408</v>
      </c>
      <c r="Q45" s="9">
        <v>250018400003</v>
      </c>
      <c r="R45" t="s">
        <v>157</v>
      </c>
      <c r="S45" t="s">
        <v>157</v>
      </c>
      <c r="T45" t="s">
        <v>69</v>
      </c>
      <c r="U45" t="s">
        <v>142</v>
      </c>
      <c r="V45" s="8">
        <v>45844</v>
      </c>
      <c r="W45" s="8">
        <v>45844</v>
      </c>
      <c r="X45">
        <f>Table3[[#This Row],[`date`]]-Table3[[#This Row],[etd]]</f>
        <v>0</v>
      </c>
    </row>
    <row r="46" spans="1:24" x14ac:dyDescent="0.3">
      <c r="A46">
        <v>45</v>
      </c>
      <c r="B46">
        <v>4414</v>
      </c>
      <c r="C46" t="s">
        <v>71</v>
      </c>
      <c r="D46" s="9">
        <v>250018400010</v>
      </c>
      <c r="E46" t="s">
        <v>4</v>
      </c>
      <c r="F46" t="s">
        <v>41</v>
      </c>
      <c r="G46" t="s">
        <v>139</v>
      </c>
      <c r="H46" s="7">
        <v>45881.530798611115</v>
      </c>
      <c r="I46" t="s">
        <v>140</v>
      </c>
      <c r="J46">
        <v>28349</v>
      </c>
      <c r="K46">
        <v>1</v>
      </c>
      <c r="L46" s="7">
        <v>45844</v>
      </c>
      <c r="M46" s="7">
        <v>45881.530798611115</v>
      </c>
      <c r="N46">
        <v>1</v>
      </c>
      <c r="P46">
        <v>4414</v>
      </c>
      <c r="Q46" s="9">
        <v>250018400010</v>
      </c>
      <c r="R46" t="s">
        <v>158</v>
      </c>
      <c r="S46" t="s">
        <v>158</v>
      </c>
      <c r="T46" t="s">
        <v>71</v>
      </c>
      <c r="U46" t="s">
        <v>142</v>
      </c>
      <c r="V46" s="8">
        <v>45844</v>
      </c>
      <c r="W46" s="8">
        <v>45844</v>
      </c>
      <c r="X46">
        <f>Table3[[#This Row],[`date`]]-Table3[[#This Row],[etd]]</f>
        <v>0</v>
      </c>
    </row>
    <row r="47" spans="1:24" x14ac:dyDescent="0.3">
      <c r="A47">
        <v>46</v>
      </c>
      <c r="B47">
        <v>4419</v>
      </c>
      <c r="C47" t="s">
        <v>73</v>
      </c>
      <c r="D47" s="9">
        <v>250054600030</v>
      </c>
      <c r="E47" t="s">
        <v>4</v>
      </c>
      <c r="F47" t="s">
        <v>41</v>
      </c>
      <c r="G47" t="s">
        <v>139</v>
      </c>
      <c r="H47" s="7">
        <v>45881.530798611115</v>
      </c>
      <c r="I47" t="s">
        <v>140</v>
      </c>
      <c r="J47">
        <v>28364</v>
      </c>
      <c r="K47">
        <v>1</v>
      </c>
      <c r="L47" s="7">
        <v>45844</v>
      </c>
      <c r="M47" s="7">
        <v>45881.530798611115</v>
      </c>
      <c r="N47">
        <v>1</v>
      </c>
      <c r="P47">
        <v>4419</v>
      </c>
      <c r="Q47" s="9">
        <v>250054600030</v>
      </c>
      <c r="R47" t="s">
        <v>159</v>
      </c>
      <c r="S47" t="s">
        <v>159</v>
      </c>
      <c r="T47" t="s">
        <v>73</v>
      </c>
      <c r="U47" t="s">
        <v>142</v>
      </c>
      <c r="V47" s="8">
        <v>45844</v>
      </c>
      <c r="W47" s="8">
        <v>45844</v>
      </c>
      <c r="X47">
        <f>Table3[[#This Row],[`date`]]-Table3[[#This Row],[etd]]</f>
        <v>0</v>
      </c>
    </row>
    <row r="48" spans="1:24" x14ac:dyDescent="0.3">
      <c r="A48">
        <v>47</v>
      </c>
      <c r="B48">
        <v>4427</v>
      </c>
      <c r="C48" t="s">
        <v>74</v>
      </c>
      <c r="D48" s="9">
        <v>250018400011</v>
      </c>
      <c r="E48" t="s">
        <v>4</v>
      </c>
      <c r="F48" t="s">
        <v>41</v>
      </c>
      <c r="G48" t="s">
        <v>139</v>
      </c>
      <c r="H48" s="7">
        <v>45881.530798611115</v>
      </c>
      <c r="I48" t="s">
        <v>140</v>
      </c>
      <c r="J48">
        <v>28382</v>
      </c>
      <c r="K48">
        <v>1</v>
      </c>
      <c r="L48" s="7">
        <v>45844</v>
      </c>
      <c r="M48" s="7">
        <v>45881.530798611115</v>
      </c>
      <c r="N48">
        <v>1</v>
      </c>
      <c r="P48">
        <v>4427</v>
      </c>
      <c r="Q48" s="9">
        <v>250018400011</v>
      </c>
      <c r="R48" t="s">
        <v>160</v>
      </c>
      <c r="S48" t="s">
        <v>160</v>
      </c>
      <c r="T48" t="s">
        <v>74</v>
      </c>
      <c r="U48" t="s">
        <v>142</v>
      </c>
      <c r="V48" s="8">
        <v>45844</v>
      </c>
      <c r="W48" s="8">
        <v>45844</v>
      </c>
      <c r="X48">
        <f>Table3[[#This Row],[`date`]]-Table3[[#This Row],[etd]]</f>
        <v>0</v>
      </c>
    </row>
    <row r="49" spans="1:24" x14ac:dyDescent="0.3">
      <c r="A49">
        <v>48</v>
      </c>
      <c r="B49">
        <v>4802</v>
      </c>
      <c r="C49" t="s">
        <v>76</v>
      </c>
      <c r="D49" s="9">
        <v>250060800010</v>
      </c>
      <c r="E49" t="s">
        <v>4</v>
      </c>
      <c r="F49" t="s">
        <v>41</v>
      </c>
      <c r="G49" t="s">
        <v>139</v>
      </c>
      <c r="H49" s="7">
        <v>45888.503506944442</v>
      </c>
      <c r="I49" t="s">
        <v>140</v>
      </c>
      <c r="J49">
        <v>36595</v>
      </c>
      <c r="K49">
        <v>1</v>
      </c>
      <c r="L49" s="7">
        <v>45851</v>
      </c>
      <c r="M49" s="7">
        <v>45888.503506944442</v>
      </c>
      <c r="N49">
        <v>1</v>
      </c>
      <c r="P49">
        <v>4802</v>
      </c>
      <c r="Q49" s="9">
        <v>250060800010</v>
      </c>
      <c r="R49" t="s">
        <v>161</v>
      </c>
      <c r="S49" t="s">
        <v>161</v>
      </c>
      <c r="T49" t="s">
        <v>76</v>
      </c>
      <c r="U49" t="s">
        <v>142</v>
      </c>
      <c r="V49" s="8">
        <v>45852</v>
      </c>
      <c r="W49" s="8">
        <v>45851</v>
      </c>
      <c r="X49">
        <f>Table3[[#This Row],[`date`]]-Table3[[#This Row],[etd]]</f>
        <v>-1</v>
      </c>
    </row>
    <row r="50" spans="1:24" x14ac:dyDescent="0.3">
      <c r="A50">
        <v>49</v>
      </c>
      <c r="B50">
        <v>4817</v>
      </c>
      <c r="C50" t="s">
        <v>79</v>
      </c>
      <c r="D50" s="9">
        <v>250054600036</v>
      </c>
      <c r="E50" t="s">
        <v>4</v>
      </c>
      <c r="F50" t="s">
        <v>41</v>
      </c>
      <c r="G50" t="s">
        <v>139</v>
      </c>
      <c r="H50" s="7">
        <v>45888.510868055557</v>
      </c>
      <c r="I50" t="s">
        <v>140</v>
      </c>
      <c r="J50">
        <v>36644</v>
      </c>
      <c r="K50">
        <v>1</v>
      </c>
      <c r="L50" s="7">
        <v>45851</v>
      </c>
      <c r="M50" s="7">
        <v>45888.510868055557</v>
      </c>
      <c r="N50">
        <v>1</v>
      </c>
      <c r="P50">
        <v>4817</v>
      </c>
      <c r="Q50" s="9">
        <v>250054600036</v>
      </c>
      <c r="R50" t="s">
        <v>162</v>
      </c>
      <c r="S50" t="s">
        <v>162</v>
      </c>
      <c r="T50" t="s">
        <v>79</v>
      </c>
      <c r="U50" t="s">
        <v>142</v>
      </c>
      <c r="V50" s="8">
        <v>45852</v>
      </c>
      <c r="W50" s="8">
        <v>45851</v>
      </c>
      <c r="X50">
        <f>Table3[[#This Row],[`date`]]-Table3[[#This Row],[etd]]</f>
        <v>-1</v>
      </c>
    </row>
    <row r="51" spans="1:24" x14ac:dyDescent="0.3">
      <c r="A51">
        <v>50</v>
      </c>
      <c r="B51">
        <v>4824</v>
      </c>
      <c r="C51" t="s">
        <v>80</v>
      </c>
      <c r="D51" s="9">
        <v>250054600037</v>
      </c>
      <c r="E51" t="s">
        <v>4</v>
      </c>
      <c r="F51" t="s">
        <v>41</v>
      </c>
      <c r="G51" t="s">
        <v>139</v>
      </c>
      <c r="H51" s="7">
        <v>45888.51221064815</v>
      </c>
      <c r="I51" t="s">
        <v>140</v>
      </c>
      <c r="J51">
        <v>36733</v>
      </c>
      <c r="K51">
        <v>1</v>
      </c>
      <c r="L51" s="7">
        <v>45851</v>
      </c>
      <c r="M51" s="7">
        <v>45888.51221064815</v>
      </c>
      <c r="N51">
        <v>1</v>
      </c>
      <c r="P51">
        <v>4824</v>
      </c>
      <c r="Q51" s="9">
        <v>250054600037</v>
      </c>
      <c r="R51" t="s">
        <v>163</v>
      </c>
      <c r="S51" t="s">
        <v>163</v>
      </c>
      <c r="T51" t="s">
        <v>80</v>
      </c>
      <c r="U51" t="s">
        <v>142</v>
      </c>
      <c r="V51" s="8">
        <v>45852</v>
      </c>
      <c r="W51" s="8">
        <v>45851</v>
      </c>
      <c r="X51">
        <f>Table3[[#This Row],[`date`]]-Table3[[#This Row],[etd]]</f>
        <v>-1</v>
      </c>
    </row>
    <row r="52" spans="1:24" x14ac:dyDescent="0.3">
      <c r="A52">
        <v>51</v>
      </c>
      <c r="B52">
        <v>4836</v>
      </c>
      <c r="C52" t="s">
        <v>82</v>
      </c>
      <c r="D52" s="9">
        <v>250054600038</v>
      </c>
      <c r="E52" t="s">
        <v>4</v>
      </c>
      <c r="F52" t="s">
        <v>41</v>
      </c>
      <c r="G52" t="s">
        <v>139</v>
      </c>
      <c r="H52" s="7">
        <v>45888.51290509259</v>
      </c>
      <c r="I52" t="s">
        <v>140</v>
      </c>
      <c r="J52">
        <v>36848</v>
      </c>
      <c r="K52">
        <v>1</v>
      </c>
      <c r="L52" s="7">
        <v>45851</v>
      </c>
      <c r="M52" s="7">
        <v>45888.51290509259</v>
      </c>
      <c r="N52">
        <v>1</v>
      </c>
      <c r="P52">
        <v>4836</v>
      </c>
      <c r="Q52" s="9">
        <v>250054600038</v>
      </c>
      <c r="R52" t="s">
        <v>164</v>
      </c>
      <c r="S52" t="s">
        <v>164</v>
      </c>
      <c r="T52" t="s">
        <v>82</v>
      </c>
      <c r="U52" t="s">
        <v>142</v>
      </c>
      <c r="V52" s="8">
        <v>45852</v>
      </c>
      <c r="W52" s="8">
        <v>45851</v>
      </c>
      <c r="X52">
        <f>Table3[[#This Row],[`date`]]-Table3[[#This Row],[etd]]</f>
        <v>-1</v>
      </c>
    </row>
    <row r="53" spans="1:24" x14ac:dyDescent="0.3">
      <c r="A53">
        <v>52</v>
      </c>
      <c r="B53">
        <v>4852</v>
      </c>
      <c r="C53" t="s">
        <v>84</v>
      </c>
      <c r="D53" s="9">
        <v>250018300031</v>
      </c>
      <c r="E53" t="s">
        <v>4</v>
      </c>
      <c r="F53" t="s">
        <v>41</v>
      </c>
      <c r="G53" t="s">
        <v>139</v>
      </c>
      <c r="H53" s="7">
        <v>45888.527662037035</v>
      </c>
      <c r="I53" t="s">
        <v>140</v>
      </c>
      <c r="J53">
        <v>36977</v>
      </c>
      <c r="K53">
        <v>1</v>
      </c>
      <c r="L53" s="7">
        <v>45851</v>
      </c>
      <c r="M53" s="7">
        <v>45888.527662037035</v>
      </c>
      <c r="N53">
        <v>1</v>
      </c>
      <c r="P53">
        <v>4852</v>
      </c>
      <c r="Q53" s="9">
        <v>250018300031</v>
      </c>
      <c r="R53" t="s">
        <v>165</v>
      </c>
      <c r="S53" t="s">
        <v>165</v>
      </c>
      <c r="T53" t="s">
        <v>84</v>
      </c>
      <c r="U53" t="s">
        <v>142</v>
      </c>
      <c r="V53" s="8">
        <v>45852</v>
      </c>
      <c r="W53" s="8">
        <v>45851</v>
      </c>
      <c r="X53">
        <f>Table3[[#This Row],[`date`]]-Table3[[#This Row],[etd]]</f>
        <v>-1</v>
      </c>
    </row>
    <row r="54" spans="1:24" x14ac:dyDescent="0.3">
      <c r="A54">
        <v>53</v>
      </c>
      <c r="B54">
        <v>4860</v>
      </c>
      <c r="C54" t="s">
        <v>86</v>
      </c>
      <c r="D54" s="9">
        <v>250054600039</v>
      </c>
      <c r="E54" t="s">
        <v>4</v>
      </c>
      <c r="F54" t="s">
        <v>41</v>
      </c>
      <c r="G54" t="s">
        <v>139</v>
      </c>
      <c r="H54" s="7">
        <v>45888.531307870369</v>
      </c>
      <c r="I54" t="s">
        <v>140</v>
      </c>
      <c r="J54">
        <v>37045</v>
      </c>
      <c r="K54">
        <v>1</v>
      </c>
      <c r="L54" s="7">
        <v>45851</v>
      </c>
      <c r="M54" s="7">
        <v>45888.531307870369</v>
      </c>
      <c r="N54">
        <v>1</v>
      </c>
      <c r="P54">
        <v>4860</v>
      </c>
      <c r="Q54" s="9">
        <v>250054600039</v>
      </c>
      <c r="R54" t="s">
        <v>166</v>
      </c>
      <c r="S54" t="s">
        <v>166</v>
      </c>
      <c r="T54" t="s">
        <v>86</v>
      </c>
      <c r="U54" t="s">
        <v>142</v>
      </c>
      <c r="V54" s="8">
        <v>45852</v>
      </c>
      <c r="W54" s="8">
        <v>45851</v>
      </c>
      <c r="X54">
        <f>Table3[[#This Row],[`date`]]-Table3[[#This Row],[etd]]</f>
        <v>-1</v>
      </c>
    </row>
    <row r="55" spans="1:24" x14ac:dyDescent="0.3">
      <c r="A55">
        <v>54</v>
      </c>
      <c r="B55">
        <v>4863</v>
      </c>
      <c r="C55" t="s">
        <v>87</v>
      </c>
      <c r="D55" s="9">
        <v>250018400016</v>
      </c>
      <c r="E55" t="s">
        <v>4</v>
      </c>
      <c r="F55" t="s">
        <v>41</v>
      </c>
      <c r="G55" t="s">
        <v>139</v>
      </c>
      <c r="H55" s="7">
        <v>45888.531307870369</v>
      </c>
      <c r="I55" t="s">
        <v>140</v>
      </c>
      <c r="J55">
        <v>37057</v>
      </c>
      <c r="K55">
        <v>1</v>
      </c>
      <c r="L55" s="7">
        <v>45851</v>
      </c>
      <c r="M55" s="7">
        <v>45888.531307870369</v>
      </c>
      <c r="N55">
        <v>1</v>
      </c>
      <c r="P55">
        <v>4863</v>
      </c>
      <c r="Q55" s="9">
        <v>250018400016</v>
      </c>
      <c r="R55" t="s">
        <v>167</v>
      </c>
      <c r="S55" t="s">
        <v>167</v>
      </c>
      <c r="T55" t="s">
        <v>87</v>
      </c>
      <c r="U55" t="s">
        <v>142</v>
      </c>
      <c r="V55" s="8">
        <v>45852</v>
      </c>
      <c r="W55" s="8">
        <v>45851</v>
      </c>
      <c r="X55">
        <f>Table3[[#This Row],[`date`]]-Table3[[#This Row],[etd]]</f>
        <v>-1</v>
      </c>
    </row>
    <row r="56" spans="1:24" x14ac:dyDescent="0.3">
      <c r="A56">
        <v>55</v>
      </c>
      <c r="B56">
        <v>4280</v>
      </c>
      <c r="C56" t="s">
        <v>46</v>
      </c>
      <c r="D56" s="9">
        <v>250018400027</v>
      </c>
      <c r="E56" t="s">
        <v>4</v>
      </c>
      <c r="F56" t="s">
        <v>41</v>
      </c>
      <c r="G56" t="s">
        <v>139</v>
      </c>
      <c r="H56" s="7">
        <v>45881.502465277779</v>
      </c>
      <c r="I56" t="s">
        <v>140</v>
      </c>
      <c r="J56">
        <v>27838</v>
      </c>
      <c r="K56">
        <v>1</v>
      </c>
      <c r="L56" s="7">
        <v>45859</v>
      </c>
      <c r="M56" s="7">
        <v>45881.502465277779</v>
      </c>
      <c r="N56">
        <v>1</v>
      </c>
      <c r="P56">
        <v>4280</v>
      </c>
      <c r="Q56" s="9">
        <v>250018400027</v>
      </c>
      <c r="R56" t="s">
        <v>168</v>
      </c>
      <c r="S56" t="s">
        <v>168</v>
      </c>
      <c r="T56" t="s">
        <v>46</v>
      </c>
      <c r="U56" t="s">
        <v>142</v>
      </c>
      <c r="V56" s="8">
        <v>45858</v>
      </c>
      <c r="W56" s="8">
        <v>45859</v>
      </c>
      <c r="X56">
        <f>Table3[[#This Row],[`date`]]-Table3[[#This Row],[etd]]</f>
        <v>1</v>
      </c>
    </row>
    <row r="57" spans="1:24" x14ac:dyDescent="0.3">
      <c r="A57">
        <v>56</v>
      </c>
      <c r="B57">
        <v>4304</v>
      </c>
      <c r="C57" t="s">
        <v>48</v>
      </c>
      <c r="D57" s="9">
        <v>250018400024</v>
      </c>
      <c r="E57" t="s">
        <v>4</v>
      </c>
      <c r="F57" t="s">
        <v>41</v>
      </c>
      <c r="G57" t="s">
        <v>139</v>
      </c>
      <c r="H57" s="7">
        <v>45881.503703703704</v>
      </c>
      <c r="I57" t="s">
        <v>140</v>
      </c>
      <c r="J57">
        <v>27951</v>
      </c>
      <c r="K57">
        <v>1</v>
      </c>
      <c r="L57" s="7">
        <v>45859</v>
      </c>
      <c r="M57" s="7">
        <v>45881.503703703704</v>
      </c>
      <c r="N57">
        <v>1</v>
      </c>
      <c r="P57">
        <v>4304</v>
      </c>
      <c r="Q57" s="9">
        <v>250018400024</v>
      </c>
      <c r="R57" t="s">
        <v>169</v>
      </c>
      <c r="S57" t="s">
        <v>169</v>
      </c>
      <c r="T57" t="s">
        <v>48</v>
      </c>
      <c r="U57" t="s">
        <v>142</v>
      </c>
      <c r="V57" s="8">
        <v>45858</v>
      </c>
      <c r="W57" s="8">
        <v>45859</v>
      </c>
      <c r="X57">
        <f>Table3[[#This Row],[`date`]]-Table3[[#This Row],[etd]]</f>
        <v>1</v>
      </c>
    </row>
    <row r="58" spans="1:24" x14ac:dyDescent="0.3">
      <c r="A58">
        <v>57</v>
      </c>
      <c r="B58">
        <v>4316</v>
      </c>
      <c r="C58" t="s">
        <v>50</v>
      </c>
      <c r="D58" s="9">
        <v>250053400011</v>
      </c>
      <c r="E58" t="s">
        <v>4</v>
      </c>
      <c r="F58" t="s">
        <v>41</v>
      </c>
      <c r="G58" t="s">
        <v>139</v>
      </c>
      <c r="H58" s="7">
        <v>45881.508252314816</v>
      </c>
      <c r="I58" t="s">
        <v>140</v>
      </c>
      <c r="J58">
        <v>27973</v>
      </c>
      <c r="K58">
        <v>1</v>
      </c>
      <c r="L58" s="7">
        <v>45859</v>
      </c>
      <c r="M58" s="7">
        <v>45881.508252314816</v>
      </c>
      <c r="N58">
        <v>1</v>
      </c>
      <c r="P58">
        <v>4316</v>
      </c>
      <c r="Q58" s="9">
        <v>250053400011</v>
      </c>
      <c r="R58" t="s">
        <v>170</v>
      </c>
      <c r="S58" t="s">
        <v>170</v>
      </c>
      <c r="T58" t="s">
        <v>50</v>
      </c>
      <c r="U58" t="s">
        <v>142</v>
      </c>
      <c r="V58" s="8">
        <v>45858</v>
      </c>
      <c r="W58" s="8">
        <v>45859</v>
      </c>
      <c r="X58">
        <f>Table3[[#This Row],[`date`]]-Table3[[#This Row],[etd]]</f>
        <v>1</v>
      </c>
    </row>
    <row r="59" spans="1:24" x14ac:dyDescent="0.3">
      <c r="A59">
        <v>58</v>
      </c>
      <c r="B59">
        <v>4337</v>
      </c>
      <c r="C59" t="s">
        <v>52</v>
      </c>
      <c r="D59" s="9">
        <v>250018400026</v>
      </c>
      <c r="E59" t="s">
        <v>4</v>
      </c>
      <c r="F59" t="s">
        <v>41</v>
      </c>
      <c r="G59" t="s">
        <v>139</v>
      </c>
      <c r="H59" s="7">
        <v>45881.516412037039</v>
      </c>
      <c r="I59" t="s">
        <v>140</v>
      </c>
      <c r="J59">
        <v>28073</v>
      </c>
      <c r="K59">
        <v>1</v>
      </c>
      <c r="L59" s="7">
        <v>45859</v>
      </c>
      <c r="M59" s="7">
        <v>45881.516412037039</v>
      </c>
      <c r="N59">
        <v>1</v>
      </c>
      <c r="P59">
        <v>4337</v>
      </c>
      <c r="Q59" s="9">
        <v>250018400026</v>
      </c>
      <c r="R59" t="s">
        <v>171</v>
      </c>
      <c r="S59" t="s">
        <v>171</v>
      </c>
      <c r="T59" t="s">
        <v>52</v>
      </c>
      <c r="U59" t="s">
        <v>142</v>
      </c>
      <c r="V59" s="8">
        <v>45858</v>
      </c>
      <c r="W59" s="8">
        <v>45859</v>
      </c>
      <c r="X59">
        <f>Table3[[#This Row],[`date`]]-Table3[[#This Row],[etd]]</f>
        <v>1</v>
      </c>
    </row>
    <row r="60" spans="1:24" x14ac:dyDescent="0.3">
      <c r="A60">
        <v>59</v>
      </c>
      <c r="B60">
        <v>4338</v>
      </c>
      <c r="C60" t="s">
        <v>53</v>
      </c>
      <c r="D60" s="9">
        <v>250053400010</v>
      </c>
      <c r="E60" t="s">
        <v>4</v>
      </c>
      <c r="F60" t="s">
        <v>41</v>
      </c>
      <c r="G60" t="s">
        <v>139</v>
      </c>
      <c r="H60" s="7">
        <v>45881.516412037039</v>
      </c>
      <c r="I60" t="s">
        <v>140</v>
      </c>
      <c r="J60">
        <v>28075</v>
      </c>
      <c r="K60">
        <v>1</v>
      </c>
      <c r="L60" s="7">
        <v>45859</v>
      </c>
      <c r="M60" s="7">
        <v>45881.516412037039</v>
      </c>
      <c r="N60">
        <v>1</v>
      </c>
      <c r="P60">
        <v>4338</v>
      </c>
      <c r="Q60" s="9">
        <v>250053400010</v>
      </c>
      <c r="R60" t="s">
        <v>172</v>
      </c>
      <c r="S60" t="s">
        <v>172</v>
      </c>
      <c r="T60" t="s">
        <v>53</v>
      </c>
      <c r="U60" t="s">
        <v>142</v>
      </c>
      <c r="V60" s="8">
        <v>45858</v>
      </c>
      <c r="W60" s="8">
        <v>45859</v>
      </c>
      <c r="X60">
        <f>Table3[[#This Row],[`date`]]-Table3[[#This Row],[etd]]</f>
        <v>1</v>
      </c>
    </row>
    <row r="61" spans="1:24" x14ac:dyDescent="0.3">
      <c r="A61">
        <v>60</v>
      </c>
      <c r="B61">
        <v>4342</v>
      </c>
      <c r="C61" t="s">
        <v>54</v>
      </c>
      <c r="D61" s="9">
        <v>250018400020</v>
      </c>
      <c r="E61" t="s">
        <v>4</v>
      </c>
      <c r="F61" t="s">
        <v>41</v>
      </c>
      <c r="G61" t="s">
        <v>139</v>
      </c>
      <c r="H61" s="7">
        <v>45881.519942129627</v>
      </c>
      <c r="I61" t="s">
        <v>140</v>
      </c>
      <c r="J61">
        <v>28082</v>
      </c>
      <c r="K61">
        <v>1</v>
      </c>
      <c r="L61" s="7">
        <v>45859</v>
      </c>
      <c r="M61" s="7">
        <v>45881.519942129627</v>
      </c>
      <c r="N61">
        <v>1</v>
      </c>
      <c r="P61">
        <v>4342</v>
      </c>
      <c r="Q61" s="9">
        <v>250018400020</v>
      </c>
      <c r="R61" t="s">
        <v>173</v>
      </c>
      <c r="S61" t="s">
        <v>173</v>
      </c>
      <c r="T61" t="s">
        <v>54</v>
      </c>
      <c r="U61" t="s">
        <v>142</v>
      </c>
      <c r="V61" s="8">
        <v>45858</v>
      </c>
      <c r="W61" s="8">
        <v>45859</v>
      </c>
      <c r="X61">
        <f>Table3[[#This Row],[`date`]]-Table3[[#This Row],[etd]]</f>
        <v>1</v>
      </c>
    </row>
    <row r="62" spans="1:24" x14ac:dyDescent="0.3">
      <c r="A62">
        <v>61</v>
      </c>
      <c r="B62">
        <v>4363</v>
      </c>
      <c r="C62" t="s">
        <v>57</v>
      </c>
      <c r="D62" s="9">
        <v>250018400025</v>
      </c>
      <c r="E62" t="s">
        <v>4</v>
      </c>
      <c r="F62" t="s">
        <v>41</v>
      </c>
      <c r="G62" t="s">
        <v>139</v>
      </c>
      <c r="H62" s="7">
        <v>45881.528298611112</v>
      </c>
      <c r="I62" t="s">
        <v>140</v>
      </c>
      <c r="J62">
        <v>28152</v>
      </c>
      <c r="K62">
        <v>1</v>
      </c>
      <c r="L62" s="7">
        <v>45859</v>
      </c>
      <c r="M62" s="7">
        <v>45881.528298611112</v>
      </c>
      <c r="N62">
        <v>1</v>
      </c>
      <c r="P62">
        <v>4363</v>
      </c>
      <c r="Q62" s="9">
        <v>250018400025</v>
      </c>
      <c r="R62" t="s">
        <v>174</v>
      </c>
      <c r="S62" t="s">
        <v>174</v>
      </c>
      <c r="T62" t="s">
        <v>57</v>
      </c>
      <c r="U62" t="s">
        <v>142</v>
      </c>
      <c r="V62" s="8">
        <v>45858</v>
      </c>
      <c r="W62" s="8">
        <v>45859</v>
      </c>
      <c r="X62">
        <f>Table3[[#This Row],[`date`]]-Table3[[#This Row],[etd]]</f>
        <v>1</v>
      </c>
    </row>
    <row r="63" spans="1:24" x14ac:dyDescent="0.3">
      <c r="A63">
        <v>62</v>
      </c>
      <c r="B63">
        <v>4364</v>
      </c>
      <c r="C63" t="s">
        <v>58</v>
      </c>
      <c r="D63" s="9">
        <v>250018400021</v>
      </c>
      <c r="E63" t="s">
        <v>4</v>
      </c>
      <c r="F63" t="s">
        <v>41</v>
      </c>
      <c r="G63" t="s">
        <v>139</v>
      </c>
      <c r="H63" s="7">
        <v>45881.528298611112</v>
      </c>
      <c r="I63" t="s">
        <v>140</v>
      </c>
      <c r="J63">
        <v>28153</v>
      </c>
      <c r="K63">
        <v>1</v>
      </c>
      <c r="L63" s="7">
        <v>45859</v>
      </c>
      <c r="M63" s="7">
        <v>45881.528298611112</v>
      </c>
      <c r="N63">
        <v>1</v>
      </c>
      <c r="P63">
        <v>4364</v>
      </c>
      <c r="Q63" s="9">
        <v>250018400021</v>
      </c>
      <c r="R63" t="s">
        <v>175</v>
      </c>
      <c r="S63" t="s">
        <v>175</v>
      </c>
      <c r="T63" t="s">
        <v>58</v>
      </c>
      <c r="U63" t="s">
        <v>142</v>
      </c>
      <c r="V63" s="8">
        <v>45858</v>
      </c>
      <c r="W63" s="8">
        <v>45859</v>
      </c>
      <c r="X63">
        <f>Table3[[#This Row],[`date`]]-Table3[[#This Row],[etd]]</f>
        <v>1</v>
      </c>
    </row>
    <row r="64" spans="1:24" x14ac:dyDescent="0.3">
      <c r="A64">
        <v>63</v>
      </c>
      <c r="B64">
        <v>4374</v>
      </c>
      <c r="C64" t="s">
        <v>61</v>
      </c>
      <c r="D64" s="9">
        <v>250053400009</v>
      </c>
      <c r="E64" t="s">
        <v>4</v>
      </c>
      <c r="F64" t="s">
        <v>41</v>
      </c>
      <c r="G64" t="s">
        <v>139</v>
      </c>
      <c r="H64" s="7">
        <v>45881.528298611112</v>
      </c>
      <c r="I64" t="s">
        <v>140</v>
      </c>
      <c r="J64">
        <v>28184</v>
      </c>
      <c r="K64">
        <v>1</v>
      </c>
      <c r="L64" s="7">
        <v>45859</v>
      </c>
      <c r="M64" s="7">
        <v>45881.528298611112</v>
      </c>
      <c r="N64">
        <v>1</v>
      </c>
      <c r="P64">
        <v>4374</v>
      </c>
      <c r="Q64" s="9">
        <v>250053400009</v>
      </c>
      <c r="R64" t="s">
        <v>176</v>
      </c>
      <c r="S64" t="s">
        <v>176</v>
      </c>
      <c r="T64" t="s">
        <v>61</v>
      </c>
      <c r="U64" t="s">
        <v>142</v>
      </c>
      <c r="V64" s="8">
        <v>45858</v>
      </c>
      <c r="W64" s="8">
        <v>45859</v>
      </c>
      <c r="X64">
        <f>Table3[[#This Row],[`date`]]-Table3[[#This Row],[etd]]</f>
        <v>1</v>
      </c>
    </row>
    <row r="65" spans="1:24" x14ac:dyDescent="0.3">
      <c r="A65">
        <v>64</v>
      </c>
      <c r="B65">
        <v>4399</v>
      </c>
      <c r="C65" t="s">
        <v>66</v>
      </c>
      <c r="D65" s="9">
        <v>250018400035</v>
      </c>
      <c r="E65" t="s">
        <v>4</v>
      </c>
      <c r="F65" t="s">
        <v>41</v>
      </c>
      <c r="G65" t="s">
        <v>139</v>
      </c>
      <c r="H65" s="7">
        <v>45881.528865740744</v>
      </c>
      <c r="I65" t="s">
        <v>140</v>
      </c>
      <c r="J65">
        <v>28309</v>
      </c>
      <c r="K65">
        <v>1</v>
      </c>
      <c r="L65" s="7">
        <v>45859</v>
      </c>
      <c r="M65" s="7">
        <v>45881.528865740744</v>
      </c>
      <c r="N65">
        <v>1</v>
      </c>
      <c r="P65">
        <v>4399</v>
      </c>
      <c r="Q65" s="9">
        <v>250018400035</v>
      </c>
      <c r="R65" t="s">
        <v>177</v>
      </c>
      <c r="S65" t="s">
        <v>177</v>
      </c>
      <c r="T65" t="s">
        <v>66</v>
      </c>
      <c r="U65" t="s">
        <v>142</v>
      </c>
      <c r="V65" s="8">
        <v>45858</v>
      </c>
      <c r="W65" s="8">
        <v>45859</v>
      </c>
      <c r="X65">
        <f>Table3[[#This Row],[`date`]]-Table3[[#This Row],[etd]]</f>
        <v>1</v>
      </c>
    </row>
    <row r="66" spans="1:24" x14ac:dyDescent="0.3">
      <c r="A66">
        <v>65</v>
      </c>
      <c r="B66">
        <v>4413</v>
      </c>
      <c r="C66" t="s">
        <v>70</v>
      </c>
      <c r="D66" s="9">
        <v>250054600041</v>
      </c>
      <c r="E66" t="s">
        <v>4</v>
      </c>
      <c r="F66" t="s">
        <v>41</v>
      </c>
      <c r="G66" t="s">
        <v>139</v>
      </c>
      <c r="H66" s="7">
        <v>45881.530798611115</v>
      </c>
      <c r="I66" t="s">
        <v>140</v>
      </c>
      <c r="J66">
        <v>28348</v>
      </c>
      <c r="K66">
        <v>1</v>
      </c>
      <c r="L66" s="7">
        <v>45859</v>
      </c>
      <c r="M66" s="7">
        <v>45881.530798611115</v>
      </c>
      <c r="N66">
        <v>1</v>
      </c>
      <c r="P66">
        <v>4413</v>
      </c>
      <c r="Q66" s="9">
        <v>250054600041</v>
      </c>
      <c r="R66" t="s">
        <v>178</v>
      </c>
      <c r="S66" t="s">
        <v>178</v>
      </c>
      <c r="T66" t="s">
        <v>70</v>
      </c>
      <c r="U66" t="s">
        <v>142</v>
      </c>
      <c r="V66" s="8">
        <v>45858</v>
      </c>
      <c r="W66" s="8">
        <v>45859</v>
      </c>
      <c r="X66">
        <f>Table3[[#This Row],[`date`]]-Table3[[#This Row],[etd]]</f>
        <v>1</v>
      </c>
    </row>
    <row r="67" spans="1:24" x14ac:dyDescent="0.3">
      <c r="A67">
        <v>66</v>
      </c>
      <c r="B67">
        <v>4416</v>
      </c>
      <c r="C67" t="s">
        <v>72</v>
      </c>
      <c r="D67" s="9">
        <v>250018400023</v>
      </c>
      <c r="E67" t="s">
        <v>4</v>
      </c>
      <c r="F67" t="s">
        <v>41</v>
      </c>
      <c r="G67" t="s">
        <v>139</v>
      </c>
      <c r="H67" s="7">
        <v>45881.530798611115</v>
      </c>
      <c r="I67" t="s">
        <v>140</v>
      </c>
      <c r="J67">
        <v>28352</v>
      </c>
      <c r="K67">
        <v>1</v>
      </c>
      <c r="L67" s="7">
        <v>45859</v>
      </c>
      <c r="M67" s="7">
        <v>45881.530798611115</v>
      </c>
      <c r="N67">
        <v>1</v>
      </c>
      <c r="P67">
        <v>4416</v>
      </c>
      <c r="Q67" s="9">
        <v>250018400023</v>
      </c>
      <c r="R67" t="s">
        <v>179</v>
      </c>
      <c r="S67" t="s">
        <v>179</v>
      </c>
      <c r="T67" t="s">
        <v>72</v>
      </c>
      <c r="U67" t="s">
        <v>142</v>
      </c>
      <c r="V67" s="8">
        <v>45858</v>
      </c>
      <c r="W67" s="8">
        <v>45859</v>
      </c>
      <c r="X67">
        <f>Table3[[#This Row],[`date`]]-Table3[[#This Row],[etd]]</f>
        <v>1</v>
      </c>
    </row>
    <row r="68" spans="1:24" x14ac:dyDescent="0.3">
      <c r="A68">
        <v>67</v>
      </c>
      <c r="B68">
        <v>4804</v>
      </c>
      <c r="C68" t="s">
        <v>77</v>
      </c>
      <c r="D68" s="9">
        <v>250054600047</v>
      </c>
      <c r="E68" t="s">
        <v>4</v>
      </c>
      <c r="F68" t="s">
        <v>41</v>
      </c>
      <c r="G68" t="s">
        <v>139</v>
      </c>
      <c r="H68" s="7">
        <v>45888.503506944442</v>
      </c>
      <c r="I68" t="s">
        <v>140</v>
      </c>
      <c r="J68">
        <v>36599</v>
      </c>
      <c r="K68">
        <v>1</v>
      </c>
      <c r="L68" s="7">
        <v>45859</v>
      </c>
      <c r="M68" s="7">
        <v>45888.503506944442</v>
      </c>
      <c r="N68">
        <v>1</v>
      </c>
      <c r="P68">
        <v>4804</v>
      </c>
      <c r="Q68" s="9">
        <v>250054600047</v>
      </c>
      <c r="R68" t="s">
        <v>180</v>
      </c>
      <c r="S68" t="s">
        <v>180</v>
      </c>
      <c r="T68" t="s">
        <v>77</v>
      </c>
      <c r="U68" t="s">
        <v>142</v>
      </c>
      <c r="V68" s="8">
        <v>45858</v>
      </c>
      <c r="W68" s="8">
        <v>45859</v>
      </c>
      <c r="X68">
        <f>Table3[[#This Row],[`date`]]-Table3[[#This Row],[etd]]</f>
        <v>1</v>
      </c>
    </row>
    <row r="69" spans="1:24" x14ac:dyDescent="0.3">
      <c r="A69">
        <v>68</v>
      </c>
      <c r="B69">
        <v>4807</v>
      </c>
      <c r="C69" t="s">
        <v>78</v>
      </c>
      <c r="D69" s="9">
        <v>250054600044</v>
      </c>
      <c r="E69" t="s">
        <v>4</v>
      </c>
      <c r="F69" t="s">
        <v>41</v>
      </c>
      <c r="G69" t="s">
        <v>139</v>
      </c>
      <c r="H69" s="7">
        <v>45888.503506944442</v>
      </c>
      <c r="I69" t="s">
        <v>140</v>
      </c>
      <c r="J69">
        <v>36604</v>
      </c>
      <c r="K69">
        <v>1</v>
      </c>
      <c r="L69" s="7">
        <v>45859</v>
      </c>
      <c r="M69" s="7">
        <v>45888.503506944442</v>
      </c>
      <c r="N69">
        <v>1</v>
      </c>
      <c r="P69">
        <v>4807</v>
      </c>
      <c r="Q69" s="9">
        <v>250054600044</v>
      </c>
      <c r="R69" t="s">
        <v>181</v>
      </c>
      <c r="S69" t="s">
        <v>181</v>
      </c>
      <c r="T69" t="s">
        <v>78</v>
      </c>
      <c r="U69" t="s">
        <v>142</v>
      </c>
      <c r="V69" s="8">
        <v>45858</v>
      </c>
      <c r="W69" s="8">
        <v>45859</v>
      </c>
      <c r="X69">
        <f>Table3[[#This Row],[`date`]]-Table3[[#This Row],[etd]]</f>
        <v>1</v>
      </c>
    </row>
    <row r="70" spans="1:24" x14ac:dyDescent="0.3">
      <c r="A70">
        <v>69</v>
      </c>
      <c r="B70">
        <v>4828</v>
      </c>
      <c r="C70" t="s">
        <v>81</v>
      </c>
      <c r="D70" s="9">
        <v>250054600045</v>
      </c>
      <c r="E70" t="s">
        <v>4</v>
      </c>
      <c r="F70" t="s">
        <v>41</v>
      </c>
      <c r="G70" t="s">
        <v>139</v>
      </c>
      <c r="H70" s="7">
        <v>45888.512233796297</v>
      </c>
      <c r="I70" t="s">
        <v>140</v>
      </c>
      <c r="J70">
        <v>36751</v>
      </c>
      <c r="K70">
        <v>1</v>
      </c>
      <c r="L70" s="7">
        <v>45859</v>
      </c>
      <c r="M70" s="7">
        <v>45888.512233796297</v>
      </c>
      <c r="N70">
        <v>1</v>
      </c>
      <c r="P70">
        <v>4828</v>
      </c>
      <c r="Q70" s="9">
        <v>250054600045</v>
      </c>
      <c r="R70" t="s">
        <v>182</v>
      </c>
      <c r="S70" t="s">
        <v>182</v>
      </c>
      <c r="T70" t="s">
        <v>81</v>
      </c>
      <c r="U70" t="s">
        <v>142</v>
      </c>
      <c r="V70" s="8">
        <v>45858</v>
      </c>
      <c r="W70" s="8">
        <v>45859</v>
      </c>
      <c r="X70">
        <f>Table3[[#This Row],[`date`]]-Table3[[#This Row],[etd]]</f>
        <v>1</v>
      </c>
    </row>
    <row r="71" spans="1:24" x14ac:dyDescent="0.3">
      <c r="A71">
        <v>70</v>
      </c>
      <c r="B71">
        <v>4838</v>
      </c>
      <c r="C71" t="s">
        <v>83</v>
      </c>
      <c r="D71" s="9">
        <v>250054600043</v>
      </c>
      <c r="E71" t="s">
        <v>4</v>
      </c>
      <c r="F71" t="s">
        <v>41</v>
      </c>
      <c r="G71" t="s">
        <v>139</v>
      </c>
      <c r="H71" s="7">
        <v>45888.517939814818</v>
      </c>
      <c r="I71" t="s">
        <v>140</v>
      </c>
      <c r="J71">
        <v>36855</v>
      </c>
      <c r="K71">
        <v>1</v>
      </c>
      <c r="L71" s="7">
        <v>45859</v>
      </c>
      <c r="M71" s="7">
        <v>45888.517939814818</v>
      </c>
      <c r="N71">
        <v>1</v>
      </c>
      <c r="P71">
        <v>4838</v>
      </c>
      <c r="Q71" s="9">
        <v>250054600043</v>
      </c>
      <c r="R71" t="s">
        <v>183</v>
      </c>
      <c r="S71" t="s">
        <v>183</v>
      </c>
      <c r="T71" t="s">
        <v>83</v>
      </c>
      <c r="U71" t="s">
        <v>142</v>
      </c>
      <c r="V71" s="8">
        <v>45858</v>
      </c>
      <c r="W71" s="8">
        <v>45859</v>
      </c>
      <c r="X71">
        <f>Table3[[#This Row],[`date`]]-Table3[[#This Row],[etd]]</f>
        <v>1</v>
      </c>
    </row>
    <row r="72" spans="1:24" x14ac:dyDescent="0.3">
      <c r="A72">
        <v>71</v>
      </c>
      <c r="B72">
        <v>4865</v>
      </c>
      <c r="C72" t="s">
        <v>88</v>
      </c>
      <c r="D72" s="9">
        <v>250018400022</v>
      </c>
      <c r="E72" t="s">
        <v>4</v>
      </c>
      <c r="F72" t="s">
        <v>41</v>
      </c>
      <c r="G72" t="s">
        <v>139</v>
      </c>
      <c r="H72" s="7">
        <v>45888.532199074078</v>
      </c>
      <c r="I72" t="s">
        <v>140</v>
      </c>
      <c r="J72">
        <v>37063</v>
      </c>
      <c r="K72">
        <v>1</v>
      </c>
      <c r="L72" s="7">
        <v>45859</v>
      </c>
      <c r="M72" s="7">
        <v>45888.532199074078</v>
      </c>
      <c r="N72">
        <v>1</v>
      </c>
      <c r="P72">
        <v>4865</v>
      </c>
      <c r="Q72" s="9">
        <v>250018400022</v>
      </c>
      <c r="R72" t="s">
        <v>184</v>
      </c>
      <c r="S72" t="s">
        <v>184</v>
      </c>
      <c r="T72" t="s">
        <v>88</v>
      </c>
      <c r="U72" t="s">
        <v>142</v>
      </c>
      <c r="V72" s="8">
        <v>45858</v>
      </c>
      <c r="W72" s="8">
        <v>45859</v>
      </c>
      <c r="X72">
        <f>Table3[[#This Row],[`date`]]-Table3[[#This Row],[etd]]</f>
        <v>1</v>
      </c>
    </row>
    <row r="73" spans="1:24" x14ac:dyDescent="0.3">
      <c r="A73">
        <v>72</v>
      </c>
      <c r="B73">
        <v>4869</v>
      </c>
      <c r="C73" t="s">
        <v>89</v>
      </c>
      <c r="D73" s="9">
        <v>250054600046</v>
      </c>
      <c r="E73" t="s">
        <v>4</v>
      </c>
      <c r="F73" t="s">
        <v>41</v>
      </c>
      <c r="G73" t="s">
        <v>139</v>
      </c>
      <c r="H73" s="7">
        <v>45888.532210648147</v>
      </c>
      <c r="I73" t="s">
        <v>140</v>
      </c>
      <c r="J73">
        <v>37079</v>
      </c>
      <c r="K73">
        <v>1</v>
      </c>
      <c r="L73" s="7">
        <v>45859</v>
      </c>
      <c r="M73" s="7">
        <v>45888.532210648147</v>
      </c>
      <c r="N73">
        <v>1</v>
      </c>
      <c r="P73">
        <v>4869</v>
      </c>
      <c r="Q73" s="9">
        <v>250054600046</v>
      </c>
      <c r="R73" t="s">
        <v>185</v>
      </c>
      <c r="S73" t="s">
        <v>185</v>
      </c>
      <c r="T73" t="s">
        <v>89</v>
      </c>
      <c r="U73" t="s">
        <v>142</v>
      </c>
      <c r="V73" s="8">
        <v>45858</v>
      </c>
      <c r="W73" s="8">
        <v>45859</v>
      </c>
      <c r="X73">
        <f>Table3[[#This Row],[`date`]]-Table3[[#This Row],[etd]]</f>
        <v>1</v>
      </c>
    </row>
    <row r="74" spans="1:24" x14ac:dyDescent="0.3">
      <c r="A74">
        <v>73</v>
      </c>
      <c r="B74">
        <v>4132</v>
      </c>
      <c r="C74" t="s">
        <v>42</v>
      </c>
      <c r="D74" s="9">
        <v>250028100047</v>
      </c>
      <c r="E74" t="s">
        <v>4</v>
      </c>
      <c r="F74" t="s">
        <v>41</v>
      </c>
      <c r="G74" t="s">
        <v>139</v>
      </c>
      <c r="H74" s="7">
        <v>45887.508414351854</v>
      </c>
      <c r="I74" t="s">
        <v>140</v>
      </c>
      <c r="J74">
        <v>27223</v>
      </c>
      <c r="K74">
        <v>1</v>
      </c>
      <c r="L74" s="7">
        <v>45861</v>
      </c>
      <c r="M74" s="7">
        <v>45887.508414351854</v>
      </c>
      <c r="N74">
        <v>1</v>
      </c>
      <c r="P74">
        <v>4132</v>
      </c>
      <c r="Q74" s="9">
        <v>250028100047</v>
      </c>
      <c r="R74" t="s">
        <v>186</v>
      </c>
      <c r="S74" t="s">
        <v>186</v>
      </c>
      <c r="T74" t="s">
        <v>42</v>
      </c>
      <c r="U74" t="s">
        <v>142</v>
      </c>
      <c r="V74" s="8">
        <v>45861</v>
      </c>
      <c r="W74" s="8">
        <v>45876</v>
      </c>
      <c r="X74">
        <f>Table3[[#This Row],[`date`]]-Table3[[#This Row],[etd]]</f>
        <v>0</v>
      </c>
    </row>
    <row r="75" spans="1:24" x14ac:dyDescent="0.3">
      <c r="A75">
        <v>74</v>
      </c>
      <c r="B75">
        <v>4528</v>
      </c>
      <c r="C75" t="s">
        <v>75</v>
      </c>
      <c r="D75" s="9">
        <v>250018400037</v>
      </c>
      <c r="E75" t="s">
        <v>4</v>
      </c>
      <c r="F75" t="s">
        <v>41</v>
      </c>
      <c r="G75" t="s">
        <v>139</v>
      </c>
      <c r="H75" s="7">
        <v>45899.505624999998</v>
      </c>
      <c r="I75" t="s">
        <v>140</v>
      </c>
      <c r="J75">
        <v>29878</v>
      </c>
      <c r="K75">
        <v>1</v>
      </c>
      <c r="L75" s="7">
        <v>45872</v>
      </c>
      <c r="M75" s="7">
        <v>45899.505624999998</v>
      </c>
      <c r="N75">
        <v>1</v>
      </c>
      <c r="P75">
        <v>4528</v>
      </c>
      <c r="Q75" s="9">
        <v>250018400037</v>
      </c>
      <c r="R75" t="s">
        <v>187</v>
      </c>
      <c r="S75" t="s">
        <v>187</v>
      </c>
      <c r="T75" t="s">
        <v>75</v>
      </c>
      <c r="U75" t="s">
        <v>142</v>
      </c>
      <c r="V75" s="8">
        <v>45903</v>
      </c>
      <c r="W75" s="8">
        <v>45872</v>
      </c>
      <c r="X75">
        <f>Table3[[#This Row],[`date`]]-Table3[[#This Row],[etd]]</f>
        <v>-31</v>
      </c>
    </row>
    <row r="76" spans="1:24" x14ac:dyDescent="0.3">
      <c r="A76">
        <v>75</v>
      </c>
      <c r="B76">
        <v>4181</v>
      </c>
      <c r="C76" t="s">
        <v>43</v>
      </c>
      <c r="D76" s="9">
        <v>250019800110</v>
      </c>
      <c r="E76" t="s">
        <v>4</v>
      </c>
      <c r="F76" t="s">
        <v>44</v>
      </c>
      <c r="G76" t="s">
        <v>188</v>
      </c>
      <c r="H76" s="7">
        <v>45874.515486111108</v>
      </c>
      <c r="I76" t="s">
        <v>140</v>
      </c>
      <c r="J76">
        <v>27332</v>
      </c>
      <c r="K76">
        <v>1</v>
      </c>
      <c r="L76" s="7">
        <v>45875.458333333336</v>
      </c>
      <c r="M76" s="7">
        <v>45874.515486111108</v>
      </c>
      <c r="N76">
        <v>0</v>
      </c>
      <c r="P76">
        <v>4181</v>
      </c>
      <c r="Q76" s="9">
        <v>250019800110</v>
      </c>
      <c r="R76" t="s">
        <v>189</v>
      </c>
      <c r="S76" t="s">
        <v>189</v>
      </c>
      <c r="T76" t="s">
        <v>43</v>
      </c>
      <c r="U76" t="s">
        <v>116</v>
      </c>
      <c r="V76" s="8">
        <v>45874</v>
      </c>
      <c r="X76">
        <f>Table3[[#This Row],[`date`]]-Table3[[#This Row],[etd]]</f>
        <v>1.4583333333357587</v>
      </c>
    </row>
    <row r="77" spans="1:24" x14ac:dyDescent="0.3">
      <c r="A77">
        <v>76</v>
      </c>
      <c r="B77">
        <v>4182</v>
      </c>
      <c r="C77" t="s">
        <v>43</v>
      </c>
      <c r="D77" s="9">
        <v>250019800106</v>
      </c>
      <c r="E77" t="s">
        <v>4</v>
      </c>
      <c r="F77" t="s">
        <v>44</v>
      </c>
      <c r="G77" t="s">
        <v>188</v>
      </c>
      <c r="H77" s="7">
        <v>45874.515486111108</v>
      </c>
      <c r="I77" t="s">
        <v>140</v>
      </c>
      <c r="J77">
        <v>27335</v>
      </c>
      <c r="K77">
        <v>1</v>
      </c>
      <c r="L77" s="7">
        <v>45875.458333333336</v>
      </c>
      <c r="M77" s="7">
        <v>45874.515486111108</v>
      </c>
      <c r="N77">
        <v>0</v>
      </c>
      <c r="P77">
        <v>4182</v>
      </c>
      <c r="Q77" s="9">
        <v>250019800106</v>
      </c>
      <c r="R77" t="s">
        <v>190</v>
      </c>
      <c r="S77" t="s">
        <v>190</v>
      </c>
      <c r="T77" t="s">
        <v>191</v>
      </c>
      <c r="U77" t="s">
        <v>116</v>
      </c>
      <c r="V77" s="8">
        <v>45865</v>
      </c>
      <c r="W77" s="8"/>
      <c r="X77">
        <f>Table3[[#This Row],[`date`]]-Table3[[#This Row],[etd]]</f>
        <v>10.458333333335759</v>
      </c>
    </row>
    <row r="78" spans="1:24" x14ac:dyDescent="0.3">
      <c r="A78">
        <v>77</v>
      </c>
      <c r="B78">
        <v>4853</v>
      </c>
      <c r="C78" t="s">
        <v>85</v>
      </c>
      <c r="D78" s="9">
        <v>250060800015</v>
      </c>
      <c r="E78" t="s">
        <v>4</v>
      </c>
      <c r="F78" t="s">
        <v>41</v>
      </c>
      <c r="G78" t="s">
        <v>139</v>
      </c>
      <c r="H78" s="7">
        <v>45896.521886574075</v>
      </c>
      <c r="I78" t="s">
        <v>140</v>
      </c>
      <c r="J78">
        <v>36983</v>
      </c>
      <c r="K78">
        <v>1</v>
      </c>
      <c r="L78" s="7">
        <v>45881</v>
      </c>
      <c r="M78" s="7">
        <v>45896.521886574075</v>
      </c>
      <c r="N78">
        <v>1</v>
      </c>
      <c r="P78">
        <v>4853</v>
      </c>
      <c r="Q78" s="9">
        <v>250060800015</v>
      </c>
      <c r="R78" t="s">
        <v>192</v>
      </c>
      <c r="S78" t="s">
        <v>192</v>
      </c>
      <c r="T78" t="s">
        <v>85</v>
      </c>
      <c r="U78" t="s">
        <v>142</v>
      </c>
      <c r="V78" s="8">
        <v>45880</v>
      </c>
      <c r="W78" s="8">
        <v>45881</v>
      </c>
      <c r="X78">
        <f>Table3[[#This Row],[`date`]]-Table3[[#This Row],[etd]]</f>
        <v>1</v>
      </c>
    </row>
    <row r="79" spans="1:24" x14ac:dyDescent="0.3">
      <c r="A79">
        <v>78</v>
      </c>
      <c r="B79">
        <v>4876</v>
      </c>
      <c r="C79" t="s">
        <v>90</v>
      </c>
      <c r="D79" s="9">
        <v>250054600049</v>
      </c>
      <c r="E79" t="s">
        <v>4</v>
      </c>
      <c r="F79" t="s">
        <v>41</v>
      </c>
      <c r="G79" t="s">
        <v>139</v>
      </c>
      <c r="H79" s="7">
        <v>45896.52747685185</v>
      </c>
      <c r="I79" t="s">
        <v>140</v>
      </c>
      <c r="J79">
        <v>37095</v>
      </c>
      <c r="K79">
        <v>1</v>
      </c>
      <c r="L79" s="7">
        <v>45881</v>
      </c>
      <c r="M79" s="7">
        <v>45896.52747685185</v>
      </c>
      <c r="N79">
        <v>1</v>
      </c>
      <c r="P79">
        <v>4876</v>
      </c>
      <c r="Q79" s="9">
        <v>250054600049</v>
      </c>
      <c r="R79" t="s">
        <v>193</v>
      </c>
      <c r="S79" t="s">
        <v>193</v>
      </c>
      <c r="T79" t="s">
        <v>90</v>
      </c>
      <c r="U79" t="s">
        <v>142</v>
      </c>
      <c r="V79" s="8">
        <v>45880</v>
      </c>
      <c r="W79" s="8">
        <v>45881</v>
      </c>
      <c r="X79">
        <f>Table3[[#This Row],[`date`]]-Table3[[#This Row],[etd]]</f>
        <v>1</v>
      </c>
    </row>
    <row r="80" spans="1:24" x14ac:dyDescent="0.3">
      <c r="A80">
        <v>79</v>
      </c>
      <c r="B80">
        <v>4927</v>
      </c>
      <c r="C80" t="s">
        <v>91</v>
      </c>
      <c r="D80" s="9">
        <v>250019800112</v>
      </c>
      <c r="E80" t="s">
        <v>4</v>
      </c>
      <c r="F80" t="s">
        <v>44</v>
      </c>
      <c r="G80" t="s">
        <v>188</v>
      </c>
      <c r="H80" s="7">
        <v>45888.517928240741</v>
      </c>
      <c r="I80" t="s">
        <v>140</v>
      </c>
      <c r="J80">
        <v>37682</v>
      </c>
      <c r="K80">
        <v>1</v>
      </c>
      <c r="L80" s="7">
        <v>45886.625</v>
      </c>
      <c r="M80" s="7">
        <v>45888.517928240741</v>
      </c>
      <c r="N80">
        <v>1</v>
      </c>
      <c r="P80">
        <v>4927</v>
      </c>
      <c r="Q80" s="9">
        <v>250019800112</v>
      </c>
      <c r="R80" t="s">
        <v>194</v>
      </c>
      <c r="S80" t="s">
        <v>194</v>
      </c>
      <c r="T80" t="s">
        <v>91</v>
      </c>
      <c r="U80" t="s">
        <v>116</v>
      </c>
      <c r="V80" s="8">
        <v>45887</v>
      </c>
      <c r="W80" s="8">
        <v>45886</v>
      </c>
      <c r="X80">
        <f>Table3[[#This Row],[`date`]]-Table3[[#This Row],[etd]]</f>
        <v>-0.375</v>
      </c>
    </row>
    <row r="81" spans="1:24" x14ac:dyDescent="0.3">
      <c r="A81">
        <v>80</v>
      </c>
      <c r="B81">
        <v>4928</v>
      </c>
      <c r="C81" t="s">
        <v>91</v>
      </c>
      <c r="D81" s="9">
        <v>250019800111</v>
      </c>
      <c r="E81" t="s">
        <v>4</v>
      </c>
      <c r="F81" t="s">
        <v>44</v>
      </c>
      <c r="G81" t="s">
        <v>188</v>
      </c>
      <c r="H81" s="7">
        <v>45888.517928240741</v>
      </c>
      <c r="I81" t="s">
        <v>140</v>
      </c>
      <c r="J81">
        <v>37685</v>
      </c>
      <c r="K81">
        <v>1</v>
      </c>
      <c r="L81" s="7">
        <v>45886.625</v>
      </c>
      <c r="M81" s="7">
        <v>45888.517928240741</v>
      </c>
      <c r="N81">
        <v>1</v>
      </c>
      <c r="P81">
        <v>4928</v>
      </c>
      <c r="Q81" s="9">
        <v>250019800111</v>
      </c>
      <c r="R81" t="s">
        <v>194</v>
      </c>
      <c r="S81" t="s">
        <v>194</v>
      </c>
      <c r="T81" t="s">
        <v>91</v>
      </c>
      <c r="U81" t="s">
        <v>116</v>
      </c>
      <c r="V81" s="8">
        <v>45887</v>
      </c>
      <c r="W81" s="8">
        <v>45886</v>
      </c>
      <c r="X81">
        <f>Table3[[#This Row],[`date`]]-Table3[[#This Row],[etd]]</f>
        <v>-0.375</v>
      </c>
    </row>
    <row r="82" spans="1:24" x14ac:dyDescent="0.3">
      <c r="A82">
        <v>81</v>
      </c>
      <c r="B82">
        <v>4941</v>
      </c>
      <c r="C82" t="s">
        <v>92</v>
      </c>
      <c r="D82" s="9">
        <v>250022600053</v>
      </c>
      <c r="E82" t="s">
        <v>4</v>
      </c>
      <c r="F82" t="s">
        <v>44</v>
      </c>
      <c r="G82" t="s">
        <v>188</v>
      </c>
      <c r="H82" s="7">
        <v>45896.510879629626</v>
      </c>
      <c r="I82" t="s">
        <v>140</v>
      </c>
      <c r="J82">
        <v>38397</v>
      </c>
      <c r="K82">
        <v>1</v>
      </c>
      <c r="L82" s="7">
        <v>45887.595833333333</v>
      </c>
      <c r="M82" s="7">
        <v>45896.510879629626</v>
      </c>
      <c r="N82">
        <v>1</v>
      </c>
      <c r="P82">
        <v>4941</v>
      </c>
      <c r="Q82" s="9">
        <v>250022600053</v>
      </c>
      <c r="R82" t="s">
        <v>195</v>
      </c>
      <c r="S82" t="s">
        <v>195</v>
      </c>
      <c r="T82" t="s">
        <v>92</v>
      </c>
      <c r="U82" t="s">
        <v>116</v>
      </c>
      <c r="V82" s="8">
        <v>45886</v>
      </c>
      <c r="W82" s="8">
        <v>45887</v>
      </c>
      <c r="X82">
        <f>Table3[[#This Row],[`date`]]-Table3[[#This Row],[etd]]</f>
        <v>1.5958333333328483</v>
      </c>
    </row>
    <row r="83" spans="1:24" x14ac:dyDescent="0.3">
      <c r="A83">
        <v>82</v>
      </c>
      <c r="B83">
        <v>5428</v>
      </c>
      <c r="C83">
        <v>6426758770</v>
      </c>
      <c r="D83" s="9">
        <v>250015400031</v>
      </c>
      <c r="E83" t="s">
        <v>4</v>
      </c>
      <c r="F83" t="s">
        <v>93</v>
      </c>
      <c r="G83" t="s">
        <v>196</v>
      </c>
      <c r="H83" s="7">
        <v>45897.51185185185</v>
      </c>
      <c r="I83" t="s">
        <v>140</v>
      </c>
      <c r="J83">
        <v>50351</v>
      </c>
      <c r="K83">
        <v>1</v>
      </c>
      <c r="L83" s="7">
        <v>45890.604861111111</v>
      </c>
      <c r="M83" s="7">
        <v>45897.51185185185</v>
      </c>
      <c r="N83">
        <v>1</v>
      </c>
      <c r="P83">
        <v>5428</v>
      </c>
      <c r="Q83" s="9">
        <v>250015400031</v>
      </c>
      <c r="R83" t="s">
        <v>197</v>
      </c>
      <c r="S83" t="s">
        <v>197</v>
      </c>
      <c r="T83" t="s">
        <v>198</v>
      </c>
      <c r="U83" t="s">
        <v>196</v>
      </c>
      <c r="V83" s="8">
        <v>45889</v>
      </c>
      <c r="W83" s="8">
        <v>45890</v>
      </c>
      <c r="X83">
        <f>Table3[[#This Row],[`date`]]-Table3[[#This Row],[etd]]</f>
        <v>1.6048611111109494</v>
      </c>
    </row>
    <row r="84" spans="1:24" x14ac:dyDescent="0.3">
      <c r="A84">
        <v>83</v>
      </c>
      <c r="B84">
        <v>5436</v>
      </c>
      <c r="C84">
        <v>6427466650</v>
      </c>
      <c r="D84" s="9">
        <v>250015300209</v>
      </c>
      <c r="E84" t="s">
        <v>4</v>
      </c>
      <c r="F84" t="s">
        <v>93</v>
      </c>
      <c r="G84" t="s">
        <v>196</v>
      </c>
      <c r="H84" s="7">
        <v>45897.523993055554</v>
      </c>
      <c r="I84" t="s">
        <v>140</v>
      </c>
      <c r="J84">
        <v>50703</v>
      </c>
      <c r="K84">
        <v>1</v>
      </c>
      <c r="L84" s="7">
        <v>45890.604861111111</v>
      </c>
      <c r="M84" s="7">
        <v>45897.523993055554</v>
      </c>
      <c r="N84">
        <v>1</v>
      </c>
      <c r="P84">
        <v>5436</v>
      </c>
      <c r="Q84" s="9">
        <v>250015300209</v>
      </c>
      <c r="R84" t="s">
        <v>199</v>
      </c>
      <c r="S84" t="s">
        <v>199</v>
      </c>
      <c r="T84" t="s">
        <v>200</v>
      </c>
      <c r="U84" t="s">
        <v>196</v>
      </c>
      <c r="V84" s="8">
        <v>45889</v>
      </c>
      <c r="W84" s="8">
        <v>45890</v>
      </c>
      <c r="X84">
        <f>Table3[[#This Row],[`date`]]-Table3[[#This Row],[etd]]</f>
        <v>1.6048611111109494</v>
      </c>
    </row>
    <row r="85" spans="1:24" x14ac:dyDescent="0.3">
      <c r="A85">
        <v>84</v>
      </c>
      <c r="B85">
        <v>5850</v>
      </c>
      <c r="C85" t="s">
        <v>102</v>
      </c>
      <c r="D85" s="9">
        <v>250011000030</v>
      </c>
      <c r="E85" t="s">
        <v>4</v>
      </c>
      <c r="F85" t="s">
        <v>41</v>
      </c>
      <c r="G85" t="s">
        <v>139</v>
      </c>
      <c r="H85" s="7">
        <v>45902.00922453704</v>
      </c>
      <c r="I85" t="s">
        <v>140</v>
      </c>
      <c r="J85">
        <v>62648</v>
      </c>
      <c r="K85">
        <v>1</v>
      </c>
      <c r="L85" s="7">
        <v>45892</v>
      </c>
      <c r="M85" s="7">
        <v>45902.00922453704</v>
      </c>
      <c r="N85">
        <v>1</v>
      </c>
      <c r="P85">
        <v>5850</v>
      </c>
      <c r="Q85" s="9">
        <v>250011000030</v>
      </c>
      <c r="R85" t="s">
        <v>201</v>
      </c>
      <c r="S85" t="s">
        <v>201</v>
      </c>
      <c r="T85" t="s">
        <v>102</v>
      </c>
      <c r="U85" t="s">
        <v>142</v>
      </c>
      <c r="V85" s="8">
        <v>45890</v>
      </c>
      <c r="W85" s="8">
        <v>45892</v>
      </c>
      <c r="X85">
        <f>Table3[[#This Row],[`date`]]-Table3[[#This Row],[etd]]</f>
        <v>2</v>
      </c>
    </row>
    <row r="86" spans="1:24" x14ac:dyDescent="0.3">
      <c r="A86">
        <v>85</v>
      </c>
      <c r="B86">
        <v>5851</v>
      </c>
      <c r="C86" t="s">
        <v>102</v>
      </c>
      <c r="D86" s="9">
        <v>250011000028</v>
      </c>
      <c r="E86" t="s">
        <v>4</v>
      </c>
      <c r="F86" t="s">
        <v>41</v>
      </c>
      <c r="G86" t="s">
        <v>139</v>
      </c>
      <c r="H86" s="7">
        <v>45902.00922453704</v>
      </c>
      <c r="I86" t="s">
        <v>140</v>
      </c>
      <c r="J86">
        <v>62654</v>
      </c>
      <c r="K86">
        <v>1</v>
      </c>
      <c r="L86" s="7">
        <v>45892</v>
      </c>
      <c r="M86" s="7">
        <v>45902.00922453704</v>
      </c>
      <c r="N86">
        <v>1</v>
      </c>
      <c r="P86">
        <v>5851</v>
      </c>
      <c r="Q86" s="9">
        <v>250011000028</v>
      </c>
      <c r="R86" t="s">
        <v>202</v>
      </c>
      <c r="S86" t="s">
        <v>202</v>
      </c>
      <c r="T86" t="s">
        <v>203</v>
      </c>
      <c r="U86" t="s">
        <v>204</v>
      </c>
      <c r="V86" s="8">
        <v>45872</v>
      </c>
      <c r="W86" s="8">
        <v>45892</v>
      </c>
      <c r="X86">
        <f>Table3[[#This Row],[`date`]]-Table3[[#This Row],[etd]]</f>
        <v>20</v>
      </c>
    </row>
    <row r="87" spans="1:24" x14ac:dyDescent="0.3">
      <c r="A87">
        <v>86</v>
      </c>
      <c r="B87">
        <v>6016</v>
      </c>
      <c r="C87" t="s">
        <v>104</v>
      </c>
      <c r="D87" s="9">
        <v>250028100052</v>
      </c>
      <c r="E87" t="s">
        <v>4</v>
      </c>
      <c r="F87" t="s">
        <v>41</v>
      </c>
      <c r="G87" t="s">
        <v>139</v>
      </c>
      <c r="H87" s="7">
        <v>45899.503692129627</v>
      </c>
      <c r="I87" t="s">
        <v>140</v>
      </c>
      <c r="J87">
        <v>66070</v>
      </c>
      <c r="K87">
        <v>1</v>
      </c>
      <c r="L87" s="7">
        <v>45892</v>
      </c>
      <c r="M87" s="7">
        <v>45899.503692129627</v>
      </c>
      <c r="N87">
        <v>1</v>
      </c>
      <c r="P87">
        <v>6016</v>
      </c>
      <c r="Q87" s="9">
        <v>250028100052</v>
      </c>
      <c r="R87" t="s">
        <v>205</v>
      </c>
      <c r="S87" t="s">
        <v>205</v>
      </c>
      <c r="T87" t="s">
        <v>104</v>
      </c>
      <c r="U87" t="s">
        <v>142</v>
      </c>
      <c r="V87" s="8">
        <v>45889</v>
      </c>
      <c r="W87" s="8">
        <v>45898</v>
      </c>
      <c r="X87">
        <f>Table3[[#This Row],[`date`]]-Table3[[#This Row],[etd]]</f>
        <v>3</v>
      </c>
    </row>
    <row r="88" spans="1:24" x14ac:dyDescent="0.3">
      <c r="A88">
        <v>87</v>
      </c>
      <c r="B88">
        <v>6017</v>
      </c>
      <c r="C88" t="s">
        <v>104</v>
      </c>
      <c r="D88" s="9">
        <v>250028100048</v>
      </c>
      <c r="E88" t="s">
        <v>4</v>
      </c>
      <c r="F88" t="s">
        <v>41</v>
      </c>
      <c r="G88" t="s">
        <v>139</v>
      </c>
      <c r="H88" s="7">
        <v>45899.503692129627</v>
      </c>
      <c r="I88" t="s">
        <v>140</v>
      </c>
      <c r="J88">
        <v>66072</v>
      </c>
      <c r="K88">
        <v>1</v>
      </c>
      <c r="L88" s="7">
        <v>45892</v>
      </c>
      <c r="M88" s="7">
        <v>45899.503692129627</v>
      </c>
      <c r="N88">
        <v>1</v>
      </c>
      <c r="P88">
        <v>6017</v>
      </c>
      <c r="Q88" s="9">
        <v>250028100048</v>
      </c>
      <c r="R88" t="s">
        <v>205</v>
      </c>
      <c r="S88" t="s">
        <v>205</v>
      </c>
      <c r="T88" t="s">
        <v>104</v>
      </c>
      <c r="U88" t="s">
        <v>142</v>
      </c>
      <c r="V88" s="8">
        <v>45889</v>
      </c>
      <c r="W88" s="8">
        <v>45892</v>
      </c>
      <c r="X88">
        <f>Table3[[#This Row],[`date`]]-Table3[[#This Row],[etd]]</f>
        <v>3</v>
      </c>
    </row>
    <row r="89" spans="1:24" x14ac:dyDescent="0.3">
      <c r="A89">
        <v>88</v>
      </c>
      <c r="B89">
        <v>6029</v>
      </c>
      <c r="C89" t="s">
        <v>105</v>
      </c>
      <c r="D89" s="9">
        <v>250028100054</v>
      </c>
      <c r="E89" t="s">
        <v>4</v>
      </c>
      <c r="F89" t="s">
        <v>41</v>
      </c>
      <c r="G89" t="s">
        <v>139</v>
      </c>
      <c r="H89" s="7">
        <v>45899.516851851855</v>
      </c>
      <c r="I89" t="s">
        <v>140</v>
      </c>
      <c r="J89">
        <v>66291</v>
      </c>
      <c r="K89">
        <v>1</v>
      </c>
      <c r="L89" s="7">
        <v>45892</v>
      </c>
      <c r="M89" s="7">
        <v>45899.516851851855</v>
      </c>
      <c r="N89">
        <v>1</v>
      </c>
      <c r="P89">
        <v>6029</v>
      </c>
      <c r="Q89" s="9">
        <v>250028100054</v>
      </c>
      <c r="R89" t="s">
        <v>219</v>
      </c>
      <c r="S89" t="s">
        <v>219</v>
      </c>
      <c r="T89" t="s">
        <v>105</v>
      </c>
      <c r="U89" t="s">
        <v>142</v>
      </c>
      <c r="V89" s="8">
        <v>45889</v>
      </c>
      <c r="W89" s="8">
        <v>45898</v>
      </c>
      <c r="X89">
        <f>Table3[[#This Row],[`date`]]-Table3[[#This Row],[etd]]</f>
        <v>3</v>
      </c>
    </row>
    <row r="90" spans="1:24" x14ac:dyDescent="0.3">
      <c r="A90">
        <v>89</v>
      </c>
      <c r="B90">
        <v>6034</v>
      </c>
      <c r="C90" t="s">
        <v>107</v>
      </c>
      <c r="D90" s="9">
        <v>250028100054</v>
      </c>
      <c r="E90" t="s">
        <v>4</v>
      </c>
      <c r="F90" t="s">
        <v>41</v>
      </c>
      <c r="G90" t="s">
        <v>139</v>
      </c>
      <c r="H90" s="7">
        <v>45899.524328703701</v>
      </c>
      <c r="I90" t="s">
        <v>140</v>
      </c>
      <c r="J90">
        <v>66495</v>
      </c>
      <c r="K90">
        <v>1</v>
      </c>
      <c r="L90" s="7">
        <v>45892</v>
      </c>
      <c r="M90" s="7">
        <v>45899.524328703701</v>
      </c>
      <c r="N90">
        <v>1</v>
      </c>
      <c r="P90">
        <v>6034</v>
      </c>
      <c r="Q90" s="9">
        <v>250028100054</v>
      </c>
      <c r="R90" t="s">
        <v>219</v>
      </c>
      <c r="S90" t="s">
        <v>219</v>
      </c>
      <c r="T90" t="s">
        <v>105</v>
      </c>
      <c r="U90" t="s">
        <v>142</v>
      </c>
      <c r="V90" s="8">
        <v>45889</v>
      </c>
      <c r="W90" s="8">
        <v>45898</v>
      </c>
      <c r="X90">
        <f>Table3[[#This Row],[`date`]]-Table3[[#This Row],[etd]]</f>
        <v>3</v>
      </c>
    </row>
    <row r="91" spans="1:24" x14ac:dyDescent="0.3">
      <c r="A91">
        <v>90</v>
      </c>
      <c r="B91">
        <v>5417</v>
      </c>
      <c r="C91">
        <v>6427449500</v>
      </c>
      <c r="D91" s="9">
        <v>250015300210</v>
      </c>
      <c r="E91" t="s">
        <v>4</v>
      </c>
      <c r="F91" t="s">
        <v>93</v>
      </c>
      <c r="G91" t="s">
        <v>196</v>
      </c>
      <c r="H91" s="7">
        <v>45897.50509259259</v>
      </c>
      <c r="I91" t="s">
        <v>140</v>
      </c>
      <c r="J91">
        <v>50218</v>
      </c>
      <c r="K91">
        <v>1</v>
      </c>
      <c r="L91" s="7">
        <v>45893.634722222225</v>
      </c>
      <c r="M91" s="7">
        <v>45897.50509259259</v>
      </c>
      <c r="N91">
        <v>1</v>
      </c>
      <c r="P91">
        <v>5417</v>
      </c>
      <c r="Q91" s="9">
        <v>250015300210</v>
      </c>
      <c r="R91" t="s">
        <v>206</v>
      </c>
      <c r="S91" t="s">
        <v>206</v>
      </c>
      <c r="T91" t="s">
        <v>207</v>
      </c>
      <c r="U91" t="s">
        <v>196</v>
      </c>
      <c r="V91" s="8">
        <v>45893</v>
      </c>
      <c r="W91" s="8">
        <v>45893</v>
      </c>
      <c r="X91">
        <f>Table3[[#This Row],[`date`]]-Table3[[#This Row],[etd]]</f>
        <v>0.63472222222480923</v>
      </c>
    </row>
    <row r="92" spans="1:24" x14ac:dyDescent="0.3">
      <c r="A92">
        <v>91</v>
      </c>
      <c r="B92">
        <v>5570</v>
      </c>
      <c r="C92">
        <v>6427086280</v>
      </c>
      <c r="D92" s="9">
        <v>250018700030</v>
      </c>
      <c r="E92" t="s">
        <v>4</v>
      </c>
      <c r="F92" t="s">
        <v>93</v>
      </c>
      <c r="G92" t="s">
        <v>196</v>
      </c>
      <c r="H92" s="7">
        <v>45899.509780092594</v>
      </c>
      <c r="I92" t="s">
        <v>140</v>
      </c>
      <c r="J92">
        <v>54908</v>
      </c>
      <c r="K92">
        <v>1</v>
      </c>
      <c r="L92" s="7">
        <v>45893.736111111109</v>
      </c>
      <c r="M92" s="7">
        <v>45899.509780092594</v>
      </c>
      <c r="N92">
        <v>1</v>
      </c>
      <c r="P92">
        <v>5570</v>
      </c>
      <c r="Q92" s="9">
        <v>250018700030</v>
      </c>
      <c r="R92" t="s">
        <v>208</v>
      </c>
      <c r="S92" t="s">
        <v>208</v>
      </c>
      <c r="T92" t="s">
        <v>209</v>
      </c>
      <c r="U92" t="s">
        <v>196</v>
      </c>
      <c r="V92" s="8">
        <v>45893</v>
      </c>
      <c r="W92" s="8">
        <v>45893</v>
      </c>
      <c r="X92">
        <f>Table3[[#This Row],[`date`]]-Table3[[#This Row],[etd]]</f>
        <v>0.73611111110949423</v>
      </c>
    </row>
    <row r="93" spans="1:24" x14ac:dyDescent="0.3">
      <c r="A93">
        <v>92</v>
      </c>
      <c r="B93">
        <v>5573</v>
      </c>
      <c r="C93">
        <v>6427086340</v>
      </c>
      <c r="D93" s="9">
        <v>250018700031</v>
      </c>
      <c r="E93" t="s">
        <v>4</v>
      </c>
      <c r="F93" t="s">
        <v>93</v>
      </c>
      <c r="G93" t="s">
        <v>196</v>
      </c>
      <c r="H93" s="7">
        <v>45899.519166666665</v>
      </c>
      <c r="I93" t="s">
        <v>140</v>
      </c>
      <c r="J93">
        <v>55065</v>
      </c>
      <c r="K93">
        <v>1</v>
      </c>
      <c r="L93" s="7">
        <v>45893.736111111109</v>
      </c>
      <c r="M93" s="7">
        <v>45899.519166666665</v>
      </c>
      <c r="N93">
        <v>1</v>
      </c>
      <c r="P93">
        <v>5573</v>
      </c>
      <c r="Q93" s="9">
        <v>250018700031</v>
      </c>
      <c r="R93" t="s">
        <v>210</v>
      </c>
      <c r="S93" t="s">
        <v>210</v>
      </c>
      <c r="T93" t="s">
        <v>211</v>
      </c>
      <c r="U93" t="s">
        <v>196</v>
      </c>
      <c r="V93" s="8">
        <v>45893</v>
      </c>
      <c r="W93" s="8">
        <v>45893</v>
      </c>
      <c r="X93">
        <f>Table3[[#This Row],[`date`]]-Table3[[#This Row],[etd]]</f>
        <v>0.73611111110949423</v>
      </c>
    </row>
    <row r="94" spans="1:24" x14ac:dyDescent="0.3">
      <c r="A94">
        <v>93</v>
      </c>
      <c r="B94">
        <v>5576</v>
      </c>
      <c r="C94">
        <v>6427086360</v>
      </c>
      <c r="D94" s="9">
        <v>250018700032</v>
      </c>
      <c r="E94" t="s">
        <v>4</v>
      </c>
      <c r="F94" t="s">
        <v>93</v>
      </c>
      <c r="G94" t="s">
        <v>196</v>
      </c>
      <c r="H94" s="7">
        <v>45899.524317129632</v>
      </c>
      <c r="I94" t="s">
        <v>140</v>
      </c>
      <c r="J94">
        <v>55173</v>
      </c>
      <c r="K94">
        <v>1</v>
      </c>
      <c r="L94" s="7">
        <v>45893.736111111109</v>
      </c>
      <c r="M94" s="7">
        <v>45899.524317129632</v>
      </c>
      <c r="N94">
        <v>1</v>
      </c>
      <c r="P94">
        <v>5576</v>
      </c>
      <c r="Q94" s="9">
        <v>250018700032</v>
      </c>
      <c r="R94" t="s">
        <v>212</v>
      </c>
      <c r="S94" t="s">
        <v>212</v>
      </c>
      <c r="T94" t="s">
        <v>213</v>
      </c>
      <c r="U94" t="s">
        <v>196</v>
      </c>
      <c r="V94" s="8">
        <v>45893</v>
      </c>
      <c r="W94" s="8">
        <v>45893</v>
      </c>
      <c r="X94">
        <f>Table3[[#This Row],[`date`]]-Table3[[#This Row],[etd]]</f>
        <v>0.73611111110949423</v>
      </c>
    </row>
    <row r="95" spans="1:24" x14ac:dyDescent="0.3">
      <c r="A95">
        <v>94</v>
      </c>
      <c r="B95">
        <v>5429</v>
      </c>
      <c r="C95">
        <v>6427451640</v>
      </c>
      <c r="D95" s="9">
        <v>250015300218</v>
      </c>
      <c r="E95" t="s">
        <v>4</v>
      </c>
      <c r="F95" t="s">
        <v>93</v>
      </c>
      <c r="G95" t="s">
        <v>196</v>
      </c>
      <c r="H95" s="7">
        <v>45897.511863425927</v>
      </c>
      <c r="I95" t="s">
        <v>140</v>
      </c>
      <c r="J95">
        <v>50362</v>
      </c>
      <c r="K95">
        <v>1</v>
      </c>
      <c r="L95" s="7">
        <v>45895.09375</v>
      </c>
      <c r="M95" s="7">
        <v>45897.511863425927</v>
      </c>
      <c r="N95">
        <v>1</v>
      </c>
      <c r="P95">
        <v>5429</v>
      </c>
      <c r="Q95" s="9">
        <v>250015300218</v>
      </c>
      <c r="R95" t="s">
        <v>214</v>
      </c>
      <c r="S95" t="s">
        <v>214</v>
      </c>
      <c r="T95" t="s">
        <v>215</v>
      </c>
      <c r="U95" t="s">
        <v>196</v>
      </c>
      <c r="V95" s="8">
        <v>45893</v>
      </c>
      <c r="W95" s="8">
        <v>45895</v>
      </c>
      <c r="X95">
        <f>Table3[[#This Row],[`date`]]-Table3[[#This Row],[etd]]</f>
        <v>2.09375</v>
      </c>
    </row>
    <row r="96" spans="1:24" x14ac:dyDescent="0.3">
      <c r="A96">
        <v>95</v>
      </c>
      <c r="B96">
        <v>5790</v>
      </c>
      <c r="C96" t="s">
        <v>95</v>
      </c>
      <c r="D96" s="9">
        <v>250057200008</v>
      </c>
      <c r="E96" t="s">
        <v>4</v>
      </c>
      <c r="F96" t="s">
        <v>41</v>
      </c>
      <c r="G96" t="s">
        <v>139</v>
      </c>
      <c r="H96" s="7">
        <v>45896.505671296298</v>
      </c>
      <c r="I96" t="s">
        <v>140</v>
      </c>
      <c r="J96">
        <v>60813</v>
      </c>
      <c r="K96">
        <v>1</v>
      </c>
      <c r="L96" s="7">
        <v>45896</v>
      </c>
      <c r="M96" s="7">
        <v>45896.505671296298</v>
      </c>
      <c r="N96">
        <v>1</v>
      </c>
      <c r="P96">
        <v>5790</v>
      </c>
      <c r="Q96" s="9">
        <v>250057200008</v>
      </c>
      <c r="R96" t="s">
        <v>216</v>
      </c>
      <c r="S96" t="s">
        <v>216</v>
      </c>
      <c r="T96" t="s">
        <v>95</v>
      </c>
      <c r="U96" t="s">
        <v>142</v>
      </c>
      <c r="V96" s="8">
        <v>45894</v>
      </c>
      <c r="W96" s="8">
        <v>45896</v>
      </c>
      <c r="X96">
        <f>Table3[[#This Row],[`date`]]-Table3[[#This Row],[etd]]</f>
        <v>2</v>
      </c>
    </row>
    <row r="97" spans="1:24" x14ac:dyDescent="0.3">
      <c r="A97">
        <v>96</v>
      </c>
      <c r="B97">
        <v>5792</v>
      </c>
      <c r="C97" t="s">
        <v>96</v>
      </c>
      <c r="D97" s="9">
        <v>250054600055</v>
      </c>
      <c r="E97" t="s">
        <v>4</v>
      </c>
      <c r="F97" t="s">
        <v>41</v>
      </c>
      <c r="G97" t="s">
        <v>139</v>
      </c>
      <c r="H97" s="7">
        <v>45896.506678240738</v>
      </c>
      <c r="I97" t="s">
        <v>140</v>
      </c>
      <c r="J97">
        <v>60834</v>
      </c>
      <c r="K97">
        <v>1</v>
      </c>
      <c r="L97" s="7">
        <v>45896</v>
      </c>
      <c r="M97" s="7">
        <v>45896.506678240738</v>
      </c>
      <c r="N97">
        <v>1</v>
      </c>
      <c r="P97">
        <v>5792</v>
      </c>
      <c r="Q97" s="9">
        <v>250054600055</v>
      </c>
      <c r="R97" t="s">
        <v>217</v>
      </c>
      <c r="S97" t="s">
        <v>217</v>
      </c>
      <c r="T97" t="s">
        <v>96</v>
      </c>
      <c r="U97" t="s">
        <v>142</v>
      </c>
      <c r="V97" s="8">
        <v>45894</v>
      </c>
      <c r="W97" s="8">
        <v>45896</v>
      </c>
      <c r="X97">
        <f>Table3[[#This Row],[`date`]]-Table3[[#This Row],[etd]]</f>
        <v>2</v>
      </c>
    </row>
    <row r="98" spans="1:24" x14ac:dyDescent="0.3">
      <c r="A98">
        <v>97</v>
      </c>
      <c r="B98">
        <v>5794</v>
      </c>
      <c r="C98" t="s">
        <v>97</v>
      </c>
      <c r="D98" s="9">
        <v>250028100052</v>
      </c>
      <c r="E98" t="s">
        <v>4</v>
      </c>
      <c r="F98" t="s">
        <v>41</v>
      </c>
      <c r="G98" t="s">
        <v>139</v>
      </c>
      <c r="H98" s="7">
        <v>45896.509074074071</v>
      </c>
      <c r="I98" t="s">
        <v>140</v>
      </c>
      <c r="J98">
        <v>60876</v>
      </c>
      <c r="K98">
        <v>1</v>
      </c>
      <c r="L98" s="7">
        <v>45896</v>
      </c>
      <c r="M98" s="7">
        <v>45896.509074074071</v>
      </c>
      <c r="N98">
        <v>1</v>
      </c>
      <c r="P98">
        <v>5794</v>
      </c>
      <c r="Q98" s="9">
        <v>250028100052</v>
      </c>
      <c r="R98" t="s">
        <v>205</v>
      </c>
      <c r="S98" t="s">
        <v>205</v>
      </c>
      <c r="T98" t="s">
        <v>104</v>
      </c>
      <c r="U98" t="s">
        <v>142</v>
      </c>
      <c r="V98" s="8">
        <v>45889</v>
      </c>
      <c r="W98" s="8">
        <v>45898</v>
      </c>
      <c r="X98">
        <f>Table3[[#This Row],[`date`]]-Table3[[#This Row],[etd]]</f>
        <v>7</v>
      </c>
    </row>
    <row r="99" spans="1:24" x14ac:dyDescent="0.3">
      <c r="A99">
        <v>98</v>
      </c>
      <c r="B99">
        <v>5795</v>
      </c>
      <c r="C99" t="s">
        <v>97</v>
      </c>
      <c r="D99" s="9">
        <v>250028100060</v>
      </c>
      <c r="E99" t="s">
        <v>4</v>
      </c>
      <c r="F99" t="s">
        <v>41</v>
      </c>
      <c r="G99" t="s">
        <v>139</v>
      </c>
      <c r="H99" s="7">
        <v>45896.509074074071</v>
      </c>
      <c r="I99" t="s">
        <v>140</v>
      </c>
      <c r="J99">
        <v>60877</v>
      </c>
      <c r="K99">
        <v>1</v>
      </c>
      <c r="L99" s="7">
        <v>45896</v>
      </c>
      <c r="M99" s="7">
        <v>45896.509074074071</v>
      </c>
      <c r="N99">
        <v>1</v>
      </c>
      <c r="P99">
        <v>5795</v>
      </c>
      <c r="Q99" s="9">
        <v>250028100060</v>
      </c>
      <c r="R99" t="s">
        <v>218</v>
      </c>
      <c r="S99" t="s">
        <v>218</v>
      </c>
      <c r="T99" t="s">
        <v>97</v>
      </c>
      <c r="U99" t="s">
        <v>142</v>
      </c>
      <c r="V99" s="8">
        <v>45894</v>
      </c>
      <c r="W99" s="8">
        <v>45898</v>
      </c>
      <c r="X99">
        <f>Table3[[#This Row],[`date`]]-Table3[[#This Row],[etd]]</f>
        <v>2</v>
      </c>
    </row>
    <row r="100" spans="1:24" x14ac:dyDescent="0.3">
      <c r="A100">
        <v>99</v>
      </c>
      <c r="B100">
        <v>5796</v>
      </c>
      <c r="C100" t="s">
        <v>98</v>
      </c>
      <c r="D100" s="9">
        <v>250028100054</v>
      </c>
      <c r="E100" t="s">
        <v>4</v>
      </c>
      <c r="F100" t="s">
        <v>41</v>
      </c>
      <c r="G100" t="s">
        <v>139</v>
      </c>
      <c r="H100" s="7">
        <v>45896.514224537037</v>
      </c>
      <c r="I100" t="s">
        <v>140</v>
      </c>
      <c r="J100">
        <v>60982</v>
      </c>
      <c r="K100">
        <v>1</v>
      </c>
      <c r="L100" s="7">
        <v>45896</v>
      </c>
      <c r="M100" s="7">
        <v>45896.514224537037</v>
      </c>
      <c r="N100">
        <v>1</v>
      </c>
      <c r="P100">
        <v>5796</v>
      </c>
      <c r="Q100" s="9">
        <v>250028100054</v>
      </c>
      <c r="R100" t="s">
        <v>219</v>
      </c>
      <c r="S100" t="s">
        <v>219</v>
      </c>
      <c r="T100" t="s">
        <v>105</v>
      </c>
      <c r="U100" t="s">
        <v>142</v>
      </c>
      <c r="V100" s="8">
        <v>45889</v>
      </c>
      <c r="W100" s="8">
        <v>45898</v>
      </c>
      <c r="X100">
        <f>Table3[[#This Row],[`date`]]-Table3[[#This Row],[etd]]</f>
        <v>7</v>
      </c>
    </row>
    <row r="101" spans="1:24" x14ac:dyDescent="0.3">
      <c r="A101">
        <v>100</v>
      </c>
      <c r="B101">
        <v>5802</v>
      </c>
      <c r="C101" t="s">
        <v>99</v>
      </c>
      <c r="D101" s="9">
        <v>250057200009</v>
      </c>
      <c r="E101" t="s">
        <v>4</v>
      </c>
      <c r="F101" t="s">
        <v>41</v>
      </c>
      <c r="G101" t="s">
        <v>139</v>
      </c>
      <c r="H101" s="7">
        <v>45896.523020833331</v>
      </c>
      <c r="I101" t="s">
        <v>140</v>
      </c>
      <c r="J101">
        <v>61158</v>
      </c>
      <c r="K101">
        <v>1</v>
      </c>
      <c r="L101" s="7">
        <v>45896</v>
      </c>
      <c r="M101" s="7">
        <v>45896.523020833331</v>
      </c>
      <c r="N101">
        <v>1</v>
      </c>
      <c r="P101">
        <v>5802</v>
      </c>
      <c r="Q101" s="9">
        <v>250057200009</v>
      </c>
      <c r="R101" t="s">
        <v>220</v>
      </c>
      <c r="S101" t="s">
        <v>220</v>
      </c>
      <c r="T101" t="s">
        <v>99</v>
      </c>
      <c r="U101" t="s">
        <v>142</v>
      </c>
      <c r="V101" s="8">
        <v>45892</v>
      </c>
      <c r="W101" s="8">
        <v>45896</v>
      </c>
      <c r="X101">
        <f>Table3[[#This Row],[`date`]]-Table3[[#This Row],[etd]]</f>
        <v>4</v>
      </c>
    </row>
    <row r="102" spans="1:24" x14ac:dyDescent="0.3">
      <c r="A102">
        <v>101</v>
      </c>
      <c r="B102">
        <v>5804</v>
      </c>
      <c r="C102" t="s">
        <v>100</v>
      </c>
      <c r="D102" s="9">
        <v>250028100054</v>
      </c>
      <c r="E102" t="s">
        <v>4</v>
      </c>
      <c r="F102" t="s">
        <v>41</v>
      </c>
      <c r="G102" t="s">
        <v>139</v>
      </c>
      <c r="H102" s="7">
        <v>45896.527465277781</v>
      </c>
      <c r="I102" t="s">
        <v>140</v>
      </c>
      <c r="J102">
        <v>61230</v>
      </c>
      <c r="K102">
        <v>1</v>
      </c>
      <c r="L102" s="7">
        <v>45896</v>
      </c>
      <c r="M102" s="7">
        <v>45896.527465277781</v>
      </c>
      <c r="N102">
        <v>1</v>
      </c>
      <c r="P102">
        <v>5804</v>
      </c>
      <c r="Q102" s="9">
        <v>250028100054</v>
      </c>
      <c r="R102" t="s">
        <v>219</v>
      </c>
      <c r="S102" t="s">
        <v>219</v>
      </c>
      <c r="T102" t="s">
        <v>105</v>
      </c>
      <c r="U102" t="s">
        <v>142</v>
      </c>
      <c r="V102" s="8">
        <v>45889</v>
      </c>
      <c r="W102" s="8">
        <v>45898</v>
      </c>
      <c r="X102">
        <f>Table3[[#This Row],[`date`]]-Table3[[#This Row],[etd]]</f>
        <v>7</v>
      </c>
    </row>
    <row r="103" spans="1:24" x14ac:dyDescent="0.3">
      <c r="A103">
        <v>102</v>
      </c>
      <c r="B103">
        <v>5807</v>
      </c>
      <c r="C103" t="s">
        <v>101</v>
      </c>
      <c r="D103" s="9">
        <v>250053400016</v>
      </c>
      <c r="E103" t="s">
        <v>4</v>
      </c>
      <c r="F103" t="s">
        <v>41</v>
      </c>
      <c r="G103" t="s">
        <v>139</v>
      </c>
      <c r="H103" s="7">
        <v>45896.52747685185</v>
      </c>
      <c r="I103" t="s">
        <v>140</v>
      </c>
      <c r="J103">
        <v>61259</v>
      </c>
      <c r="K103">
        <v>1</v>
      </c>
      <c r="L103" s="7">
        <v>45896</v>
      </c>
      <c r="M103" s="7">
        <v>45896.52747685185</v>
      </c>
      <c r="N103">
        <v>1</v>
      </c>
      <c r="P103">
        <v>5807</v>
      </c>
      <c r="Q103" s="9">
        <v>250053400016</v>
      </c>
      <c r="R103" t="s">
        <v>221</v>
      </c>
      <c r="S103" t="s">
        <v>221</v>
      </c>
      <c r="T103" t="s">
        <v>101</v>
      </c>
      <c r="U103" t="s">
        <v>142</v>
      </c>
      <c r="V103" s="8">
        <v>45894</v>
      </c>
      <c r="W103" s="8">
        <v>45896</v>
      </c>
      <c r="X103">
        <f>Table3[[#This Row],[`date`]]-Table3[[#This Row],[etd]]</f>
        <v>2</v>
      </c>
    </row>
    <row r="104" spans="1:24" x14ac:dyDescent="0.3">
      <c r="A104">
        <v>103</v>
      </c>
      <c r="B104">
        <v>5751</v>
      </c>
      <c r="C104" t="s">
        <v>94</v>
      </c>
      <c r="D104" s="9">
        <v>250019800114</v>
      </c>
      <c r="E104" t="s">
        <v>4</v>
      </c>
      <c r="F104" t="s">
        <v>44</v>
      </c>
      <c r="G104" t="s">
        <v>188</v>
      </c>
      <c r="H104" s="7">
        <v>45896.52484953704</v>
      </c>
      <c r="I104" t="s">
        <v>140</v>
      </c>
      <c r="J104">
        <v>58901</v>
      </c>
      <c r="K104">
        <v>1</v>
      </c>
      <c r="L104" s="7">
        <v>45896.083333333336</v>
      </c>
      <c r="M104" s="7">
        <v>45896.52484953704</v>
      </c>
      <c r="N104">
        <v>1</v>
      </c>
      <c r="P104">
        <v>5751</v>
      </c>
      <c r="Q104" s="9">
        <v>250019800114</v>
      </c>
      <c r="R104" t="s">
        <v>222</v>
      </c>
      <c r="S104" t="s">
        <v>222</v>
      </c>
      <c r="T104" t="s">
        <v>94</v>
      </c>
      <c r="U104" t="s">
        <v>116</v>
      </c>
      <c r="V104" s="8">
        <v>45894</v>
      </c>
      <c r="W104" s="8">
        <v>45896</v>
      </c>
      <c r="X104">
        <f>Table3[[#This Row],[`date`]]-Table3[[#This Row],[etd]]</f>
        <v>2.0833333333357587</v>
      </c>
    </row>
    <row r="105" spans="1:24" x14ac:dyDescent="0.3">
      <c r="A105">
        <v>104</v>
      </c>
      <c r="B105">
        <v>5858</v>
      </c>
      <c r="C105" t="s">
        <v>103</v>
      </c>
      <c r="D105" s="9">
        <v>250054600054</v>
      </c>
      <c r="E105" t="s">
        <v>4</v>
      </c>
      <c r="F105" t="s">
        <v>41</v>
      </c>
      <c r="G105" t="s">
        <v>139</v>
      </c>
      <c r="H105" s="7">
        <v>45897.515416666669</v>
      </c>
      <c r="I105" t="s">
        <v>140</v>
      </c>
      <c r="J105">
        <v>62768</v>
      </c>
      <c r="K105">
        <v>1</v>
      </c>
      <c r="L105" s="7">
        <v>45897</v>
      </c>
      <c r="M105" s="7">
        <v>45897.515416666669</v>
      </c>
      <c r="N105">
        <v>1</v>
      </c>
      <c r="P105">
        <v>5858</v>
      </c>
      <c r="Q105" s="9">
        <v>250054600054</v>
      </c>
      <c r="R105" t="s">
        <v>223</v>
      </c>
      <c r="S105" t="s">
        <v>223</v>
      </c>
      <c r="T105" t="s">
        <v>103</v>
      </c>
      <c r="U105" t="s">
        <v>142</v>
      </c>
      <c r="V105" s="8">
        <v>45892</v>
      </c>
      <c r="W105" s="8">
        <v>45897</v>
      </c>
      <c r="X105">
        <f>Table3[[#This Row],[`date`]]-Table3[[#This Row],[etd]]</f>
        <v>5</v>
      </c>
    </row>
    <row r="106" spans="1:24" x14ac:dyDescent="0.3">
      <c r="A106">
        <v>105</v>
      </c>
      <c r="B106">
        <v>6030</v>
      </c>
      <c r="C106" t="s">
        <v>106</v>
      </c>
      <c r="D106" s="9">
        <v>250028100055</v>
      </c>
      <c r="E106" t="s">
        <v>4</v>
      </c>
      <c r="F106" t="s">
        <v>41</v>
      </c>
      <c r="G106" t="s">
        <v>139</v>
      </c>
      <c r="H106" s="7">
        <v>45899.516863425924</v>
      </c>
      <c r="I106" t="s">
        <v>140</v>
      </c>
      <c r="J106">
        <v>66308</v>
      </c>
      <c r="K106">
        <v>1</v>
      </c>
      <c r="L106" s="7">
        <v>45897</v>
      </c>
      <c r="M106" s="7">
        <v>45899.516863425924</v>
      </c>
      <c r="N106">
        <v>1</v>
      </c>
      <c r="P106">
        <v>6030</v>
      </c>
      <c r="Q106" s="9">
        <v>250028100055</v>
      </c>
      <c r="R106" t="s">
        <v>224</v>
      </c>
      <c r="S106" t="s">
        <v>224</v>
      </c>
      <c r="T106" t="s">
        <v>106</v>
      </c>
      <c r="U106" t="s">
        <v>142</v>
      </c>
      <c r="V106" s="8">
        <v>45894</v>
      </c>
      <c r="W106" s="8">
        <v>45898</v>
      </c>
      <c r="X106">
        <f>Table3[[#This Row],[`date`]]-Table3[[#This Row],[etd]]</f>
        <v>3</v>
      </c>
    </row>
    <row r="107" spans="1:24" x14ac:dyDescent="0.3">
      <c r="A107">
        <v>106</v>
      </c>
      <c r="B107">
        <v>6080</v>
      </c>
      <c r="C107">
        <v>6428219700</v>
      </c>
      <c r="D107" s="9">
        <v>250018700035</v>
      </c>
      <c r="E107" t="s">
        <v>4</v>
      </c>
      <c r="F107" t="s">
        <v>93</v>
      </c>
      <c r="G107" t="s">
        <v>196</v>
      </c>
      <c r="H107" s="7">
        <v>45900.505671296298</v>
      </c>
      <c r="I107" t="s">
        <v>140</v>
      </c>
      <c r="J107">
        <v>67953</v>
      </c>
      <c r="K107">
        <v>1</v>
      </c>
      <c r="L107" s="7">
        <v>45899.583333333336</v>
      </c>
      <c r="M107" s="7">
        <v>45900.505671296298</v>
      </c>
      <c r="N107">
        <v>0</v>
      </c>
      <c r="P107">
        <v>6080</v>
      </c>
      <c r="Q107" s="9">
        <v>250018700035</v>
      </c>
      <c r="R107" t="s">
        <v>225</v>
      </c>
      <c r="S107" t="s">
        <v>225</v>
      </c>
      <c r="T107" t="s">
        <v>226</v>
      </c>
      <c r="U107" t="s">
        <v>196</v>
      </c>
      <c r="V107" s="8">
        <v>45899</v>
      </c>
      <c r="W107" s="8"/>
      <c r="X107">
        <f>Table3[[#This Row],[`date`]]-Table3[[#This Row],[etd]]</f>
        <v>0.58333333333575865</v>
      </c>
    </row>
    <row r="108" spans="1:24" x14ac:dyDescent="0.3">
      <c r="A108">
        <v>107</v>
      </c>
      <c r="B108">
        <v>6088</v>
      </c>
      <c r="C108">
        <v>6428219680</v>
      </c>
      <c r="D108" s="9">
        <v>250018700034</v>
      </c>
      <c r="E108" t="s">
        <v>4</v>
      </c>
      <c r="F108" t="s">
        <v>93</v>
      </c>
      <c r="G108" t="s">
        <v>196</v>
      </c>
      <c r="H108" s="7">
        <v>45900.51363425926</v>
      </c>
      <c r="I108" t="s">
        <v>140</v>
      </c>
      <c r="J108">
        <v>68104</v>
      </c>
      <c r="K108">
        <v>1</v>
      </c>
      <c r="L108" s="7">
        <v>45899.583333333336</v>
      </c>
      <c r="M108" s="7">
        <v>45900.51363425926</v>
      </c>
      <c r="N108">
        <v>0</v>
      </c>
      <c r="P108">
        <v>6088</v>
      </c>
      <c r="Q108" s="9">
        <v>250018700034</v>
      </c>
      <c r="R108" t="s">
        <v>227</v>
      </c>
      <c r="S108" t="s">
        <v>227</v>
      </c>
      <c r="T108" t="s">
        <v>228</v>
      </c>
      <c r="U108" t="s">
        <v>196</v>
      </c>
      <c r="V108" s="8">
        <v>45899</v>
      </c>
      <c r="W108" s="8"/>
      <c r="X108">
        <f>Table3[[#This Row],[`date`]]-Table3[[#This Row],[etd]]</f>
        <v>0.58333333333575865</v>
      </c>
    </row>
    <row r="109" spans="1:24" x14ac:dyDescent="0.3">
      <c r="A109">
        <v>108</v>
      </c>
      <c r="B109">
        <v>6095</v>
      </c>
      <c r="C109">
        <v>6428219740</v>
      </c>
      <c r="D109" s="9">
        <v>250018700033</v>
      </c>
      <c r="E109" t="s">
        <v>4</v>
      </c>
      <c r="F109" t="s">
        <v>93</v>
      </c>
      <c r="G109" t="s">
        <v>196</v>
      </c>
      <c r="H109" s="7">
        <v>45900.522685185184</v>
      </c>
      <c r="I109" t="s">
        <v>140</v>
      </c>
      <c r="J109">
        <v>68304</v>
      </c>
      <c r="K109">
        <v>1</v>
      </c>
      <c r="L109" s="7">
        <v>45899.583333333336</v>
      </c>
      <c r="M109" s="7">
        <v>45900.522685185184</v>
      </c>
      <c r="N109">
        <v>0</v>
      </c>
      <c r="P109">
        <v>6095</v>
      </c>
      <c r="Q109" s="9">
        <v>250018700033</v>
      </c>
      <c r="R109" t="s">
        <v>229</v>
      </c>
      <c r="S109" t="s">
        <v>229</v>
      </c>
      <c r="T109" t="s">
        <v>230</v>
      </c>
      <c r="U109" t="s">
        <v>196</v>
      </c>
      <c r="V109" s="8">
        <v>45899</v>
      </c>
      <c r="W109" s="8"/>
      <c r="X109">
        <f>Table3[[#This Row],[`date`]]-Table3[[#This Row],[etd]]</f>
        <v>0.58333333333575865</v>
      </c>
    </row>
    <row r="110" spans="1:24" x14ac:dyDescent="0.3">
      <c r="A110">
        <v>109</v>
      </c>
      <c r="B110">
        <v>6089</v>
      </c>
      <c r="C110" t="s">
        <v>108</v>
      </c>
      <c r="D110" s="9">
        <v>250017300279</v>
      </c>
      <c r="E110" t="s">
        <v>4</v>
      </c>
      <c r="F110" t="s">
        <v>44</v>
      </c>
      <c r="G110" t="s">
        <v>188</v>
      </c>
      <c r="H110" s="7">
        <v>45902.035011574073</v>
      </c>
      <c r="I110" t="s">
        <v>140</v>
      </c>
      <c r="J110">
        <v>68146</v>
      </c>
      <c r="K110">
        <v>1</v>
      </c>
      <c r="L110" s="7">
        <v>45900.125</v>
      </c>
      <c r="M110" s="7">
        <v>45902.035011574073</v>
      </c>
      <c r="N110">
        <v>1</v>
      </c>
      <c r="P110">
        <v>6089</v>
      </c>
      <c r="Q110" s="9">
        <v>250017300279</v>
      </c>
      <c r="R110" t="s">
        <v>231</v>
      </c>
      <c r="S110" t="s">
        <v>231</v>
      </c>
      <c r="T110" t="s">
        <v>108</v>
      </c>
      <c r="U110" t="s">
        <v>116</v>
      </c>
      <c r="V110" s="8">
        <v>45900</v>
      </c>
      <c r="W110" s="8">
        <v>45900</v>
      </c>
      <c r="X110">
        <f>Table3[[#This Row],[`date`]]-Table3[[#This Row],[etd]]</f>
        <v>0.125</v>
      </c>
    </row>
    <row r="111" spans="1:24" x14ac:dyDescent="0.3">
      <c r="A111">
        <v>110</v>
      </c>
      <c r="B111">
        <v>6090</v>
      </c>
      <c r="C111" t="s">
        <v>108</v>
      </c>
      <c r="D111" s="9">
        <v>250017300221</v>
      </c>
      <c r="E111" t="s">
        <v>4</v>
      </c>
      <c r="F111" t="s">
        <v>44</v>
      </c>
      <c r="G111" t="s">
        <v>188</v>
      </c>
      <c r="H111" s="7">
        <v>45902.03670138889</v>
      </c>
      <c r="I111" t="s">
        <v>140</v>
      </c>
      <c r="J111">
        <v>68149</v>
      </c>
      <c r="K111">
        <v>1</v>
      </c>
      <c r="L111" s="7">
        <v>45900.125</v>
      </c>
      <c r="M111" s="7">
        <v>45902.03670138889</v>
      </c>
      <c r="N111">
        <v>1</v>
      </c>
      <c r="P111">
        <v>6090</v>
      </c>
      <c r="Q111" s="9">
        <v>250017300221</v>
      </c>
      <c r="R111" t="s">
        <v>231</v>
      </c>
      <c r="S111" t="s">
        <v>231</v>
      </c>
      <c r="T111" t="s">
        <v>108</v>
      </c>
      <c r="U111" t="s">
        <v>116</v>
      </c>
      <c r="V111" s="8">
        <v>45900</v>
      </c>
      <c r="W111" s="8">
        <v>45900</v>
      </c>
      <c r="X111">
        <f>Table3[[#This Row],[`date`]]-Table3[[#This Row],[etd]]</f>
        <v>0.125</v>
      </c>
    </row>
    <row r="112" spans="1:24" x14ac:dyDescent="0.3">
      <c r="A112">
        <v>111</v>
      </c>
      <c r="B112">
        <v>6091</v>
      </c>
      <c r="C112" t="s">
        <v>108</v>
      </c>
      <c r="D112" s="9">
        <v>250017300283</v>
      </c>
      <c r="E112" t="s">
        <v>4</v>
      </c>
      <c r="F112" t="s">
        <v>44</v>
      </c>
      <c r="G112" t="s">
        <v>188</v>
      </c>
      <c r="H112" s="7">
        <v>45902.03670138889</v>
      </c>
      <c r="I112" t="s">
        <v>140</v>
      </c>
      <c r="J112">
        <v>68152</v>
      </c>
      <c r="K112">
        <v>1</v>
      </c>
      <c r="L112" s="7">
        <v>45900.125</v>
      </c>
      <c r="M112" s="7">
        <v>45902.03670138889</v>
      </c>
      <c r="N112">
        <v>1</v>
      </c>
      <c r="P112">
        <v>6091</v>
      </c>
      <c r="Q112" s="9">
        <v>250017300283</v>
      </c>
      <c r="R112" t="s">
        <v>231</v>
      </c>
      <c r="S112" t="s">
        <v>231</v>
      </c>
      <c r="T112" t="s">
        <v>108</v>
      </c>
      <c r="U112" t="s">
        <v>116</v>
      </c>
      <c r="V112" s="8">
        <v>45900</v>
      </c>
      <c r="W112" s="8">
        <v>45900</v>
      </c>
      <c r="X112">
        <f>Table3[[#This Row],[`date`]]-Table3[[#This Row],[etd]]</f>
        <v>0.125</v>
      </c>
    </row>
    <row r="113" spans="1:24" x14ac:dyDescent="0.3">
      <c r="A113">
        <v>112</v>
      </c>
      <c r="B113">
        <v>6154</v>
      </c>
      <c r="C113" t="s">
        <v>109</v>
      </c>
      <c r="D113" s="9">
        <v>250016300029</v>
      </c>
      <c r="E113" t="s">
        <v>4</v>
      </c>
      <c r="F113" t="s">
        <v>44</v>
      </c>
      <c r="G113" t="s">
        <v>188</v>
      </c>
      <c r="H113" s="7">
        <v>45901.02920138889</v>
      </c>
      <c r="I113" t="s">
        <v>140</v>
      </c>
      <c r="J113">
        <v>69879</v>
      </c>
      <c r="K113">
        <v>1</v>
      </c>
      <c r="L113" s="7">
        <v>45900.125</v>
      </c>
      <c r="M113" s="7">
        <v>45901.02920138889</v>
      </c>
      <c r="N113">
        <v>1</v>
      </c>
      <c r="P113">
        <v>6154</v>
      </c>
      <c r="Q113" s="9">
        <v>250016300029</v>
      </c>
      <c r="R113" t="s">
        <v>232</v>
      </c>
      <c r="S113" t="s">
        <v>232</v>
      </c>
      <c r="T113" t="s">
        <v>109</v>
      </c>
      <c r="U113" t="s">
        <v>116</v>
      </c>
      <c r="V113" s="8">
        <v>45900</v>
      </c>
      <c r="W113" s="8">
        <v>45900</v>
      </c>
      <c r="X113">
        <f>Table3[[#This Row],[`date`]]-Table3[[#This Row],[etd]]</f>
        <v>0.125</v>
      </c>
    </row>
    <row r="114" spans="1:24" x14ac:dyDescent="0.3">
      <c r="A114">
        <v>113</v>
      </c>
      <c r="B114">
        <v>6142</v>
      </c>
      <c r="C114">
        <v>6428160690</v>
      </c>
      <c r="D114" s="9">
        <v>250015300228</v>
      </c>
      <c r="E114" t="s">
        <v>4</v>
      </c>
      <c r="F114" t="s">
        <v>93</v>
      </c>
      <c r="G114" t="s">
        <v>196</v>
      </c>
      <c r="H114" s="7">
        <v>45901.01630787037</v>
      </c>
      <c r="I114" t="s">
        <v>140</v>
      </c>
      <c r="J114">
        <v>69597</v>
      </c>
      <c r="K114">
        <v>1</v>
      </c>
      <c r="L114" s="7">
        <v>45900.853472222225</v>
      </c>
      <c r="M114" s="7">
        <v>45901.01630787037</v>
      </c>
      <c r="N114">
        <v>1</v>
      </c>
      <c r="P114">
        <v>6142</v>
      </c>
      <c r="Q114" s="9">
        <v>250015300228</v>
      </c>
      <c r="R114" t="s">
        <v>233</v>
      </c>
      <c r="S114" t="s">
        <v>233</v>
      </c>
      <c r="T114" t="s">
        <v>234</v>
      </c>
      <c r="U114" t="s">
        <v>196</v>
      </c>
      <c r="V114" s="8">
        <v>45899</v>
      </c>
      <c r="W114" s="8">
        <v>45900</v>
      </c>
      <c r="X114">
        <f>Table3[[#This Row],[`date`]]-Table3[[#This Row],[etd]]</f>
        <v>1.8534722222248092</v>
      </c>
    </row>
    <row r="115" spans="1:24" x14ac:dyDescent="0.3">
      <c r="A115">
        <v>114</v>
      </c>
      <c r="B115">
        <v>6031</v>
      </c>
      <c r="C115">
        <v>7261952710</v>
      </c>
      <c r="D115" s="9">
        <v>250014500221</v>
      </c>
      <c r="E115" t="s">
        <v>4</v>
      </c>
      <c r="F115" t="s">
        <v>93</v>
      </c>
      <c r="G115" t="s">
        <v>196</v>
      </c>
      <c r="H115" s="7">
        <v>45899.516863425924</v>
      </c>
      <c r="I115" t="s">
        <v>235</v>
      </c>
      <c r="J115">
        <v>66309</v>
      </c>
      <c r="K115">
        <v>1</v>
      </c>
      <c r="L115" s="7">
        <v>45901.666666666664</v>
      </c>
      <c r="M115" s="7">
        <v>45899.516863425924</v>
      </c>
      <c r="N115">
        <v>0</v>
      </c>
      <c r="P115">
        <v>6031</v>
      </c>
      <c r="Q115" s="9">
        <v>250014500221</v>
      </c>
      <c r="R115" t="s">
        <v>236</v>
      </c>
      <c r="S115" t="s">
        <v>236</v>
      </c>
      <c r="T115" t="s">
        <v>237</v>
      </c>
      <c r="U115" t="s">
        <v>196</v>
      </c>
      <c r="V115" s="8">
        <v>45896</v>
      </c>
      <c r="W115" s="17"/>
      <c r="X115" s="17">
        <f>Table3[[#This Row],[`date`]]-Table3[[#This Row],[etd]]</f>
        <v>5.6666666666642413</v>
      </c>
    </row>
    <row r="116" spans="1:24" x14ac:dyDescent="0.3">
      <c r="A116">
        <v>115</v>
      </c>
      <c r="B116">
        <v>6035</v>
      </c>
      <c r="C116">
        <v>7261952750</v>
      </c>
      <c r="D116" s="9">
        <v>250014500222</v>
      </c>
      <c r="E116" t="s">
        <v>4</v>
      </c>
      <c r="F116" t="s">
        <v>93</v>
      </c>
      <c r="G116" t="s">
        <v>196</v>
      </c>
      <c r="H116" s="7">
        <v>45899.525451388887</v>
      </c>
      <c r="I116" t="s">
        <v>235</v>
      </c>
      <c r="J116">
        <v>66514</v>
      </c>
      <c r="K116">
        <v>1</v>
      </c>
      <c r="L116" s="7">
        <v>45901.666666666664</v>
      </c>
      <c r="M116" s="7">
        <v>45899.525451388887</v>
      </c>
      <c r="N116">
        <v>0</v>
      </c>
      <c r="P116">
        <v>6035</v>
      </c>
      <c r="Q116" s="9">
        <v>250014500222</v>
      </c>
      <c r="R116" t="s">
        <v>238</v>
      </c>
      <c r="S116" t="s">
        <v>238</v>
      </c>
      <c r="T116" t="s">
        <v>239</v>
      </c>
      <c r="U116" t="s">
        <v>196</v>
      </c>
      <c r="V116" s="8">
        <v>45897</v>
      </c>
      <c r="W116" s="17"/>
      <c r="X116" s="17">
        <f>Table3[[#This Row],[`date`]]-Table3[[#This Row],[etd]]</f>
        <v>4.6666666666642413</v>
      </c>
    </row>
    <row r="117" spans="1:24" x14ac:dyDescent="0.3">
      <c r="A117">
        <v>116</v>
      </c>
      <c r="B117">
        <v>6145</v>
      </c>
      <c r="C117">
        <v>6427680960</v>
      </c>
      <c r="D117" s="9">
        <v>250015300222</v>
      </c>
      <c r="E117" t="s">
        <v>4</v>
      </c>
      <c r="F117" t="s">
        <v>93</v>
      </c>
      <c r="G117" t="s">
        <v>196</v>
      </c>
      <c r="H117" s="7">
        <v>45901.025000000001</v>
      </c>
      <c r="I117" t="s">
        <v>235</v>
      </c>
      <c r="J117">
        <v>69704</v>
      </c>
      <c r="K117">
        <v>1</v>
      </c>
      <c r="L117" s="7">
        <v>45902.25</v>
      </c>
      <c r="M117" s="7">
        <v>45901.025000000001</v>
      </c>
      <c r="N117">
        <v>0</v>
      </c>
      <c r="P117">
        <v>6145</v>
      </c>
      <c r="Q117" s="9">
        <v>250015300222</v>
      </c>
      <c r="R117" t="s">
        <v>240</v>
      </c>
      <c r="S117" t="s">
        <v>240</v>
      </c>
      <c r="T117" t="s">
        <v>241</v>
      </c>
      <c r="U117" t="s">
        <v>196</v>
      </c>
      <c r="V117" s="8">
        <v>45896</v>
      </c>
      <c r="W117" s="17"/>
      <c r="X117" s="17">
        <f>Table3[[#This Row],[`date`]]-Table3[[#This Row],[etd]]</f>
        <v>6.25</v>
      </c>
    </row>
    <row r="118" spans="1:24" x14ac:dyDescent="0.3">
      <c r="A118">
        <v>117</v>
      </c>
      <c r="B118">
        <v>6148</v>
      </c>
      <c r="C118">
        <v>6428160710</v>
      </c>
      <c r="D118" s="9">
        <v>250015300224</v>
      </c>
      <c r="E118" t="s">
        <v>4</v>
      </c>
      <c r="F118" t="s">
        <v>93</v>
      </c>
      <c r="G118" t="s">
        <v>196</v>
      </c>
      <c r="H118" s="7">
        <v>45901.026250000003</v>
      </c>
      <c r="I118" t="s">
        <v>235</v>
      </c>
      <c r="J118">
        <v>69773</v>
      </c>
      <c r="K118">
        <v>1</v>
      </c>
      <c r="L118" s="7">
        <v>45902.25</v>
      </c>
      <c r="M118" s="7">
        <v>45901.026250000003</v>
      </c>
      <c r="N118">
        <v>0</v>
      </c>
      <c r="P118">
        <v>6148</v>
      </c>
      <c r="Q118" s="9">
        <v>250015300224</v>
      </c>
      <c r="R118" t="s">
        <v>242</v>
      </c>
      <c r="S118" t="s">
        <v>242</v>
      </c>
      <c r="T118" t="s">
        <v>243</v>
      </c>
      <c r="U118" t="s">
        <v>196</v>
      </c>
      <c r="V118" s="8">
        <v>45896</v>
      </c>
      <c r="W118" s="17"/>
      <c r="X118" s="17">
        <f>Table3[[#This Row],[`date`]]-Table3[[#This Row],[etd]]</f>
        <v>6.25</v>
      </c>
    </row>
    <row r="119" spans="1:24" x14ac:dyDescent="0.3">
      <c r="A119">
        <v>118</v>
      </c>
      <c r="B119">
        <v>6150</v>
      </c>
      <c r="C119">
        <v>6427961220</v>
      </c>
      <c r="D119" s="9">
        <v>250015300223</v>
      </c>
      <c r="E119" t="s">
        <v>4</v>
      </c>
      <c r="F119" t="s">
        <v>93</v>
      </c>
      <c r="G119" t="s">
        <v>196</v>
      </c>
      <c r="H119" s="7">
        <v>45901.027268518519</v>
      </c>
      <c r="I119" t="s">
        <v>235</v>
      </c>
      <c r="J119">
        <v>69825</v>
      </c>
      <c r="K119">
        <v>1</v>
      </c>
      <c r="L119" s="7">
        <v>45902.25</v>
      </c>
      <c r="M119" s="7">
        <v>45901.027268518519</v>
      </c>
      <c r="N119">
        <v>0</v>
      </c>
      <c r="P119">
        <v>6150</v>
      </c>
      <c r="Q119" s="9">
        <v>250015300223</v>
      </c>
      <c r="R119" t="s">
        <v>244</v>
      </c>
      <c r="S119" t="s">
        <v>244</v>
      </c>
      <c r="T119" t="s">
        <v>245</v>
      </c>
      <c r="U119" t="s">
        <v>196</v>
      </c>
      <c r="V119" s="8">
        <v>45896</v>
      </c>
      <c r="W119" s="17"/>
      <c r="X119" s="17">
        <f>Table3[[#This Row],[`date`]]-Table3[[#This Row],[etd]]</f>
        <v>6.25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&lt;2025</vt:lpstr>
      <vt:lpstr>&gt;2025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bina2.09@outlook.com</dc:creator>
  <cp:lastModifiedBy>bina2.09@outlook.com</cp:lastModifiedBy>
  <dcterms:created xsi:type="dcterms:W3CDTF">2025-09-15T09:29:34Z</dcterms:created>
  <dcterms:modified xsi:type="dcterms:W3CDTF">2025-09-15T10:26:37Z</dcterms:modified>
</cp:coreProperties>
</file>