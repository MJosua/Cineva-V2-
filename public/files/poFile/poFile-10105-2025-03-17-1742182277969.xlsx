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st\Desktop\"/>
    </mc:Choice>
  </mc:AlternateContent>
  <xr:revisionPtr revIDLastSave="0" documentId="13_ncr:1_{CB8A2EC6-9BD8-4EB8-9A74-6341CD291A39}" xr6:coauthVersionLast="47" xr6:coauthVersionMax="47" xr10:uidLastSave="{00000000-0000-0000-0000-000000000000}"/>
  <bookViews>
    <workbookView xWindow="-120" yWindow="-120" windowWidth="24240" windowHeight="13020" activeTab="3" xr2:uid="{96B7868A-900B-4AB1-ACD8-F11DD4E0A1A4}"/>
  </bookViews>
  <sheets>
    <sheet name="Flow" sheetId="1" r:id="rId1"/>
    <sheet name="KS Country" sheetId="2" r:id="rId2"/>
    <sheet name="Daftar CA" sheetId="3" r:id="rId3"/>
    <sheet name="EB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4" l="1"/>
  <c r="D7" i="4"/>
  <c r="D6" i="4"/>
</calcChain>
</file>

<file path=xl/sharedStrings.xml><?xml version="1.0" encoding="utf-8"?>
<sst xmlns="http://schemas.openxmlformats.org/spreadsheetml/2006/main" count="333" uniqueCount="140">
  <si>
    <t>No</t>
  </si>
  <si>
    <t>Masalah</t>
  </si>
  <si>
    <t>Jika saat approval pakai matcode dummy, jika matcode asli sudah keluar harus bagaimana</t>
  </si>
  <si>
    <t xml:space="preserve">RM dan analis country harus bisa lihat setiap tahapan pricing sudah sampai TTD di mana biar tidak perlu tanya </t>
  </si>
  <si>
    <t>Jika di no 5 Bu Elly tidak setuju proses harus mulai dari awal atau cukup ubah lalu masuk ke Bu Elly lagi buat approval?</t>
  </si>
  <si>
    <t>Kurs</t>
  </si>
  <si>
    <t>share harga ke it</t>
  </si>
  <si>
    <t>Country</t>
  </si>
  <si>
    <t>Cambodia</t>
  </si>
  <si>
    <t>China</t>
  </si>
  <si>
    <t>Australia</t>
  </si>
  <si>
    <t>Croatia</t>
  </si>
  <si>
    <t>Vietnam</t>
  </si>
  <si>
    <t>USA</t>
  </si>
  <si>
    <t>Iraq</t>
  </si>
  <si>
    <t>PNG</t>
  </si>
  <si>
    <t>New Zealand</t>
  </si>
  <si>
    <t>South Africa</t>
  </si>
  <si>
    <t>Canada</t>
  </si>
  <si>
    <t>Malaysia</t>
  </si>
  <si>
    <t>Jordan</t>
  </si>
  <si>
    <t>Taiwan</t>
  </si>
  <si>
    <t>Hong Kong</t>
  </si>
  <si>
    <t>Philippines</t>
  </si>
  <si>
    <t>Saudi Arabia</t>
  </si>
  <si>
    <t>UK</t>
  </si>
  <si>
    <t>Italy</t>
  </si>
  <si>
    <t>Brunei</t>
  </si>
  <si>
    <t>Netherlands</t>
  </si>
  <si>
    <t>UAE</t>
  </si>
  <si>
    <t>Germany</t>
  </si>
  <si>
    <t>East Timor</t>
  </si>
  <si>
    <t>Solomon Islands</t>
  </si>
  <si>
    <t>India</t>
  </si>
  <si>
    <t>Singapore</t>
  </si>
  <si>
    <t>South Korea</t>
  </si>
  <si>
    <t>Nigeria</t>
  </si>
  <si>
    <t>Suriname</t>
  </si>
  <si>
    <t>Japan</t>
  </si>
  <si>
    <t>Malta</t>
  </si>
  <si>
    <t>Spain</t>
  </si>
  <si>
    <t>Thailand</t>
  </si>
  <si>
    <t>Qatar</t>
  </si>
  <si>
    <t>Oman</t>
  </si>
  <si>
    <t>New Caledonia</t>
  </si>
  <si>
    <t>Fiji</t>
  </si>
  <si>
    <t>Tonga</t>
  </si>
  <si>
    <t>Haiti</t>
  </si>
  <si>
    <t>Zimbabwe</t>
  </si>
  <si>
    <t>Mongolia</t>
  </si>
  <si>
    <t>Kenya</t>
  </si>
  <si>
    <t>Kuwait</t>
  </si>
  <si>
    <t>Mauritius</t>
  </si>
  <si>
    <t>Nauru</t>
  </si>
  <si>
    <t>Maldives</t>
  </si>
  <si>
    <t>Namibia</t>
  </si>
  <si>
    <t>Cyprus</t>
  </si>
  <si>
    <t>Hungary</t>
  </si>
  <si>
    <t>Uzbekistan</t>
  </si>
  <si>
    <t>Vanuatu</t>
  </si>
  <si>
    <t>Myanmar</t>
  </si>
  <si>
    <t>Gabon</t>
  </si>
  <si>
    <t>Kosovo</t>
  </si>
  <si>
    <t>Sierra Leone</t>
  </si>
  <si>
    <t>Angola</t>
  </si>
  <si>
    <t>Senegal</t>
  </si>
  <si>
    <t>Mexico</t>
  </si>
  <si>
    <t>France</t>
  </si>
  <si>
    <t>Cook Islands</t>
  </si>
  <si>
    <t>Tahiti</t>
  </si>
  <si>
    <t>Congo</t>
  </si>
  <si>
    <t>Ghana</t>
  </si>
  <si>
    <t>Mozambique</t>
  </si>
  <si>
    <t>Jamaica</t>
  </si>
  <si>
    <t>Liberia</t>
  </si>
  <si>
    <t>Bahrain</t>
  </si>
  <si>
    <t>Peru</t>
  </si>
  <si>
    <t>Togo</t>
  </si>
  <si>
    <t>Norway</t>
  </si>
  <si>
    <t>Somalia</t>
  </si>
  <si>
    <t>Sri Lanka</t>
  </si>
  <si>
    <t>Seychelles</t>
  </si>
  <si>
    <t>Grenada</t>
  </si>
  <si>
    <t>Poland</t>
  </si>
  <si>
    <t>Kiribati</t>
  </si>
  <si>
    <t>American Samoa</t>
  </si>
  <si>
    <t>Malawi</t>
  </si>
  <si>
    <t>Guam</t>
  </si>
  <si>
    <t>Cape Verde</t>
  </si>
  <si>
    <t>Morocco</t>
  </si>
  <si>
    <t>Ivory Coast</t>
  </si>
  <si>
    <t>Comoros</t>
  </si>
  <si>
    <t>Brazil</t>
  </si>
  <si>
    <t>West Bank</t>
  </si>
  <si>
    <t>Mali</t>
  </si>
  <si>
    <t>Greece</t>
  </si>
  <si>
    <t>Cameroon</t>
  </si>
  <si>
    <t>Guinea</t>
  </si>
  <si>
    <t>Reunion Island</t>
  </si>
  <si>
    <t>Sao Tome</t>
  </si>
  <si>
    <t>Mauritania</t>
  </si>
  <si>
    <t>Bhutan</t>
  </si>
  <si>
    <t>Mayotte</t>
  </si>
  <si>
    <t>Benin</t>
  </si>
  <si>
    <t>Guyana</t>
  </si>
  <si>
    <t>Yemen</t>
  </si>
  <si>
    <t>Serbia</t>
  </si>
  <si>
    <t>Gloria</t>
  </si>
  <si>
    <t>PIC CA</t>
  </si>
  <si>
    <t>Region</t>
  </si>
  <si>
    <t>Africa</t>
  </si>
  <si>
    <t>America</t>
  </si>
  <si>
    <t>ANZ</t>
  </si>
  <si>
    <t>ASEAN</t>
  </si>
  <si>
    <t>Europe</t>
  </si>
  <si>
    <t>Indobaltic</t>
  </si>
  <si>
    <t>Middle East</t>
  </si>
  <si>
    <t>North Asia</t>
  </si>
  <si>
    <t>PAC</t>
  </si>
  <si>
    <t>South Central Asia</t>
  </si>
  <si>
    <t>Yuni</t>
  </si>
  <si>
    <t>Dennis</t>
  </si>
  <si>
    <t>Type</t>
  </si>
  <si>
    <t>Margin</t>
  </si>
  <si>
    <t>Local Currency</t>
  </si>
  <si>
    <t>USD Currency</t>
  </si>
  <si>
    <t>CBP/pcs</t>
  </si>
  <si>
    <t>RBP/pcs</t>
  </si>
  <si>
    <t>DBP/pcs</t>
  </si>
  <si>
    <t>CIF/ctn</t>
  </si>
  <si>
    <t>FOB/ctn</t>
  </si>
  <si>
    <t>TP1/ctn</t>
  </si>
  <si>
    <t>TP2/ctn</t>
  </si>
  <si>
    <t>TP3/ctn</t>
  </si>
  <si>
    <t>Incentive/ctn</t>
  </si>
  <si>
    <t>COGS/pcs</t>
  </si>
  <si>
    <t>GP After Freight Cost Profit/Loss/ctn</t>
  </si>
  <si>
    <t>SKU</t>
  </si>
  <si>
    <t>IPKS 4x10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</si>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</sst>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.0_);_(* \(#,##0.0\);_(* &quot;-&quot;??_);_(@_)"/>
  </numFmts>
  <fonts count="4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auto="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1" xfId="0" applyBorder="1"/>
    <xf numFmtId="0" fontId="0" fillId="3" borderId="1" xfId="0" applyFill="1" applyBorder="1"/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2" fillId="4" borderId="5" xfId="0" applyFont="1" applyFill="1" applyBorder="1"/>
    <xf numFmtId="0" fontId="0" fillId="0" borderId="6" xfId="0" applyBorder="1"/>
    <xf numFmtId="0" fontId="2" fillId="4" borderId="7" xfId="0" applyFont="1" applyFill="1" applyBorder="1"/>
    <xf numFmtId="0" fontId="0" fillId="0" borderId="8" xfId="0" applyBorder="1"/>
    <xf numFmtId="0" fontId="0" fillId="0" borderId="9" xfId="0" applyBorder="1"/>
    <xf numFmtId="0" fontId="2" fillId="0" borderId="4" xfId="0" applyFont="1" applyBorder="1"/>
    <xf numFmtId="43" fontId="0" fillId="0" borderId="0" xfId="1" applyFont="1"/>
    <xf numFmtId="0" fontId="0" fillId="0" borderId="11" xfId="0" applyBorder="1"/>
    <xf numFmtId="164" fontId="0" fillId="0" borderId="11" xfId="2" applyNumberFormat="1" applyFont="1" applyBorder="1"/>
    <xf numFmtId="164" fontId="0" fillId="0" borderId="12" xfId="2" applyNumberFormat="1" applyFont="1" applyBorder="1"/>
    <xf numFmtId="0" fontId="0" fillId="0" borderId="14" xfId="0" applyBorder="1"/>
    <xf numFmtId="0" fontId="0" fillId="0" borderId="15" xfId="0" applyBorder="1"/>
    <xf numFmtId="165" fontId="0" fillId="0" borderId="14" xfId="1" applyNumberFormat="1" applyFont="1" applyBorder="1"/>
    <xf numFmtId="43" fontId="0" fillId="0" borderId="14" xfId="1" applyFont="1" applyBorder="1"/>
    <xf numFmtId="43" fontId="0" fillId="0" borderId="15" xfId="1" applyFont="1" applyBorder="1"/>
    <xf numFmtId="0" fontId="2" fillId="0" borderId="10" xfId="0" applyFont="1" applyBorder="1"/>
    <xf numFmtId="43" fontId="2" fillId="0" borderId="10" xfId="1" applyFont="1" applyBorder="1"/>
    <xf numFmtId="0" fontId="2" fillId="0" borderId="13" xfId="0" applyFont="1" applyBorder="1"/>
    <xf numFmtId="0" fontId="0" fillId="0" borderId="14" xfId="0" quotePrefix="1" applyBorder="1"/>
    <xf numFmtId="0" fontId="0" fillId="0" borderId="11" xfId="0" quotePrefix="1" applyBorder="1"/>
    <xf numFmtId="43" fontId="0" fillId="0" borderId="14" xfId="1" quotePrefix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71438</xdr:rowOff>
    </xdr:from>
    <xdr:to>
      <xdr:col>5</xdr:col>
      <xdr:colOff>14287</xdr:colOff>
      <xdr:row>3</xdr:row>
      <xdr:rowOff>38101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AF66D6C-4940-1E46-F434-B57B3A2CEC50}"/>
            </a:ext>
          </a:extLst>
        </xdr:cNvPr>
        <xdr:cNvSpPr txBox="1"/>
      </xdr:nvSpPr>
      <xdr:spPr>
        <a:xfrm>
          <a:off x="28575" y="71438"/>
          <a:ext cx="3224212" cy="5095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Analis</a:t>
          </a:r>
          <a:r>
            <a:rPr lang="en-US" sz="1100" kern="1200" baseline="0"/>
            <a:t> country kasih pricing structure ke cost analyst</a:t>
          </a:r>
          <a:endParaRPr lang="en-US" sz="1100" kern="1200"/>
        </a:p>
      </xdr:txBody>
    </xdr:sp>
    <xdr:clientData/>
  </xdr:twoCellAnchor>
  <xdr:twoCellAnchor>
    <xdr:from>
      <xdr:col>0</xdr:col>
      <xdr:colOff>0</xdr:colOff>
      <xdr:row>6</xdr:row>
      <xdr:rowOff>90488</xdr:rowOff>
    </xdr:from>
    <xdr:to>
      <xdr:col>4</xdr:col>
      <xdr:colOff>633412</xdr:colOff>
      <xdr:row>9</xdr:row>
      <xdr:rowOff>57151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7BD8839-B05B-46B0-8075-AB5A60E7CD4D}"/>
            </a:ext>
          </a:extLst>
        </xdr:cNvPr>
        <xdr:cNvSpPr txBox="1"/>
      </xdr:nvSpPr>
      <xdr:spPr>
        <a:xfrm>
          <a:off x="0" y="1176338"/>
          <a:ext cx="3224212" cy="5095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Cost</a:t>
          </a:r>
          <a:r>
            <a:rPr lang="en-US" sz="1100" kern="1200" baseline="0"/>
            <a:t> analyst cek rumus PS sudah benar atau belum, lalu input data ke excel pricing approval dan TTD</a:t>
          </a:r>
          <a:endParaRPr lang="en-US" sz="1100" kern="1200"/>
        </a:p>
      </xdr:txBody>
    </xdr:sp>
    <xdr:clientData/>
  </xdr:twoCellAnchor>
  <xdr:twoCellAnchor>
    <xdr:from>
      <xdr:col>1</xdr:col>
      <xdr:colOff>566737</xdr:colOff>
      <xdr:row>3</xdr:row>
      <xdr:rowOff>100014</xdr:rowOff>
    </xdr:from>
    <xdr:to>
      <xdr:col>2</xdr:col>
      <xdr:colOff>390525</xdr:colOff>
      <xdr:row>6</xdr:row>
      <xdr:rowOff>19051</xdr:rowOff>
    </xdr:to>
    <xdr:sp macro="" textlink="">
      <xdr:nvSpPr>
        <xdr:cNvPr id="7" name="Arrow: Down 6">
          <a:extLst>
            <a:ext uri="{FF2B5EF4-FFF2-40B4-BE49-F238E27FC236}">
              <a16:creationId xmlns:a16="http://schemas.microsoft.com/office/drawing/2014/main" id="{7F52DAD8-6583-A9A7-228E-56EAE400A08E}"/>
            </a:ext>
          </a:extLst>
        </xdr:cNvPr>
        <xdr:cNvSpPr/>
      </xdr:nvSpPr>
      <xdr:spPr>
        <a:xfrm>
          <a:off x="1214437" y="642939"/>
          <a:ext cx="471488" cy="46196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</xdr:col>
      <xdr:colOff>542925</xdr:colOff>
      <xdr:row>9</xdr:row>
      <xdr:rowOff>123826</xdr:rowOff>
    </xdr:from>
    <xdr:to>
      <xdr:col>2</xdr:col>
      <xdr:colOff>366713</xdr:colOff>
      <xdr:row>12</xdr:row>
      <xdr:rowOff>42863</xdr:rowOff>
    </xdr:to>
    <xdr:sp macro="" textlink="">
      <xdr:nvSpPr>
        <xdr:cNvPr id="8" name="Arrow: Down 7">
          <a:extLst>
            <a:ext uri="{FF2B5EF4-FFF2-40B4-BE49-F238E27FC236}">
              <a16:creationId xmlns:a16="http://schemas.microsoft.com/office/drawing/2014/main" id="{F27124C0-1A1F-4786-B918-887AABDD0AF8}"/>
            </a:ext>
          </a:extLst>
        </xdr:cNvPr>
        <xdr:cNvSpPr/>
      </xdr:nvSpPr>
      <xdr:spPr>
        <a:xfrm>
          <a:off x="1190625" y="1752601"/>
          <a:ext cx="471488" cy="46196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0</xdr:col>
      <xdr:colOff>0</xdr:colOff>
      <xdr:row>12</xdr:row>
      <xdr:rowOff>100013</xdr:rowOff>
    </xdr:from>
    <xdr:to>
      <xdr:col>4</xdr:col>
      <xdr:colOff>633412</xdr:colOff>
      <xdr:row>15</xdr:row>
      <xdr:rowOff>66676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55E6B50-7C9F-45A9-8C80-172267A0D081}"/>
            </a:ext>
          </a:extLst>
        </xdr:cNvPr>
        <xdr:cNvSpPr txBox="1"/>
      </xdr:nvSpPr>
      <xdr:spPr>
        <a:xfrm>
          <a:off x="0" y="2271713"/>
          <a:ext cx="3224212" cy="5095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kern="1200"/>
            <a:t>Minta TTD Bu Irene</a:t>
          </a:r>
        </a:p>
      </xdr:txBody>
    </xdr:sp>
    <xdr:clientData/>
  </xdr:twoCellAnchor>
  <xdr:twoCellAnchor>
    <xdr:from>
      <xdr:col>1</xdr:col>
      <xdr:colOff>523875</xdr:colOff>
      <xdr:row>15</xdr:row>
      <xdr:rowOff>157163</xdr:rowOff>
    </xdr:from>
    <xdr:to>
      <xdr:col>2</xdr:col>
      <xdr:colOff>347663</xdr:colOff>
      <xdr:row>18</xdr:row>
      <xdr:rowOff>76200</xdr:rowOff>
    </xdr:to>
    <xdr:sp macro="" textlink="">
      <xdr:nvSpPr>
        <xdr:cNvPr id="11" name="Arrow: Down 10">
          <a:extLst>
            <a:ext uri="{FF2B5EF4-FFF2-40B4-BE49-F238E27FC236}">
              <a16:creationId xmlns:a16="http://schemas.microsoft.com/office/drawing/2014/main" id="{09808CF2-7C7F-4F19-BBE9-A900D922A2E3}"/>
            </a:ext>
          </a:extLst>
        </xdr:cNvPr>
        <xdr:cNvSpPr/>
      </xdr:nvSpPr>
      <xdr:spPr>
        <a:xfrm>
          <a:off x="1171575" y="2871788"/>
          <a:ext cx="471488" cy="46196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0</xdr:col>
      <xdr:colOff>0</xdr:colOff>
      <xdr:row>19</xdr:row>
      <xdr:rowOff>9525</xdr:rowOff>
    </xdr:from>
    <xdr:to>
      <xdr:col>4</xdr:col>
      <xdr:colOff>633412</xdr:colOff>
      <xdr:row>21</xdr:row>
      <xdr:rowOff>157163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A147BDE-5137-4DF8-B4AE-BF4D60520A2A}"/>
            </a:ext>
          </a:extLst>
        </xdr:cNvPr>
        <xdr:cNvSpPr txBox="1"/>
      </xdr:nvSpPr>
      <xdr:spPr>
        <a:xfrm>
          <a:off x="0" y="3448050"/>
          <a:ext cx="3224212" cy="5095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kern="1200"/>
            <a:t>Minta TTD Pak</a:t>
          </a:r>
          <a:r>
            <a:rPr lang="en-US" sz="1100" kern="1200" baseline="0"/>
            <a:t> Her</a:t>
          </a:r>
          <a:endParaRPr lang="en-US" sz="1100" kern="1200"/>
        </a:p>
      </xdr:txBody>
    </xdr:sp>
    <xdr:clientData/>
  </xdr:twoCellAnchor>
  <xdr:twoCellAnchor>
    <xdr:from>
      <xdr:col>1</xdr:col>
      <xdr:colOff>557212</xdr:colOff>
      <xdr:row>22</xdr:row>
      <xdr:rowOff>42863</xdr:rowOff>
    </xdr:from>
    <xdr:to>
      <xdr:col>2</xdr:col>
      <xdr:colOff>381000</xdr:colOff>
      <xdr:row>24</xdr:row>
      <xdr:rowOff>142875</xdr:rowOff>
    </xdr:to>
    <xdr:sp macro="" textlink="">
      <xdr:nvSpPr>
        <xdr:cNvPr id="13" name="Arrow: Down 12">
          <a:extLst>
            <a:ext uri="{FF2B5EF4-FFF2-40B4-BE49-F238E27FC236}">
              <a16:creationId xmlns:a16="http://schemas.microsoft.com/office/drawing/2014/main" id="{DF8BFDCA-3EC3-49B6-A113-266DD581505A}"/>
            </a:ext>
          </a:extLst>
        </xdr:cNvPr>
        <xdr:cNvSpPr/>
      </xdr:nvSpPr>
      <xdr:spPr>
        <a:xfrm>
          <a:off x="1204912" y="4024313"/>
          <a:ext cx="471488" cy="46196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0</xdr:col>
      <xdr:colOff>0</xdr:colOff>
      <xdr:row>25</xdr:row>
      <xdr:rowOff>66675</xdr:rowOff>
    </xdr:from>
    <xdr:to>
      <xdr:col>4</xdr:col>
      <xdr:colOff>633412</xdr:colOff>
      <xdr:row>28</xdr:row>
      <xdr:rowOff>33338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CA43B91-1BBF-46B5-8F8F-A245EBFE88A6}"/>
            </a:ext>
          </a:extLst>
        </xdr:cNvPr>
        <xdr:cNvSpPr txBox="1"/>
      </xdr:nvSpPr>
      <xdr:spPr>
        <a:xfrm>
          <a:off x="0" y="4591050"/>
          <a:ext cx="3224212" cy="5095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kern="1200"/>
            <a:t>Minta TTD Bu Elly, ada tambahan approval jika negara dihandle Pak Kevin</a:t>
          </a:r>
        </a:p>
      </xdr:txBody>
    </xdr:sp>
    <xdr:clientData/>
  </xdr:twoCellAnchor>
  <xdr:twoCellAnchor>
    <xdr:from>
      <xdr:col>1</xdr:col>
      <xdr:colOff>566737</xdr:colOff>
      <xdr:row>28</xdr:row>
      <xdr:rowOff>138113</xdr:rowOff>
    </xdr:from>
    <xdr:to>
      <xdr:col>2</xdr:col>
      <xdr:colOff>390525</xdr:colOff>
      <xdr:row>31</xdr:row>
      <xdr:rowOff>57150</xdr:rowOff>
    </xdr:to>
    <xdr:sp macro="" textlink="">
      <xdr:nvSpPr>
        <xdr:cNvPr id="16" name="Arrow: Down 15">
          <a:extLst>
            <a:ext uri="{FF2B5EF4-FFF2-40B4-BE49-F238E27FC236}">
              <a16:creationId xmlns:a16="http://schemas.microsoft.com/office/drawing/2014/main" id="{4CB6A9AF-6AD3-48CB-8B39-0DB03095E408}"/>
            </a:ext>
          </a:extLst>
        </xdr:cNvPr>
        <xdr:cNvSpPr/>
      </xdr:nvSpPr>
      <xdr:spPr>
        <a:xfrm>
          <a:off x="1214437" y="5205413"/>
          <a:ext cx="471488" cy="46196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0</xdr:col>
      <xdr:colOff>9525</xdr:colOff>
      <xdr:row>31</xdr:row>
      <xdr:rowOff>142876</xdr:rowOff>
    </xdr:from>
    <xdr:to>
      <xdr:col>4</xdr:col>
      <xdr:colOff>642937</xdr:colOff>
      <xdr:row>34</xdr:row>
      <xdr:rowOff>109539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671C2A9-92A5-4A8D-8EED-D7D336E15D0D}"/>
            </a:ext>
          </a:extLst>
        </xdr:cNvPr>
        <xdr:cNvSpPr txBox="1"/>
      </xdr:nvSpPr>
      <xdr:spPr>
        <a:xfrm>
          <a:off x="9525" y="5753101"/>
          <a:ext cx="3224212" cy="5095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kern="1200"/>
            <a:t>Data diberikan ke akunting dan diinput ke data base price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514349</xdr:colOff>
      <xdr:row>49</xdr:row>
      <xdr:rowOff>104802</xdr:rowOff>
    </xdr:to>
    <xdr:pic>
      <xdr:nvPicPr>
        <xdr:cNvPr id="2" name="ymail_attachmentIdd80f3226-6464-43da-8ab1-6cd2e3bcfb80">
          <a:extLst>
            <a:ext uri="{FF2B5EF4-FFF2-40B4-BE49-F238E27FC236}">
              <a16:creationId xmlns:a16="http://schemas.microsoft.com/office/drawing/2014/main" id="{BC716454-A795-4489-97D3-A800B2DF1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639049" cy="89725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5D8B0-EF7B-458B-9695-A79BA97ED076}">
  <dimension ref="F1:O33"/>
  <sheetViews>
    <sheetView workbookViewId="0">
      <selection activeCell="I15" sqref="I15"/>
    </sheetView>
  </sheetViews>
  <sheetFormatPr defaultRowHeight="15" x14ac:dyDescent="0.25"/>
  <sheetData>
    <row r="1" spans="6:15" ht="15" customHeight="1" x14ac:dyDescent="0.4">
      <c r="F1" s="1"/>
      <c r="G1" s="1"/>
      <c r="H1" s="1"/>
      <c r="I1" s="1"/>
      <c r="J1" s="1"/>
    </row>
    <row r="2" spans="6:15" x14ac:dyDescent="0.25">
      <c r="F2">
        <v>1</v>
      </c>
      <c r="I2" t="s">
        <v>0</v>
      </c>
      <c r="J2" t="s">
        <v>1</v>
      </c>
    </row>
    <row r="3" spans="6:15" x14ac:dyDescent="0.25">
      <c r="I3">
        <v>1</v>
      </c>
      <c r="J3" t="s">
        <v>4</v>
      </c>
    </row>
    <row r="4" spans="6:15" x14ac:dyDescent="0.25">
      <c r="I4" s="2">
        <v>2</v>
      </c>
      <c r="J4" s="2" t="s">
        <v>2</v>
      </c>
      <c r="K4" s="2"/>
      <c r="L4" s="2"/>
      <c r="M4" s="2"/>
      <c r="N4" s="2"/>
      <c r="O4" s="2"/>
    </row>
    <row r="5" spans="6:15" x14ac:dyDescent="0.25">
      <c r="I5">
        <v>3</v>
      </c>
      <c r="J5" t="s">
        <v>3</v>
      </c>
    </row>
    <row r="6" spans="6:15" x14ac:dyDescent="0.25">
      <c r="I6">
        <v>4</v>
      </c>
      <c r="J6" t="s">
        <v>5</v>
      </c>
    </row>
    <row r="8" spans="6:15" x14ac:dyDescent="0.25">
      <c r="F8">
        <v>2</v>
      </c>
    </row>
    <row r="14" spans="6:15" x14ac:dyDescent="0.25">
      <c r="F14">
        <v>3</v>
      </c>
    </row>
    <row r="15" spans="6:15" x14ac:dyDescent="0.25">
      <c r="I15" t="s">
        <v>6</v>
      </c>
    </row>
    <row r="21" spans="6:6" x14ac:dyDescent="0.25">
      <c r="F21">
        <v>4</v>
      </c>
    </row>
    <row r="27" spans="6:6" x14ac:dyDescent="0.25">
      <c r="F27">
        <v>5</v>
      </c>
    </row>
    <row r="33" spans="6:6" x14ac:dyDescent="0.25">
      <c r="F33">
        <v>6</v>
      </c>
    </row>
  </sheetData>
  <pageMargins left="0.7" right="0.7" top="0.75" bottom="0.75" header="0.3" footer="0.3"/>
  <pageSetup paperSize="9" orientation="portrait" verticalDpi="597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B80C1-CE6E-4E31-828D-C289444C0EB1}">
  <dimension ref="A1"/>
  <sheetViews>
    <sheetView zoomScale="229" zoomScaleNormal="229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C7C5-F0AC-46F1-92DB-580E001E1C54}">
  <dimension ref="A1:C100"/>
  <sheetViews>
    <sheetView workbookViewId="0">
      <pane ySplit="1" topLeftCell="A2" activePane="bottomLeft" state="frozen"/>
      <selection pane="bottomLeft" activeCell="C33" sqref="C33"/>
    </sheetView>
  </sheetViews>
  <sheetFormatPr defaultRowHeight="15" x14ac:dyDescent="0.25"/>
  <cols>
    <col min="1" max="2" width="14" bestFit="1" customWidth="1"/>
  </cols>
  <sheetData>
    <row r="1" spans="1:3" x14ac:dyDescent="0.25">
      <c r="A1" s="5" t="s">
        <v>109</v>
      </c>
      <c r="B1" s="6" t="s">
        <v>7</v>
      </c>
      <c r="C1" s="12" t="s">
        <v>108</v>
      </c>
    </row>
    <row r="2" spans="1:3" x14ac:dyDescent="0.25">
      <c r="A2" s="7" t="s">
        <v>110</v>
      </c>
      <c r="B2" s="4" t="s">
        <v>17</v>
      </c>
      <c r="C2" s="8" t="s">
        <v>120</v>
      </c>
    </row>
    <row r="3" spans="1:3" x14ac:dyDescent="0.25">
      <c r="A3" s="7" t="s">
        <v>110</v>
      </c>
      <c r="B3" s="3" t="s">
        <v>36</v>
      </c>
      <c r="C3" s="8" t="s">
        <v>120</v>
      </c>
    </row>
    <row r="4" spans="1:3" x14ac:dyDescent="0.25">
      <c r="A4" s="7" t="s">
        <v>110</v>
      </c>
      <c r="B4" s="3" t="s">
        <v>48</v>
      </c>
      <c r="C4" s="8" t="s">
        <v>120</v>
      </c>
    </row>
    <row r="5" spans="1:3" x14ac:dyDescent="0.25">
      <c r="A5" s="7" t="s">
        <v>110</v>
      </c>
      <c r="B5" s="3" t="s">
        <v>50</v>
      </c>
      <c r="C5" s="8" t="s">
        <v>120</v>
      </c>
    </row>
    <row r="6" spans="1:3" x14ac:dyDescent="0.25">
      <c r="A6" s="7" t="s">
        <v>110</v>
      </c>
      <c r="B6" s="3" t="s">
        <v>52</v>
      </c>
      <c r="C6" s="8" t="s">
        <v>120</v>
      </c>
    </row>
    <row r="7" spans="1:3" x14ac:dyDescent="0.25">
      <c r="A7" s="7" t="s">
        <v>110</v>
      </c>
      <c r="B7" s="3" t="s">
        <v>55</v>
      </c>
      <c r="C7" s="8" t="s">
        <v>120</v>
      </c>
    </row>
    <row r="8" spans="1:3" x14ac:dyDescent="0.25">
      <c r="A8" s="7" t="s">
        <v>110</v>
      </c>
      <c r="B8" s="3" t="s">
        <v>61</v>
      </c>
      <c r="C8" s="8" t="s">
        <v>120</v>
      </c>
    </row>
    <row r="9" spans="1:3" x14ac:dyDescent="0.25">
      <c r="A9" s="7" t="s">
        <v>110</v>
      </c>
      <c r="B9" s="3" t="s">
        <v>63</v>
      </c>
      <c r="C9" s="8" t="s">
        <v>120</v>
      </c>
    </row>
    <row r="10" spans="1:3" x14ac:dyDescent="0.25">
      <c r="A10" s="7" t="s">
        <v>110</v>
      </c>
      <c r="B10" s="3" t="s">
        <v>64</v>
      </c>
      <c r="C10" s="8" t="s">
        <v>120</v>
      </c>
    </row>
    <row r="11" spans="1:3" x14ac:dyDescent="0.25">
      <c r="A11" s="7" t="s">
        <v>110</v>
      </c>
      <c r="B11" s="3" t="s">
        <v>65</v>
      </c>
      <c r="C11" s="8" t="s">
        <v>120</v>
      </c>
    </row>
    <row r="12" spans="1:3" x14ac:dyDescent="0.25">
      <c r="A12" s="7" t="s">
        <v>110</v>
      </c>
      <c r="B12" s="3" t="s">
        <v>70</v>
      </c>
      <c r="C12" s="8" t="s">
        <v>120</v>
      </c>
    </row>
    <row r="13" spans="1:3" x14ac:dyDescent="0.25">
      <c r="A13" s="7" t="s">
        <v>110</v>
      </c>
      <c r="B13" s="3" t="s">
        <v>71</v>
      </c>
      <c r="C13" s="8" t="s">
        <v>120</v>
      </c>
    </row>
    <row r="14" spans="1:3" x14ac:dyDescent="0.25">
      <c r="A14" s="7" t="s">
        <v>110</v>
      </c>
      <c r="B14" s="3" t="s">
        <v>72</v>
      </c>
      <c r="C14" s="8" t="s">
        <v>120</v>
      </c>
    </row>
    <row r="15" spans="1:3" x14ac:dyDescent="0.25">
      <c r="A15" s="7" t="s">
        <v>110</v>
      </c>
      <c r="B15" s="3" t="s">
        <v>74</v>
      </c>
      <c r="C15" s="8" t="s">
        <v>120</v>
      </c>
    </row>
    <row r="16" spans="1:3" x14ac:dyDescent="0.25">
      <c r="A16" s="7" t="s">
        <v>110</v>
      </c>
      <c r="B16" s="3" t="s">
        <v>77</v>
      </c>
      <c r="C16" s="8" t="s">
        <v>120</v>
      </c>
    </row>
    <row r="17" spans="1:3" x14ac:dyDescent="0.25">
      <c r="A17" s="7" t="s">
        <v>110</v>
      </c>
      <c r="B17" s="3" t="s">
        <v>79</v>
      </c>
      <c r="C17" s="8" t="s">
        <v>120</v>
      </c>
    </row>
    <row r="18" spans="1:3" x14ac:dyDescent="0.25">
      <c r="A18" s="7" t="s">
        <v>110</v>
      </c>
      <c r="B18" s="3" t="s">
        <v>81</v>
      </c>
      <c r="C18" s="8" t="s">
        <v>120</v>
      </c>
    </row>
    <row r="19" spans="1:3" x14ac:dyDescent="0.25">
      <c r="A19" s="7" t="s">
        <v>110</v>
      </c>
      <c r="B19" s="3" t="s">
        <v>86</v>
      </c>
      <c r="C19" s="8" t="s">
        <v>120</v>
      </c>
    </row>
    <row r="20" spans="1:3" x14ac:dyDescent="0.25">
      <c r="A20" s="7" t="s">
        <v>110</v>
      </c>
      <c r="B20" s="3" t="s">
        <v>88</v>
      </c>
      <c r="C20" s="8" t="s">
        <v>120</v>
      </c>
    </row>
    <row r="21" spans="1:3" x14ac:dyDescent="0.25">
      <c r="A21" s="7" t="s">
        <v>110</v>
      </c>
      <c r="B21" s="3" t="s">
        <v>89</v>
      </c>
      <c r="C21" s="8" t="s">
        <v>120</v>
      </c>
    </row>
    <row r="22" spans="1:3" x14ac:dyDescent="0.25">
      <c r="A22" s="7" t="s">
        <v>110</v>
      </c>
      <c r="B22" s="3" t="s">
        <v>90</v>
      </c>
      <c r="C22" s="8" t="s">
        <v>120</v>
      </c>
    </row>
    <row r="23" spans="1:3" x14ac:dyDescent="0.25">
      <c r="A23" s="7" t="s">
        <v>110</v>
      </c>
      <c r="B23" s="3" t="s">
        <v>91</v>
      </c>
      <c r="C23" s="8" t="s">
        <v>120</v>
      </c>
    </row>
    <row r="24" spans="1:3" x14ac:dyDescent="0.25">
      <c r="A24" s="7" t="s">
        <v>110</v>
      </c>
      <c r="B24" s="3" t="s">
        <v>94</v>
      </c>
      <c r="C24" s="8" t="s">
        <v>120</v>
      </c>
    </row>
    <row r="25" spans="1:3" x14ac:dyDescent="0.25">
      <c r="A25" s="7" t="s">
        <v>110</v>
      </c>
      <c r="B25" s="3" t="s">
        <v>96</v>
      </c>
      <c r="C25" s="8" t="s">
        <v>120</v>
      </c>
    </row>
    <row r="26" spans="1:3" x14ac:dyDescent="0.25">
      <c r="A26" s="7" t="s">
        <v>110</v>
      </c>
      <c r="B26" s="3" t="s">
        <v>97</v>
      </c>
      <c r="C26" s="8" t="s">
        <v>120</v>
      </c>
    </row>
    <row r="27" spans="1:3" x14ac:dyDescent="0.25">
      <c r="A27" s="7" t="s">
        <v>110</v>
      </c>
      <c r="B27" s="3" t="s">
        <v>98</v>
      </c>
      <c r="C27" s="8" t="s">
        <v>120</v>
      </c>
    </row>
    <row r="28" spans="1:3" x14ac:dyDescent="0.25">
      <c r="A28" s="7" t="s">
        <v>110</v>
      </c>
      <c r="B28" s="3" t="s">
        <v>99</v>
      </c>
      <c r="C28" s="8" t="s">
        <v>120</v>
      </c>
    </row>
    <row r="29" spans="1:3" x14ac:dyDescent="0.25">
      <c r="A29" s="7" t="s">
        <v>110</v>
      </c>
      <c r="B29" s="3" t="s">
        <v>100</v>
      </c>
      <c r="C29" s="8" t="s">
        <v>120</v>
      </c>
    </row>
    <row r="30" spans="1:3" x14ac:dyDescent="0.25">
      <c r="A30" s="7" t="s">
        <v>110</v>
      </c>
      <c r="B30" s="3" t="s">
        <v>102</v>
      </c>
      <c r="C30" s="8" t="s">
        <v>120</v>
      </c>
    </row>
    <row r="31" spans="1:3" x14ac:dyDescent="0.25">
      <c r="A31" s="7" t="s">
        <v>110</v>
      </c>
      <c r="B31" s="3" t="s">
        <v>103</v>
      </c>
      <c r="C31" s="8" t="s">
        <v>120</v>
      </c>
    </row>
    <row r="32" spans="1:3" x14ac:dyDescent="0.25">
      <c r="A32" s="7" t="s">
        <v>111</v>
      </c>
      <c r="B32" s="3" t="s">
        <v>13</v>
      </c>
      <c r="C32" s="8" t="s">
        <v>107</v>
      </c>
    </row>
    <row r="33" spans="1:3" x14ac:dyDescent="0.25">
      <c r="A33" s="7" t="s">
        <v>111</v>
      </c>
      <c r="B33" s="3" t="s">
        <v>18</v>
      </c>
      <c r="C33" s="8" t="s">
        <v>107</v>
      </c>
    </row>
    <row r="34" spans="1:3" x14ac:dyDescent="0.25">
      <c r="A34" s="7" t="s">
        <v>111</v>
      </c>
      <c r="B34" s="3" t="s">
        <v>37</v>
      </c>
      <c r="C34" s="8" t="s">
        <v>120</v>
      </c>
    </row>
    <row r="35" spans="1:3" x14ac:dyDescent="0.25">
      <c r="A35" s="7" t="s">
        <v>111</v>
      </c>
      <c r="B35" s="3" t="s">
        <v>47</v>
      </c>
      <c r="C35" s="8" t="s">
        <v>120</v>
      </c>
    </row>
    <row r="36" spans="1:3" x14ac:dyDescent="0.25">
      <c r="A36" s="7" t="s">
        <v>111</v>
      </c>
      <c r="B36" s="3" t="s">
        <v>66</v>
      </c>
      <c r="C36" s="8" t="s">
        <v>107</v>
      </c>
    </row>
    <row r="37" spans="1:3" x14ac:dyDescent="0.25">
      <c r="A37" s="7" t="s">
        <v>111</v>
      </c>
      <c r="B37" s="3" t="s">
        <v>73</v>
      </c>
      <c r="C37" s="8" t="s">
        <v>120</v>
      </c>
    </row>
    <row r="38" spans="1:3" x14ac:dyDescent="0.25">
      <c r="A38" s="7" t="s">
        <v>111</v>
      </c>
      <c r="B38" s="3" t="s">
        <v>76</v>
      </c>
      <c r="C38" s="8" t="s">
        <v>120</v>
      </c>
    </row>
    <row r="39" spans="1:3" x14ac:dyDescent="0.25">
      <c r="A39" s="7" t="s">
        <v>111</v>
      </c>
      <c r="B39" s="3" t="s">
        <v>82</v>
      </c>
      <c r="C39" s="8" t="s">
        <v>120</v>
      </c>
    </row>
    <row r="40" spans="1:3" x14ac:dyDescent="0.25">
      <c r="A40" s="7" t="s">
        <v>111</v>
      </c>
      <c r="B40" s="3" t="s">
        <v>92</v>
      </c>
      <c r="C40" s="8" t="s">
        <v>120</v>
      </c>
    </row>
    <row r="41" spans="1:3" x14ac:dyDescent="0.25">
      <c r="A41" s="7" t="s">
        <v>111</v>
      </c>
      <c r="B41" s="3" t="s">
        <v>104</v>
      </c>
      <c r="C41" s="8" t="s">
        <v>120</v>
      </c>
    </row>
    <row r="42" spans="1:3" x14ac:dyDescent="0.25">
      <c r="A42" s="7" t="s">
        <v>112</v>
      </c>
      <c r="B42" s="3" t="s">
        <v>10</v>
      </c>
      <c r="C42" s="8" t="s">
        <v>121</v>
      </c>
    </row>
    <row r="43" spans="1:3" x14ac:dyDescent="0.25">
      <c r="A43" s="7" t="s">
        <v>112</v>
      </c>
      <c r="B43" s="3" t="s">
        <v>16</v>
      </c>
      <c r="C43" s="8" t="s">
        <v>121</v>
      </c>
    </row>
    <row r="44" spans="1:3" x14ac:dyDescent="0.25">
      <c r="A44" s="7" t="s">
        <v>113</v>
      </c>
      <c r="B44" s="3" t="s">
        <v>8</v>
      </c>
      <c r="C44" s="8" t="s">
        <v>121</v>
      </c>
    </row>
    <row r="45" spans="1:3" x14ac:dyDescent="0.25">
      <c r="A45" s="7" t="s">
        <v>113</v>
      </c>
      <c r="B45" s="3" t="s">
        <v>12</v>
      </c>
      <c r="C45" s="8" t="s">
        <v>121</v>
      </c>
    </row>
    <row r="46" spans="1:3" x14ac:dyDescent="0.25">
      <c r="A46" s="7" t="s">
        <v>113</v>
      </c>
      <c r="B46" s="3" t="s">
        <v>19</v>
      </c>
      <c r="C46" s="8" t="s">
        <v>121</v>
      </c>
    </row>
    <row r="47" spans="1:3" x14ac:dyDescent="0.25">
      <c r="A47" s="7" t="s">
        <v>113</v>
      </c>
      <c r="B47" s="4" t="s">
        <v>23</v>
      </c>
      <c r="C47" s="8" t="s">
        <v>121</v>
      </c>
    </row>
    <row r="48" spans="1:3" x14ac:dyDescent="0.25">
      <c r="A48" s="7" t="s">
        <v>113</v>
      </c>
      <c r="B48" s="3" t="s">
        <v>27</v>
      </c>
      <c r="C48" s="8" t="s">
        <v>121</v>
      </c>
    </row>
    <row r="49" spans="1:3" x14ac:dyDescent="0.25">
      <c r="A49" s="7" t="s">
        <v>113</v>
      </c>
      <c r="B49" s="3" t="s">
        <v>34</v>
      </c>
      <c r="C49" s="8" t="s">
        <v>121</v>
      </c>
    </row>
    <row r="50" spans="1:3" x14ac:dyDescent="0.25">
      <c r="A50" s="7" t="s">
        <v>113</v>
      </c>
      <c r="B50" s="3" t="s">
        <v>41</v>
      </c>
      <c r="C50" s="8" t="s">
        <v>120</v>
      </c>
    </row>
    <row r="51" spans="1:3" x14ac:dyDescent="0.25">
      <c r="A51" s="7" t="s">
        <v>113</v>
      </c>
      <c r="B51" s="3" t="s">
        <v>60</v>
      </c>
      <c r="C51" s="8" t="s">
        <v>120</v>
      </c>
    </row>
    <row r="52" spans="1:3" x14ac:dyDescent="0.25">
      <c r="A52" s="7" t="s">
        <v>114</v>
      </c>
      <c r="B52" s="4" t="s">
        <v>25</v>
      </c>
      <c r="C52" s="8" t="s">
        <v>120</v>
      </c>
    </row>
    <row r="53" spans="1:3" x14ac:dyDescent="0.25">
      <c r="A53" s="7" t="s">
        <v>114</v>
      </c>
      <c r="B53" s="4" t="s">
        <v>26</v>
      </c>
      <c r="C53" s="8" t="s">
        <v>120</v>
      </c>
    </row>
    <row r="54" spans="1:3" x14ac:dyDescent="0.25">
      <c r="A54" s="7" t="s">
        <v>114</v>
      </c>
      <c r="B54" s="4" t="s">
        <v>28</v>
      </c>
      <c r="C54" s="8" t="s">
        <v>120</v>
      </c>
    </row>
    <row r="55" spans="1:3" x14ac:dyDescent="0.25">
      <c r="A55" s="7" t="s">
        <v>114</v>
      </c>
      <c r="B55" s="4" t="s">
        <v>30</v>
      </c>
      <c r="C55" s="8" t="s">
        <v>120</v>
      </c>
    </row>
    <row r="56" spans="1:3" x14ac:dyDescent="0.25">
      <c r="A56" s="7" t="s">
        <v>114</v>
      </c>
      <c r="B56" s="3" t="s">
        <v>39</v>
      </c>
      <c r="C56" s="8" t="s">
        <v>120</v>
      </c>
    </row>
    <row r="57" spans="1:3" x14ac:dyDescent="0.25">
      <c r="A57" s="7" t="s">
        <v>114</v>
      </c>
      <c r="B57" s="3" t="s">
        <v>40</v>
      </c>
      <c r="C57" s="8" t="s">
        <v>120</v>
      </c>
    </row>
    <row r="58" spans="1:3" x14ac:dyDescent="0.25">
      <c r="A58" s="7" t="s">
        <v>114</v>
      </c>
      <c r="B58" s="3" t="s">
        <v>56</v>
      </c>
      <c r="C58" s="8" t="s">
        <v>120</v>
      </c>
    </row>
    <row r="59" spans="1:3" x14ac:dyDescent="0.25">
      <c r="A59" s="7" t="s">
        <v>114</v>
      </c>
      <c r="B59" s="3" t="s">
        <v>57</v>
      </c>
      <c r="C59" s="8" t="s">
        <v>120</v>
      </c>
    </row>
    <row r="60" spans="1:3" x14ac:dyDescent="0.25">
      <c r="A60" s="7" t="s">
        <v>114</v>
      </c>
      <c r="B60" s="3" t="s">
        <v>62</v>
      </c>
      <c r="C60" s="8" t="s">
        <v>120</v>
      </c>
    </row>
    <row r="61" spans="1:3" x14ac:dyDescent="0.25">
      <c r="A61" s="7" t="s">
        <v>114</v>
      </c>
      <c r="B61" s="3" t="s">
        <v>67</v>
      </c>
      <c r="C61" s="8" t="s">
        <v>120</v>
      </c>
    </row>
    <row r="62" spans="1:3" x14ac:dyDescent="0.25">
      <c r="A62" s="7" t="s">
        <v>114</v>
      </c>
      <c r="B62" s="3" t="s">
        <v>78</v>
      </c>
      <c r="C62" s="8" t="s">
        <v>120</v>
      </c>
    </row>
    <row r="63" spans="1:3" x14ac:dyDescent="0.25">
      <c r="A63" s="7" t="s">
        <v>114</v>
      </c>
      <c r="B63" s="3" t="s">
        <v>83</v>
      </c>
      <c r="C63" s="8" t="s">
        <v>120</v>
      </c>
    </row>
    <row r="64" spans="1:3" x14ac:dyDescent="0.25">
      <c r="A64" s="7" t="s">
        <v>114</v>
      </c>
      <c r="B64" s="3" t="s">
        <v>95</v>
      </c>
      <c r="C64" s="8" t="s">
        <v>120</v>
      </c>
    </row>
    <row r="65" spans="1:3" x14ac:dyDescent="0.25">
      <c r="A65" s="7" t="s">
        <v>114</v>
      </c>
      <c r="B65" s="3" t="s">
        <v>106</v>
      </c>
      <c r="C65" s="8" t="s">
        <v>120</v>
      </c>
    </row>
    <row r="66" spans="1:3" x14ac:dyDescent="0.25">
      <c r="A66" s="7" t="s">
        <v>115</v>
      </c>
      <c r="B66" s="3" t="s">
        <v>11</v>
      </c>
      <c r="C66" s="8" t="s">
        <v>120</v>
      </c>
    </row>
    <row r="67" spans="1:3" x14ac:dyDescent="0.25">
      <c r="A67" s="7" t="s">
        <v>116</v>
      </c>
      <c r="B67" s="3" t="s">
        <v>14</v>
      </c>
      <c r="C67" s="8" t="s">
        <v>120</v>
      </c>
    </row>
    <row r="68" spans="1:3" x14ac:dyDescent="0.25">
      <c r="A68" s="7" t="s">
        <v>116</v>
      </c>
      <c r="B68" s="3" t="s">
        <v>20</v>
      </c>
      <c r="C68" s="8" t="s">
        <v>120</v>
      </c>
    </row>
    <row r="69" spans="1:3" x14ac:dyDescent="0.25">
      <c r="A69" s="7" t="s">
        <v>116</v>
      </c>
      <c r="B69" s="3" t="s">
        <v>24</v>
      </c>
      <c r="C69" s="8" t="s">
        <v>120</v>
      </c>
    </row>
    <row r="70" spans="1:3" x14ac:dyDescent="0.25">
      <c r="A70" s="7" t="s">
        <v>116</v>
      </c>
      <c r="B70" s="3" t="s">
        <v>29</v>
      </c>
      <c r="C70" s="8" t="s">
        <v>120</v>
      </c>
    </row>
    <row r="71" spans="1:3" x14ac:dyDescent="0.25">
      <c r="A71" s="7" t="s">
        <v>116</v>
      </c>
      <c r="B71" s="3" t="s">
        <v>42</v>
      </c>
      <c r="C71" s="8" t="s">
        <v>120</v>
      </c>
    </row>
    <row r="72" spans="1:3" x14ac:dyDescent="0.25">
      <c r="A72" s="7" t="s">
        <v>116</v>
      </c>
      <c r="B72" s="3" t="s">
        <v>43</v>
      </c>
      <c r="C72" s="8" t="s">
        <v>120</v>
      </c>
    </row>
    <row r="73" spans="1:3" x14ac:dyDescent="0.25">
      <c r="A73" s="7" t="s">
        <v>116</v>
      </c>
      <c r="B73" s="3" t="s">
        <v>51</v>
      </c>
      <c r="C73" s="8" t="s">
        <v>120</v>
      </c>
    </row>
    <row r="74" spans="1:3" x14ac:dyDescent="0.25">
      <c r="A74" s="7" t="s">
        <v>116</v>
      </c>
      <c r="B74" s="3" t="s">
        <v>75</v>
      </c>
      <c r="C74" s="8" t="s">
        <v>120</v>
      </c>
    </row>
    <row r="75" spans="1:3" x14ac:dyDescent="0.25">
      <c r="A75" s="7" t="s">
        <v>116</v>
      </c>
      <c r="B75" s="3" t="s">
        <v>93</v>
      </c>
      <c r="C75" s="8" t="s">
        <v>120</v>
      </c>
    </row>
    <row r="76" spans="1:3" x14ac:dyDescent="0.25">
      <c r="A76" s="7" t="s">
        <v>116</v>
      </c>
      <c r="B76" s="3" t="s">
        <v>105</v>
      </c>
      <c r="C76" s="8" t="s">
        <v>120</v>
      </c>
    </row>
    <row r="77" spans="1:3" x14ac:dyDescent="0.25">
      <c r="A77" s="7" t="s">
        <v>117</v>
      </c>
      <c r="B77" s="3" t="s">
        <v>9</v>
      </c>
      <c r="C77" s="8" t="s">
        <v>120</v>
      </c>
    </row>
    <row r="78" spans="1:3" x14ac:dyDescent="0.25">
      <c r="A78" s="7" t="s">
        <v>117</v>
      </c>
      <c r="B78" s="3" t="s">
        <v>21</v>
      </c>
      <c r="C78" s="8" t="s">
        <v>120</v>
      </c>
    </row>
    <row r="79" spans="1:3" x14ac:dyDescent="0.25">
      <c r="A79" s="7" t="s">
        <v>117</v>
      </c>
      <c r="B79" s="3" t="s">
        <v>22</v>
      </c>
      <c r="C79" s="8" t="s">
        <v>120</v>
      </c>
    </row>
    <row r="80" spans="1:3" x14ac:dyDescent="0.25">
      <c r="A80" s="7" t="s">
        <v>117</v>
      </c>
      <c r="B80" s="3" t="s">
        <v>35</v>
      </c>
      <c r="C80" s="8" t="s">
        <v>120</v>
      </c>
    </row>
    <row r="81" spans="1:3" x14ac:dyDescent="0.25">
      <c r="A81" s="7" t="s">
        <v>117</v>
      </c>
      <c r="B81" s="3" t="s">
        <v>38</v>
      </c>
      <c r="C81" s="8" t="s">
        <v>120</v>
      </c>
    </row>
    <row r="82" spans="1:3" x14ac:dyDescent="0.25">
      <c r="A82" s="7" t="s">
        <v>117</v>
      </c>
      <c r="B82" s="4" t="s">
        <v>49</v>
      </c>
      <c r="C82" s="8" t="s">
        <v>120</v>
      </c>
    </row>
    <row r="83" spans="1:3" x14ac:dyDescent="0.25">
      <c r="A83" s="7" t="s">
        <v>118</v>
      </c>
      <c r="B83" s="3" t="s">
        <v>15</v>
      </c>
      <c r="C83" s="8" t="s">
        <v>120</v>
      </c>
    </row>
    <row r="84" spans="1:3" x14ac:dyDescent="0.25">
      <c r="A84" s="7" t="s">
        <v>118</v>
      </c>
      <c r="B84" s="3" t="s">
        <v>31</v>
      </c>
      <c r="C84" s="8" t="s">
        <v>120</v>
      </c>
    </row>
    <row r="85" spans="1:3" x14ac:dyDescent="0.25">
      <c r="A85" s="7" t="s">
        <v>118</v>
      </c>
      <c r="B85" s="3" t="s">
        <v>32</v>
      </c>
      <c r="C85" s="8" t="s">
        <v>120</v>
      </c>
    </row>
    <row r="86" spans="1:3" x14ac:dyDescent="0.25">
      <c r="A86" s="7" t="s">
        <v>118</v>
      </c>
      <c r="B86" s="4" t="s">
        <v>44</v>
      </c>
      <c r="C86" s="8" t="s">
        <v>120</v>
      </c>
    </row>
    <row r="87" spans="1:3" x14ac:dyDescent="0.25">
      <c r="A87" s="7" t="s">
        <v>118</v>
      </c>
      <c r="B87" s="3" t="s">
        <v>45</v>
      </c>
      <c r="C87" s="8" t="s">
        <v>120</v>
      </c>
    </row>
    <row r="88" spans="1:3" x14ac:dyDescent="0.25">
      <c r="A88" s="7" t="s">
        <v>118</v>
      </c>
      <c r="B88" s="3" t="s">
        <v>46</v>
      </c>
      <c r="C88" s="8" t="s">
        <v>120</v>
      </c>
    </row>
    <row r="89" spans="1:3" x14ac:dyDescent="0.25">
      <c r="A89" s="7" t="s">
        <v>118</v>
      </c>
      <c r="B89" s="3" t="s">
        <v>53</v>
      </c>
      <c r="C89" s="8" t="s">
        <v>120</v>
      </c>
    </row>
    <row r="90" spans="1:3" x14ac:dyDescent="0.25">
      <c r="A90" s="7" t="s">
        <v>118</v>
      </c>
      <c r="B90" s="3" t="s">
        <v>59</v>
      </c>
      <c r="C90" s="8" t="s">
        <v>120</v>
      </c>
    </row>
    <row r="91" spans="1:3" x14ac:dyDescent="0.25">
      <c r="A91" s="7" t="s">
        <v>118</v>
      </c>
      <c r="B91" s="3" t="s">
        <v>68</v>
      </c>
      <c r="C91" s="8" t="s">
        <v>120</v>
      </c>
    </row>
    <row r="92" spans="1:3" x14ac:dyDescent="0.25">
      <c r="A92" s="7" t="s">
        <v>118</v>
      </c>
      <c r="B92" s="3" t="s">
        <v>69</v>
      </c>
      <c r="C92" s="8" t="s">
        <v>120</v>
      </c>
    </row>
    <row r="93" spans="1:3" x14ac:dyDescent="0.25">
      <c r="A93" s="7" t="s">
        <v>118</v>
      </c>
      <c r="B93" s="3" t="s">
        <v>84</v>
      </c>
      <c r="C93" s="8" t="s">
        <v>120</v>
      </c>
    </row>
    <row r="94" spans="1:3" x14ac:dyDescent="0.25">
      <c r="A94" s="7" t="s">
        <v>118</v>
      </c>
      <c r="B94" s="3" t="s">
        <v>85</v>
      </c>
      <c r="C94" s="8" t="s">
        <v>120</v>
      </c>
    </row>
    <row r="95" spans="1:3" x14ac:dyDescent="0.25">
      <c r="A95" s="7" t="s">
        <v>118</v>
      </c>
      <c r="B95" s="3" t="s">
        <v>87</v>
      </c>
      <c r="C95" s="8" t="s">
        <v>120</v>
      </c>
    </row>
    <row r="96" spans="1:3" x14ac:dyDescent="0.25">
      <c r="A96" s="7" t="s">
        <v>119</v>
      </c>
      <c r="B96" s="3" t="s">
        <v>33</v>
      </c>
      <c r="C96" s="8" t="s">
        <v>120</v>
      </c>
    </row>
    <row r="97" spans="1:3" x14ac:dyDescent="0.25">
      <c r="A97" s="7" t="s">
        <v>119</v>
      </c>
      <c r="B97" s="3" t="s">
        <v>54</v>
      </c>
      <c r="C97" s="8" t="s">
        <v>120</v>
      </c>
    </row>
    <row r="98" spans="1:3" x14ac:dyDescent="0.25">
      <c r="A98" s="7" t="s">
        <v>119</v>
      </c>
      <c r="B98" s="3" t="s">
        <v>58</v>
      </c>
      <c r="C98" s="8" t="s">
        <v>120</v>
      </c>
    </row>
    <row r="99" spans="1:3" x14ac:dyDescent="0.25">
      <c r="A99" s="7" t="s">
        <v>119</v>
      </c>
      <c r="B99" s="3" t="s">
        <v>80</v>
      </c>
      <c r="C99" s="8" t="s">
        <v>120</v>
      </c>
    </row>
    <row r="100" spans="1:3" ht="15.75" thickBot="1" x14ac:dyDescent="0.3">
      <c r="A100" s="9" t="s">
        <v>119</v>
      </c>
      <c r="B100" s="10" t="s">
        <v>101</v>
      </c>
      <c r="C100" s="11" t="s">
        <v>120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3D94E-D531-42ED-930A-C1E1374EDDCD}">
  <dimension ref="A1:D15"/>
  <sheetViews>
    <sheetView tabSelected="1" workbookViewId="0">
      <selection activeCell="H12" sqref="H12"/>
    </sheetView>
  </sheetViews>
  <sheetFormatPr defaultRowHeight="15" x14ac:dyDescent="0.25"/>
  <cols>
    <col min="1" max="1" width="29.7109375" bestFit="1" customWidth="1"/>
    <col min="2" max="2" width="12.140625" bestFit="1" customWidth="1"/>
    <col min="3" max="3" width="12.7109375" style="13" bestFit="1" customWidth="1"/>
    <col min="4" max="4" width="6.42578125" bestFit="1" customWidth="1"/>
  </cols>
  <sheetData>
    <row r="1" spans="1:4" x14ac:dyDescent="0.25">
      <c r="A1" t="s">
        <v>7</v>
      </c>
      <c r="B1" t="s">
        <v>23</v>
      </c>
    </row>
    <row r="2" spans="1:4" x14ac:dyDescent="0.25">
      <c r="A2" t="s">
        <v>137</v>
      </c>
      <c r="B2" t="s">
        <v>138</v>
      </c>
    </row>
    <row r="3" spans="1:4" ht="15.75" thickBot="1" x14ac:dyDescent="0.3"/>
    <row r="4" spans="1:4" ht="15.75" thickBot="1" x14ac:dyDescent="0.3">
      <c r="A4" s="22" t="s">
        <v>122</v>
      </c>
      <c r="B4" s="22" t="s">
        <v>124</v>
      </c>
      <c r="C4" s="23" t="s">
        <v>125</v>
      </c>
      <c r="D4" s="24" t="s">
        <v>123</v>
      </c>
    </row>
    <row r="5" spans="1:4" x14ac:dyDescent="0.25">
      <c r="A5" s="17" t="s">
        <v>126</v>
      </c>
      <c r="B5" s="17">
        <v>28</v>
      </c>
      <c r="C5" s="20">
        <v>0.46666666666666667</v>
      </c>
      <c r="D5" s="14"/>
    </row>
    <row r="6" spans="1:4" x14ac:dyDescent="0.25">
      <c r="A6" s="17" t="s">
        <v>127</v>
      </c>
      <c r="B6" s="17">
        <v>22.400000000000002</v>
      </c>
      <c r="C6" s="20">
        <v>0.37333333333333335</v>
      </c>
      <c r="D6" s="15">
        <f>(B5-B6)/B5</f>
        <v>0.19999999999999993</v>
      </c>
    </row>
    <row r="7" spans="1:4" x14ac:dyDescent="0.25">
      <c r="A7" s="17" t="s">
        <v>128</v>
      </c>
      <c r="B7" s="19">
        <v>17.718742857142857</v>
      </c>
      <c r="C7" s="20">
        <v>0.29531238095238094</v>
      </c>
      <c r="D7" s="15">
        <f>(B6-B7)/B6</f>
        <v>0.20898469387755111</v>
      </c>
    </row>
    <row r="8" spans="1:4" x14ac:dyDescent="0.25">
      <c r="A8" s="17" t="s">
        <v>129</v>
      </c>
      <c r="B8" s="25" t="s">
        <v>139</v>
      </c>
      <c r="C8" s="20">
        <v>11.3</v>
      </c>
      <c r="D8" s="26" t="s">
        <v>139</v>
      </c>
    </row>
    <row r="9" spans="1:4" x14ac:dyDescent="0.25">
      <c r="A9" s="17" t="s">
        <v>130</v>
      </c>
      <c r="B9" s="25" t="s">
        <v>139</v>
      </c>
      <c r="C9" s="20">
        <v>10.974637881115346</v>
      </c>
      <c r="D9" s="26" t="s">
        <v>139</v>
      </c>
    </row>
    <row r="10" spans="1:4" x14ac:dyDescent="0.25">
      <c r="A10" s="17" t="s">
        <v>131</v>
      </c>
      <c r="B10" s="25" t="s">
        <v>139</v>
      </c>
      <c r="C10" s="20">
        <v>0.31413967382644792</v>
      </c>
      <c r="D10" s="14"/>
    </row>
    <row r="11" spans="1:4" x14ac:dyDescent="0.25">
      <c r="A11" s="17" t="s">
        <v>132</v>
      </c>
      <c r="B11" s="25" t="s">
        <v>139</v>
      </c>
      <c r="C11" s="20">
        <v>1.6157486952499984</v>
      </c>
      <c r="D11" s="14"/>
    </row>
    <row r="12" spans="1:4" x14ac:dyDescent="0.25">
      <c r="A12" s="17" t="s">
        <v>133</v>
      </c>
      <c r="B12" s="17"/>
      <c r="C12" s="27" t="s">
        <v>139</v>
      </c>
      <c r="D12" s="14"/>
    </row>
    <row r="13" spans="1:4" x14ac:dyDescent="0.25">
      <c r="A13" s="17" t="s">
        <v>134</v>
      </c>
      <c r="B13" s="17"/>
      <c r="C13" s="20"/>
      <c r="D13" s="14"/>
    </row>
    <row r="14" spans="1:4" x14ac:dyDescent="0.25">
      <c r="A14" s="17" t="s">
        <v>135</v>
      </c>
      <c r="B14" s="17"/>
      <c r="C14" s="20">
        <v>7.8075949367088606</v>
      </c>
      <c r="D14" s="14"/>
    </row>
    <row r="15" spans="1:4" ht="15.75" thickBot="1" x14ac:dyDescent="0.3">
      <c r="A15" s="18" t="s">
        <v>136</v>
      </c>
      <c r="B15" s="18"/>
      <c r="C15" s="21">
        <v>1.2205076973452229</v>
      </c>
      <c r="D15" s="16">
        <f>C15/C9</f>
        <v>0.11121166006264468</v>
      </c>
    </row>
  </sheetData>
  <pageMargins left="0.7" right="0.7" top="0.75" bottom="0.75" header="0.3" footer="0.3"/>
  <pageSetup paperSize="9" scale="120" orientation="portrait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Flow</vt:lpstr>
      <vt:lpstr>KS Country</vt:lpstr>
      <vt:lpstr>Daftar CA</vt:lpstr>
      <vt:lpstr>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Cahyawan</dc:creator>
  <cp:lastModifiedBy>Yosua Gultom</cp:lastModifiedBy>
  <cp:lastPrinted>2025-01-13T07:49:42Z</cp:lastPrinted>
  <dcterms:created xsi:type="dcterms:W3CDTF">2025-01-07T00:52:28Z</dcterms:created>
  <dcterms:modified xsi:type="dcterms:W3CDTF">2025-01-14T03:27:05Z</dcterms:modified>
</cp:coreProperties>
</file>